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tudentuml-my.sharepoint.com/personal/patrick_heng1_student_uml_edu/Documents/S26/CHEN 4100/Plant Design/April 24th Submissions (Vol. III, Final Pres.)/"/>
    </mc:Choice>
  </mc:AlternateContent>
  <xr:revisionPtr revIDLastSave="26" documentId="13_ncr:1_{1BEDE856-3280-4AE2-861D-C21DA64D3146}" xr6:coauthVersionLast="47" xr6:coauthVersionMax="47" xr10:uidLastSave="{8939F09E-9F88-464D-81FD-359F96E71F82}"/>
  <bookViews>
    <workbookView minimized="1" xWindow="12828" yWindow="6312" windowWidth="7500" windowHeight="7464" firstSheet="1" activeTab="5" xr2:uid="{00000000-000D-0000-FFFF-FFFF00000000}"/>
  </bookViews>
  <sheets>
    <sheet name="Home Sheet" sheetId="25" r:id="rId1"/>
    <sheet name="Profit Indicators" sheetId="1" r:id="rId2"/>
    <sheet name="Income Statement" sheetId="2" r:id="rId3"/>
    <sheet name="Cash Flow Statement" sheetId="3" r:id="rId4"/>
    <sheet name="Cash Flow Summary" sheetId="4" r:id="rId5"/>
    <sheet name="Financing Rates" sheetId="5" r:id="rId6"/>
    <sheet name="Equipment Summary" sheetId="6" r:id="rId7"/>
    <sheet name="Property Summary" sheetId="7" r:id="rId8"/>
    <sheet name="Piping Summary" sheetId="8" r:id="rId9"/>
    <sheet name="Controls Summary" sheetId="9" r:id="rId10"/>
    <sheet name="Raw Materials Summary" sheetId="10" r:id="rId11"/>
    <sheet name="Sales Summary" sheetId="11" r:id="rId12"/>
    <sheet name="Labor Costs" sheetId="12" r:id="rId13"/>
    <sheet name="Utilities Summary" sheetId="13" r:id="rId14"/>
    <sheet name="Safety + Regulations Summary" sheetId="14" r:id="rId15"/>
    <sheet name="Capital Purchase Costs" sheetId="15" r:id="rId16"/>
    <sheet name="Cost of Compliance" sheetId="16" r:id="rId17"/>
    <sheet name="Revenue Cash Flows" sheetId="17" r:id="rId18"/>
    <sheet name="Salvage Cash Flows" sheetId="18" r:id="rId19"/>
    <sheet name="Depreciation" sheetId="19" r:id="rId20"/>
    <sheet name="Annual Loan Payments" sheetId="20" r:id="rId21"/>
    <sheet name="Book Value of Capital" sheetId="21" r:id="rId22"/>
    <sheet name="Tax Summary" sheetId="22" r:id="rId23"/>
    <sheet name="FCOP Summary" sheetId="23" r:id="rId24"/>
    <sheet name="VCOP Summary" sheetId="24" r:id="rId2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9" i="3" l="1"/>
  <c r="D49" i="3"/>
  <c r="C49" i="3"/>
</calcChain>
</file>

<file path=xl/sharedStrings.xml><?xml version="1.0" encoding="utf-8"?>
<sst xmlns="http://schemas.openxmlformats.org/spreadsheetml/2006/main" count="1303" uniqueCount="383">
  <si>
    <t>NPV [Mil. USD]</t>
  </si>
  <si>
    <t>DPBP [Years]</t>
  </si>
  <si>
    <t>IRR [%]</t>
  </si>
  <si>
    <t>ROE [%]</t>
  </si>
  <si>
    <t>ROA [%]</t>
  </si>
  <si>
    <t>ROI [%]</t>
  </si>
  <si>
    <t>Year:</t>
  </si>
  <si>
    <t>-2</t>
  </si>
  <si>
    <t>-1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</si>
  <si>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</si>
  <si>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</si>
  <si>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</si>
  <si>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</si>
  <si>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</si>
  <si>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</si>
  <si>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</si>
  <si>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</si>
  <si>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</si>
  <si>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</si>
  <si>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</si>
  <si>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</si>
  <si>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</si>
  <si>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</si>
  <si>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</si>
  <si>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</si>
  <si>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</si>
  <si>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</si>
  <si>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</si>
  <si>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</si>
  <si>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</si>
  <si>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16 oz Can Price</t>
  </si>
  <si>
    <t>32 oz Can Price</t>
  </si>
  <si>
    <t>1 gal Price</t>
  </si>
  <si>
    <t>Phenol, MT Price</t>
  </si>
  <si>
    <t>16 oz Can Sold</t>
  </si>
  <si>
    <t>32 oz Can Sold</t>
  </si>
  <si>
    <t>1 gal Sold</t>
  </si>
  <si>
    <t>Phenol, MT Sold</t>
  </si>
  <si>
    <t>16 oz Can</t>
  </si>
  <si>
    <t>32 oz Can</t>
  </si>
  <si>
    <t>1 gal Can</t>
  </si>
  <si>
    <t>Phenol, MT</t>
  </si>
  <si>
    <t>Total Rev.</t>
  </si>
  <si>
    <t>Salvage</t>
  </si>
  <si>
    <t>Variable Labor</t>
  </si>
  <si>
    <t>Utilities</t>
  </si>
  <si>
    <t>Raw Materials</t>
  </si>
  <si>
    <t>Marketing</t>
  </si>
  <si>
    <t>Total VCOP</t>
  </si>
  <si>
    <t>Fixed Labor</t>
  </si>
  <si>
    <t>Maintenance</t>
  </si>
  <si>
    <t>Property Tax</t>
  </si>
  <si>
    <t>Permits/Regulations</t>
  </si>
  <si>
    <t>Total FCOP</t>
  </si>
  <si>
    <t>EBIT</t>
  </si>
  <si>
    <t>Depreciation</t>
  </si>
  <si>
    <t>Interest Paid</t>
  </si>
  <si>
    <t>EBT</t>
  </si>
  <si>
    <t>State Tax</t>
  </si>
  <si>
    <t>Fed. Tax</t>
  </si>
  <si>
    <t>Tot. Tax</t>
  </si>
  <si>
    <t>Net Profit</t>
  </si>
  <si>
    <t>Depreciation Added</t>
  </si>
  <si>
    <t>Operating Cash Flow</t>
  </si>
  <si>
    <t>Equipment</t>
  </si>
  <si>
    <t>Property/Improvements</t>
  </si>
  <si>
    <t>Piping</t>
  </si>
  <si>
    <t>Inst. &amp; Controls</t>
  </si>
  <si>
    <t>Working Capital</t>
  </si>
  <si>
    <t>Tot. CAPEX + Working Cap.</t>
  </si>
  <si>
    <t>Free Cash Flow</t>
  </si>
  <si>
    <t>Dividends Paid</t>
  </si>
  <si>
    <t>Retained Earnings</t>
  </si>
  <si>
    <t>FCOP</t>
  </si>
  <si>
    <t>VCOP</t>
  </si>
  <si>
    <t>Revenue</t>
  </si>
  <si>
    <t>Taxes Paid</t>
  </si>
  <si>
    <t>Loans Paid</t>
  </si>
  <si>
    <t>Total Cash Flow</t>
  </si>
  <si>
    <t>Discounted Cash Flow (DCF)</t>
  </si>
  <si>
    <t>Cumulative DCF</t>
  </si>
  <si>
    <t>Debt/Assets [%]</t>
  </si>
  <si>
    <t>Equity/Assets [%]</t>
  </si>
  <si>
    <t>WACC [%]</t>
  </si>
  <si>
    <t>MARR [%]</t>
  </si>
  <si>
    <t>MARR (No Inf.) [%]</t>
  </si>
  <si>
    <t>Risk Premium [%]</t>
  </si>
  <si>
    <t>Beta [-]</t>
  </si>
  <si>
    <t>Cost of Equity [%]</t>
  </si>
  <si>
    <t>Loan Rate [%]</t>
  </si>
  <si>
    <t>Risk-Free Rate [%]</t>
  </si>
  <si>
    <t>S&amp;P 500 [%]</t>
  </si>
  <si>
    <t>Inflation [%]</t>
  </si>
  <si>
    <t>Unit ID</t>
  </si>
  <si>
    <t>Purchased Cost [USD]</t>
  </si>
  <si>
    <t>Installed Cost [USD]</t>
  </si>
  <si>
    <t>O&amp;M Cost [USD/Year]</t>
  </si>
  <si>
    <t>Utilities [*]</t>
  </si>
  <si>
    <t>Utilities ID</t>
  </si>
  <si>
    <t>Lifespan [Years]</t>
  </si>
  <si>
    <t>Start Year</t>
  </si>
  <si>
    <t>MACRS Class</t>
  </si>
  <si>
    <t>AD-201A</t>
  </si>
  <si>
    <t>AD-201B</t>
  </si>
  <si>
    <t>LE-201</t>
  </si>
  <si>
    <t>LE-301</t>
  </si>
  <si>
    <t>DC-101</t>
  </si>
  <si>
    <t>DC-301</t>
  </si>
  <si>
    <t>DC-302</t>
  </si>
  <si>
    <t>DC-401</t>
  </si>
  <si>
    <t>FD-101</t>
  </si>
  <si>
    <t>FD-201</t>
  </si>
  <si>
    <t>FD-401</t>
  </si>
  <si>
    <t>TK-302</t>
  </si>
  <si>
    <t>SS-501a</t>
  </si>
  <si>
    <t>SS-501b</t>
  </si>
  <si>
    <t>SS-502</t>
  </si>
  <si>
    <t>TK-101a</t>
  </si>
  <si>
    <t>TK-101b</t>
  </si>
  <si>
    <t>TK-102a</t>
  </si>
  <si>
    <t>TK-102b</t>
  </si>
  <si>
    <t>TK-102c</t>
  </si>
  <si>
    <t>TK-102d</t>
  </si>
  <si>
    <t>TK-103a</t>
  </si>
  <si>
    <t>TK-103b</t>
  </si>
  <si>
    <t>TK-103c</t>
  </si>
  <si>
    <t>TK-103d</t>
  </si>
  <si>
    <t>TK-401a</t>
  </si>
  <si>
    <t>TK-401b</t>
  </si>
  <si>
    <t>TK-504a</t>
  </si>
  <si>
    <t>TK-504b</t>
  </si>
  <si>
    <t>TK-504c</t>
  </si>
  <si>
    <t>TK-504d</t>
  </si>
  <si>
    <t>TK-503</t>
  </si>
  <si>
    <t>M-101</t>
  </si>
  <si>
    <t>M-201</t>
  </si>
  <si>
    <t>TK-301</t>
  </si>
  <si>
    <t>TK-402</t>
  </si>
  <si>
    <t>TK-501</t>
  </si>
  <si>
    <t>TK-502</t>
  </si>
  <si>
    <t>TK-300</t>
  </si>
  <si>
    <t>R-101</t>
  </si>
  <si>
    <t xml:space="preserve">R-201 </t>
  </si>
  <si>
    <t>R-301</t>
  </si>
  <si>
    <t>R-401</t>
  </si>
  <si>
    <t>TO-601</t>
  </si>
  <si>
    <t>M-501</t>
  </si>
  <si>
    <t>TK-104</t>
  </si>
  <si>
    <t>TK-303</t>
  </si>
  <si>
    <t>TK-304</t>
  </si>
  <si>
    <t>TK-403</t>
  </si>
  <si>
    <t>B-601</t>
  </si>
  <si>
    <t>E-101</t>
  </si>
  <si>
    <t>E-102</t>
  </si>
  <si>
    <t>E-103</t>
  </si>
  <si>
    <t>E-104</t>
  </si>
  <si>
    <t>E-105</t>
  </si>
  <si>
    <t>E-106</t>
  </si>
  <si>
    <t>E-107</t>
  </si>
  <si>
    <t>E-201</t>
  </si>
  <si>
    <t>E-202</t>
  </si>
  <si>
    <t>E-203</t>
  </si>
  <si>
    <t>E-204</t>
  </si>
  <si>
    <t>E-301</t>
  </si>
  <si>
    <t>E-302</t>
  </si>
  <si>
    <t>E-303</t>
  </si>
  <si>
    <t>E-304</t>
  </si>
  <si>
    <t>E-305</t>
  </si>
  <si>
    <t>E-401</t>
  </si>
  <si>
    <t>E-402</t>
  </si>
  <si>
    <t>E-403</t>
  </si>
  <si>
    <t>E-404</t>
  </si>
  <si>
    <t>E-405</t>
  </si>
  <si>
    <t>HVAC</t>
  </si>
  <si>
    <t>P-101</t>
  </si>
  <si>
    <t>P-102</t>
  </si>
  <si>
    <t>P-103</t>
  </si>
  <si>
    <t>P-104</t>
  </si>
  <si>
    <t>P-105</t>
  </si>
  <si>
    <t>P-106</t>
  </si>
  <si>
    <t>P-107</t>
  </si>
  <si>
    <t>P-108</t>
  </si>
  <si>
    <t>P-201</t>
  </si>
  <si>
    <t>P-202</t>
  </si>
  <si>
    <t>P-203</t>
  </si>
  <si>
    <t>P-204</t>
  </si>
  <si>
    <t>P-301</t>
  </si>
  <si>
    <t>P-302</t>
  </si>
  <si>
    <t>P-303</t>
  </si>
  <si>
    <t>P-304</t>
  </si>
  <si>
    <t>P-305</t>
  </si>
  <si>
    <t>P-306</t>
  </si>
  <si>
    <t>P-307</t>
  </si>
  <si>
    <t>P-308</t>
  </si>
  <si>
    <t>P-309</t>
  </si>
  <si>
    <t>P-401</t>
  </si>
  <si>
    <t>P-402</t>
  </si>
  <si>
    <t>P-403</t>
  </si>
  <si>
    <t>P-501</t>
  </si>
  <si>
    <t>P-502</t>
  </si>
  <si>
    <t>P-503</t>
  </si>
  <si>
    <t>P-504</t>
  </si>
  <si>
    <t>P-505</t>
  </si>
  <si>
    <t>P-506</t>
  </si>
  <si>
    <t>P-601</t>
  </si>
  <si>
    <t>C-201</t>
  </si>
  <si>
    <t>C-401</t>
  </si>
  <si>
    <t>SC-501</t>
  </si>
  <si>
    <t>SC-502</t>
  </si>
  <si>
    <t>Packaging Unit</t>
  </si>
  <si>
    <t>Depreciable [0/1]</t>
  </si>
  <si>
    <t>Annual Costs [USD/Year]</t>
  </si>
  <si>
    <t>Purchase Year [-]</t>
  </si>
  <si>
    <t>Land</t>
  </si>
  <si>
    <t>Clearing</t>
  </si>
  <si>
    <t>Foundations</t>
  </si>
  <si>
    <t>Roads</t>
  </si>
  <si>
    <t>Land Improvements</t>
  </si>
  <si>
    <t>Buildings</t>
  </si>
  <si>
    <t>Utility Connections</t>
  </si>
  <si>
    <t xml:space="preserve">Insulation </t>
  </si>
  <si>
    <t>A106 Carbon Steel Pipes</t>
  </si>
  <si>
    <t>Carbon Steel Fittings</t>
  </si>
  <si>
    <t>Installed Cost/Unit [USD]</t>
  </si>
  <si>
    <t>Cost/Unit [USD]</t>
  </si>
  <si>
    <t>Units Bought [-]</t>
  </si>
  <si>
    <t>Controller</t>
  </si>
  <si>
    <t>TT</t>
  </si>
  <si>
    <t>PT, Equipment</t>
  </si>
  <si>
    <t>PT, Piping</t>
  </si>
  <si>
    <t>LT, Ultrasonic</t>
  </si>
  <si>
    <t>LT, Submersed</t>
  </si>
  <si>
    <t>AT</t>
  </si>
  <si>
    <t>Speed/Power Sensor</t>
  </si>
  <si>
    <t>FT</t>
  </si>
  <si>
    <t>&lt; 1" CV</t>
  </si>
  <si>
    <t>1" to 2" CV</t>
  </si>
  <si>
    <t>&gt; 2" CV</t>
  </si>
  <si>
    <t>Alarm</t>
  </si>
  <si>
    <t>Cost/MT [USD]</t>
  </si>
  <si>
    <t xml:space="preserve"> Units Bought [MT/Year]</t>
  </si>
  <si>
    <t>Cost/Year [USD/Year]</t>
  </si>
  <si>
    <t>Propylene</t>
  </si>
  <si>
    <t>Butene</t>
  </si>
  <si>
    <t>Benzene</t>
  </si>
  <si>
    <t>PVC Resin</t>
  </si>
  <si>
    <t>Fumed Silica</t>
  </si>
  <si>
    <t>Sulfuric Acid</t>
  </si>
  <si>
    <t>Hydrogen</t>
  </si>
  <si>
    <t>Total:</t>
  </si>
  <si>
    <t>Cost/Unit, Lower [USD]</t>
  </si>
  <si>
    <t>Cost/Unit, Upper [USD]</t>
  </si>
  <si>
    <t xml:space="preserve"> Units Sold [1/Year]</t>
  </si>
  <si>
    <t>Position</t>
  </si>
  <si>
    <t># of Personnel</t>
  </si>
  <si>
    <t>Salary [USD/Year]</t>
  </si>
  <si>
    <t>Hourly [USD/hr]</t>
  </si>
  <si>
    <t>Salary Cost [USD/Year]</t>
  </si>
  <si>
    <t>Non Salary Cost [USD/Year]</t>
  </si>
  <si>
    <t>Total Cost [USD/Year]</t>
  </si>
  <si>
    <t>Operational Staff [0/1]</t>
  </si>
  <si>
    <t>Overtime [USD/Year]</t>
  </si>
  <si>
    <t>Bonuses [USD/Year]</t>
  </si>
  <si>
    <t>Training [USD/Year]</t>
  </si>
  <si>
    <t>Social Security [USD/Year]</t>
  </si>
  <si>
    <t>Unemployment [USD/Year]</t>
  </si>
  <si>
    <t>Workers Comp. [USD/Year]</t>
  </si>
  <si>
    <t>Medical Leave [USD/Year]</t>
  </si>
  <si>
    <t>Health Care [USD/Year]</t>
  </si>
  <si>
    <t>Federal Benefits [USD/Year]</t>
  </si>
  <si>
    <t>Vision [USD/Year]</t>
  </si>
  <si>
    <t>Dental  [USD/Year]</t>
  </si>
  <si>
    <t>Disability [USD/Year]</t>
  </si>
  <si>
    <t>Life Insurance [USD/Year]</t>
  </si>
  <si>
    <t>401K Program [USD/Year]</t>
  </si>
  <si>
    <t>401K Mat. (5%) [USD/Year]</t>
  </si>
  <si>
    <t>Non-Federal &amp; Bonuses [USD/Year]</t>
  </si>
  <si>
    <t>Chief Executive Officer</t>
  </si>
  <si>
    <t xml:space="preserve">Chief Operating Officer </t>
  </si>
  <si>
    <t>Vice Executive Officer</t>
  </si>
  <si>
    <t>Chief Quality Officer</t>
  </si>
  <si>
    <t>Saftey Officer</t>
  </si>
  <si>
    <t>Senior Engineer</t>
  </si>
  <si>
    <t>Maitenence Engineer</t>
  </si>
  <si>
    <t>Material Storage Director</t>
  </si>
  <si>
    <t>Operations Engineer</t>
  </si>
  <si>
    <t>Floor Managers</t>
  </si>
  <si>
    <t>Equipment Operators</t>
  </si>
  <si>
    <t>Controls Engineer</t>
  </si>
  <si>
    <t>Maintence Crew</t>
  </si>
  <si>
    <t xml:space="preserve">Transportation Staff </t>
  </si>
  <si>
    <t>Truck Drivers</t>
  </si>
  <si>
    <t>Financial Director</t>
  </si>
  <si>
    <t>Procurement Manager</t>
  </si>
  <si>
    <t>Accountant</t>
  </si>
  <si>
    <t>Sales &amp; Marketing Director</t>
  </si>
  <si>
    <t>Sales &amp; Marketing Team</t>
  </si>
  <si>
    <t>Building Director</t>
  </si>
  <si>
    <t>IT Staff</t>
  </si>
  <si>
    <t>Janitorial Staff</t>
  </si>
  <si>
    <t>Security Manager</t>
  </si>
  <si>
    <t>Security Staff</t>
  </si>
  <si>
    <t>HR Director</t>
  </si>
  <si>
    <t>Recruitng Specialist</t>
  </si>
  <si>
    <t xml:space="preserve">Attorney </t>
  </si>
  <si>
    <t>Total</t>
  </si>
  <si>
    <t>-</t>
  </si>
  <si>
    <t>Cost/Unit [USD/*]</t>
  </si>
  <si>
    <t>Units Bought [*]</t>
  </si>
  <si>
    <t>1 - Electricity [kWh]</t>
  </si>
  <si>
    <t>2 - Water [kg]</t>
  </si>
  <si>
    <t>4 - 2 bar Steam [kWh]</t>
  </si>
  <si>
    <t>5 - 40 bar Steam [kWh]</t>
  </si>
  <si>
    <t xml:space="preserve"> Units Bought [1/Lifespan]</t>
  </si>
  <si>
    <t>Storage Tank Registration</t>
  </si>
  <si>
    <t>EPCRA</t>
  </si>
  <si>
    <t>PI-7</t>
  </si>
  <si>
    <t>TRI</t>
  </si>
  <si>
    <t>TCEQ NSR Air Permit</t>
  </si>
  <si>
    <t>TCEQ Title V</t>
  </si>
  <si>
    <t>TCEQ TPDES</t>
  </si>
  <si>
    <t>TCEQ Hazardous Waste</t>
  </si>
  <si>
    <t>Building Permit</t>
  </si>
  <si>
    <t>Fire Inspection/Permit</t>
  </si>
  <si>
    <t>EPA RCRA</t>
  </si>
  <si>
    <t>DOT Hazardous Mat.</t>
  </si>
  <si>
    <t>OSHA PSM Registration</t>
  </si>
  <si>
    <t>Env. Eng. Consultant</t>
  </si>
  <si>
    <t>PPE (Annualized)</t>
  </si>
  <si>
    <t>Phenol Residue Disposal</t>
  </si>
  <si>
    <t>General Industrial Waste</t>
  </si>
  <si>
    <t>API 510</t>
  </si>
  <si>
    <t>Relief Valve Testing</t>
  </si>
  <si>
    <t>API 653</t>
  </si>
  <si>
    <t>LPG Bullet Inspection</t>
  </si>
  <si>
    <t>ATEX EE Inspection</t>
  </si>
  <si>
    <t>Fire Suppression (NFPA 25)</t>
  </si>
  <si>
    <t>Gas Detection Calibration</t>
  </si>
  <si>
    <t>Period</t>
  </si>
  <si>
    <t>Payment [USD]</t>
  </si>
  <si>
    <t>Principle Payment [USD]</t>
  </si>
  <si>
    <t>Interest Payment [USD]</t>
  </si>
  <si>
    <t>Cumulative Principle Payment [USD]</t>
  </si>
  <si>
    <t>Cumulative Interest Payment [USD]</t>
  </si>
  <si>
    <t>Principle Balance [USD]</t>
  </si>
  <si>
    <t>Federal Tax</t>
  </si>
  <si>
    <t>Total Taxes</t>
  </si>
  <si>
    <t>CLICK TO NAVIGATE</t>
  </si>
  <si>
    <t>Home Sheet</t>
  </si>
  <si>
    <t>Profit Indicators</t>
  </si>
  <si>
    <t>Income Statement</t>
  </si>
  <si>
    <t>Cash Flow Statement</t>
  </si>
  <si>
    <t>Cash Flow Summary</t>
  </si>
  <si>
    <t>Financing Rates</t>
  </si>
  <si>
    <t>Equipment Summary</t>
  </si>
  <si>
    <t>Property Summary</t>
  </si>
  <si>
    <t>Piping Summary</t>
  </si>
  <si>
    <t>Controls Summary</t>
  </si>
  <si>
    <t>Raw Materials Summary</t>
  </si>
  <si>
    <t>Sales Summary</t>
  </si>
  <si>
    <t>Labor Costs</t>
  </si>
  <si>
    <t>Utilities Summary</t>
  </si>
  <si>
    <t>Safety + Regulations Summary</t>
  </si>
  <si>
    <t>Capital Purchase Costs</t>
  </si>
  <si>
    <t>Cost of Compliance</t>
  </si>
  <si>
    <t>Revenue Cash Flows</t>
  </si>
  <si>
    <t>Salvage Cash Flows</t>
  </si>
  <si>
    <t>Annual Loan Payments</t>
  </si>
  <si>
    <t>Book Value of Capital</t>
  </si>
  <si>
    <t>Tax Summary</t>
  </si>
  <si>
    <t>FCOP Summary</t>
  </si>
  <si>
    <t>VCOP Summary</t>
  </si>
  <si>
    <t>BACK TO HOME SHEET</t>
  </si>
  <si>
    <t>16 oz Can Rev.</t>
  </si>
  <si>
    <t>32 oz Can Rev.</t>
  </si>
  <si>
    <t>1 gal Can Rev.</t>
  </si>
  <si>
    <t>Phenol, MT, Rev.</t>
  </si>
  <si>
    <t>Production Capacity [%]</t>
  </si>
  <si>
    <t xml:space="preserve">Total Sales </t>
  </si>
  <si>
    <t>Sales Price</t>
  </si>
  <si>
    <t># Units Sold</t>
  </si>
  <si>
    <t>Cost [USD/Year]</t>
  </si>
  <si>
    <r>
      <t>3 - Natural Gas [m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/hr]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</si>
</sst>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0.000"/>
  </numFmts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1"/>
    <xf numFmtId="0" fontId="1" fillId="0" borderId="2" xfId="0" applyFont="1" applyBorder="1" applyAlignment="1">
      <alignment horizontal="center" vertical="top"/>
    </xf>
    <xf numFmtId="2" fontId="0" fillId="0" borderId="0" xfId="0" applyNumberFormat="1"/>
    <xf numFmtId="0" fontId="0" fillId="2" borderId="0" xfId="0" applyFill="1"/>
    <xf numFmtId="164" fontId="0" fillId="0" borderId="0" xfId="0" applyNumberFormat="1"/>
    <xf numFmtId="1" fontId="0" fillId="2" borderId="0" xfId="0" applyNumberFormat="1" applyFill="1"/>
    <xf numFmtId="1" fontId="0" fillId="0" borderId="0" xfId="0" applyNumberFormat="1"/>
    <xf numFmtId="165" fontId="0" fillId="0" borderId="0" xfId="0" applyNumberFormat="1"/>
    <xf numFmtId="1" fontId="0" fillId="0" borderId="0" xfId="0" applyNumberFormat="1" applyAlignment="1">
      <alignment horizontal="right"/>
    </xf>
  </cellXfs>
  <cellStyles count="2">
    <cellStyle name="Hyperlink" xfId="1" builtinId="8"/>
    <cellStyle name="Normal" xfId="0" builtinId="0"/>
  </cellStyles>
  <dxfs count="300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</dxf>
    <dxf>
      <numFmt numFmtId="1" formatCode="0"/>
    </dxf>
    <dxf>
      <numFmt numFmtId="165" formatCode="0.00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</dxf>
    <dxf>
      <numFmt numFmtId="1" formatCode="0"/>
    </dxf>
    <dxf>
      <numFmt numFmtId="1" formatCode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border outline="0">
        <top style="thin">
          <color auto="1"/>
        </top>
      </border>
    </dxf>
    <dxf>
      <numFmt numFmtId="164" formatCode="0.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ont>
        <b val="0"/>
        <i val="0"/>
        <strike val="0"/>
        <color theme="0" tint="-4.9989318521683403E-2"/>
      </font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9" defaultPivotStyle="PivotStyleLight16">
    <tableStyle name="Table Style 1" pivot="0" count="5" xr9:uid="{8C317221-343D-4FC6-95C0-DDF550164B6C}">
      <tableStyleElement type="wholeTable" dxfId="299"/>
      <tableStyleElement type="headerRow" dxfId="298"/>
      <tableStyleElement type="firstRowStripe" dxfId="297"/>
      <tableStyleElement type="secondRowStripe" dxfId="296"/>
      <tableStyleElement type="firstColumnStripe" dxfId="29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D16CD04-7E67-405F-8399-12F7D3B9031C}" name="Table4" displayName="Table4" ref="C3:H4" totalsRowShown="0" headerRowDxfId="294" dataDxfId="292" headerRowBorderDxfId="293" tableBorderDxfId="291">
  <tableColumns count="6">
    <tableColumn id="1" xr3:uid="{AB51BE5F-7710-4113-80D5-BBE51E889EC8}" name="NPV [Mil. USD]" dataDxfId="290"/>
    <tableColumn id="2" xr3:uid="{C7EAE71D-D056-4062-AFD7-6C64B937BB4F}" name="DPBP [Years]" dataDxfId="289"/>
    <tableColumn id="3" xr3:uid="{91431E48-8A15-4189-84A1-19F6F78706AB}" name="IRR [%]" dataDxfId="288"/>
    <tableColumn id="4" xr3:uid="{8512826F-3798-4C84-94B8-9257A8F60B6D}" name="ROE [%]" dataDxfId="287"/>
    <tableColumn id="5" xr3:uid="{7C70E021-8065-4973-8C58-26E8096A2853}" name="ROA [%]" dataDxfId="286"/>
    <tableColumn id="6" xr3:uid="{C0244784-5D7A-431C-BA0C-A9D64D5AD2B1}" name="ROI [%]" dataDxfId="285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35EE16-282F-4BB2-B7C9-9FA5E4B5352D}" name="Table2" displayName="Table2" ref="C3:Z36" totalsRowShown="0" headerRowDxfId="284">
  <tableColumns count="24">
    <tableColumn id="2" xr3:uid="{BA8B70B7-0079-49B0-9D23-465469CC39EB}" name="Year:"/>
    <tableColumn id="3" xr3:uid="{22B65375-20E0-4897-B478-EF32B42DF813}" name="-2" dataDxfId="283"/>
    <tableColumn id="4" xr3:uid="{EA882D42-2781-4AF3-AFF2-DEA4D944324B}" name="-1" dataDxfId="282"/>
    <tableColumn id="5" xr3:uid="{E00021B3-3E10-4D4A-B303-BCED8F427DEC}" name="0" dataDxfId="281"/>
    <tableColumn id="6" xr3:uid="{EB0D8567-4513-4B4B-9528-44D04D5A0CD7}" name="1" dataDxfId="280"/>
    <tableColumn id="7" xr3:uid="{3C6BA7AA-FDB7-4FEA-A08B-880BE32DD4E6}" name="2" dataDxfId="279"/>
    <tableColumn id="8" xr3:uid="{ACE633F2-45E0-4538-933C-2A1F0CB625FB}" name="3" dataDxfId="278"/>
    <tableColumn id="9" xr3:uid="{CC121D57-C566-4563-8EFD-B863BF7BE2C5}" name="4" dataDxfId="277"/>
    <tableColumn id="10" xr3:uid="{34577AA1-2580-4BD8-8E9D-2613BF60957D}" name="5" dataDxfId="276"/>
    <tableColumn id="11" xr3:uid="{A6DC5141-3EA9-437E-BFB7-A678AF291D7E}" name="6" dataDxfId="275"/>
    <tableColumn id="12" xr3:uid="{952F6BF7-FACB-4D36-84F2-08FF0DF1437C}" name="7" dataDxfId="274"/>
    <tableColumn id="13" xr3:uid="{697D7394-6A3F-402D-990B-E7E3F147E2D0}" name="8" dataDxfId="273"/>
    <tableColumn id="14" xr3:uid="{6CE1A093-F933-4F17-8DD5-95DB0A4F1C9A}" name="9" dataDxfId="272"/>
    <tableColumn id="15" xr3:uid="{DCB55A23-86FD-4060-BDA1-BD37135DF086}" name="10" dataDxfId="271"/>
    <tableColumn id="16" xr3:uid="{5709172A-C5D6-46E6-A43A-3F9A33702481}" name="11" dataDxfId="270"/>
    <tableColumn id="17" xr3:uid="{5632423A-6CF9-4FB0-A5DD-9E6C98EE5A4E}" name="12" dataDxfId="269"/>
    <tableColumn id="18" xr3:uid="{EB1E2D1A-60F7-47BA-B89F-4F77D1C27183}" name="13" dataDxfId="268"/>
    <tableColumn id="19" xr3:uid="{1A3D140F-2956-47B7-99F5-61B16B5D6C19}" name="14" dataDxfId="267"/>
    <tableColumn id="20" xr3:uid="{396AF670-FB58-4462-B3F7-2C45C3B4B31E}" name="15" dataDxfId="266"/>
    <tableColumn id="21" xr3:uid="{6BA9A0A5-FA48-4F52-8375-75978AA1B34B}" name="16" dataDxfId="265"/>
    <tableColumn id="22" xr3:uid="{269D3150-5705-4D6F-BA51-37572B123165}" name="17" dataDxfId="264"/>
    <tableColumn id="23" xr3:uid="{FA96874C-A54A-4E6B-873F-FC06D086E48D}" name="18" dataDxfId="263"/>
    <tableColumn id="24" xr3:uid="{BE419E49-0AFD-4123-980E-F528856213C9}" name="19" dataDxfId="262"/>
    <tableColumn id="25" xr3:uid="{BD703A6E-3626-4105-AAFB-18B038620243}" name="20" dataDxfId="261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03510A-B0F2-484E-9073-31BE0B32A050}" name="Table6" displayName="Table6" ref="C3:Z47" totalsRowShown="0" headerRowDxfId="260" headerRowBorderDxfId="259" tableBorderDxfId="258">
  <tableColumns count="24">
    <tableColumn id="1" xr3:uid="{4DDBCEDD-2D75-45A2-8F76-7232A0B5B58B}" name="Year:"/>
    <tableColumn id="2" xr3:uid="{6606F5B3-8701-467C-92D8-03BD6952DDD8}" name="-2" dataDxfId="257"/>
    <tableColumn id="3" xr3:uid="{C6386EA4-B753-41C1-AD61-C0B022B58C5B}" name="-1" dataDxfId="256"/>
    <tableColumn id="4" xr3:uid="{29494702-BD84-4B5D-B2FF-3A50373B327F}" name="0" dataDxfId="255"/>
    <tableColumn id="5" xr3:uid="{83DCE06A-623D-415E-B8BD-B4A1181316E5}" name="1" dataDxfId="254"/>
    <tableColumn id="6" xr3:uid="{97B5A9E7-AD01-4476-9AE3-948D3F99F053}" name="2" dataDxfId="253"/>
    <tableColumn id="7" xr3:uid="{582077E2-BB50-4510-B744-E0DFC4193C0F}" name="3" dataDxfId="252"/>
    <tableColumn id="8" xr3:uid="{4A5F33D8-ADE9-4B66-8861-EC3A2CAED6F7}" name="4" dataDxfId="251"/>
    <tableColumn id="9" xr3:uid="{E867CEF4-9284-44AB-B757-D5AF7091ECF6}" name="5" dataDxfId="250"/>
    <tableColumn id="10" xr3:uid="{9D73B5BC-EFC2-4A7E-905C-0EF598A6285C}" name="6" dataDxfId="249"/>
    <tableColumn id="11" xr3:uid="{BE178FB7-FCC6-49C2-93FD-2F38FB400A5B}" name="7" dataDxfId="248"/>
    <tableColumn id="12" xr3:uid="{8124E97A-65CA-4334-86F7-845216F4485D}" name="8" dataDxfId="247"/>
    <tableColumn id="13" xr3:uid="{4905366D-5C35-4C4A-B639-D7D3C69B4BA2}" name="9" dataDxfId="246"/>
    <tableColumn id="14" xr3:uid="{A4312452-E7D5-4579-9CDB-3550643F0443}" name="10" dataDxfId="245"/>
    <tableColumn id="15" xr3:uid="{23FC3B99-6F85-4A4E-BE91-45DA62E18A13}" name="11" dataDxfId="244"/>
    <tableColumn id="16" xr3:uid="{CF84E86F-B1B6-45D6-962C-AC0105A39EF3}" name="12" dataDxfId="243"/>
    <tableColumn id="17" xr3:uid="{B6A101E3-10FE-4720-B4E5-776B8AEE0C36}" name="13" dataDxfId="242"/>
    <tableColumn id="18" xr3:uid="{30519F86-C081-4E7C-AE0C-68218E94D659}" name="14" dataDxfId="241"/>
    <tableColumn id="19" xr3:uid="{2960FA8C-CDF1-47BA-8D06-7A673D2F1275}" name="15" dataDxfId="240"/>
    <tableColumn id="20" xr3:uid="{1023D0ED-BFE4-4DE5-A8DC-A2F67807C424}" name="16" dataDxfId="239"/>
    <tableColumn id="21" xr3:uid="{60A10764-534F-4A6C-881D-3F15C4E091A4}" name="17" dataDxfId="238"/>
    <tableColumn id="22" xr3:uid="{E0955D0A-AA87-4FD6-84F4-FA5F43C83574}" name="18" dataDxfId="237"/>
    <tableColumn id="23" xr3:uid="{5765BB47-81D1-4BBC-B6B4-FDB9CE3CF5FE}" name="19" dataDxfId="236"/>
    <tableColumn id="24" xr3:uid="{09991291-8DF3-498F-9102-DC5E9A59689D}" name="20" dataDxfId="235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97FD23C-0A1C-4130-A56B-3D6E876C5357}" name="Table28" displayName="Table28" ref="C3:Z11" totalsRowShown="0" headerRowDxfId="234" headerRowBorderDxfId="233" tableBorderDxfId="232">
  <tableColumns count="24">
    <tableColumn id="1" xr3:uid="{153A3F3F-54E2-4B79-9BD6-1072D295CA2F}" name="Year:"/>
    <tableColumn id="2" xr3:uid="{9E0BF1F8-DBC8-46AD-9BAD-FF418F7CEAC9}" name="-2" dataDxfId="231"/>
    <tableColumn id="3" xr3:uid="{E4DB6B27-30DC-42DC-9C05-6EF2A1BBC80C}" name="-1" dataDxfId="230"/>
    <tableColumn id="4" xr3:uid="{E53C193B-1259-465A-AA60-52288BECA390}" name="0" dataDxfId="229"/>
    <tableColumn id="5" xr3:uid="{051B4A51-B9E0-4515-A74F-264A065B88ED}" name="1" dataDxfId="228"/>
    <tableColumn id="6" xr3:uid="{04434852-E355-45D2-B479-9AFC05690405}" name="2" dataDxfId="227"/>
    <tableColumn id="7" xr3:uid="{78E1C386-E3DC-4899-987D-51FCE667EC01}" name="3" dataDxfId="226"/>
    <tableColumn id="8" xr3:uid="{3CFC99BE-CB67-4E1D-B271-198E4E4DFAA5}" name="4" dataDxfId="225"/>
    <tableColumn id="9" xr3:uid="{87FCAD94-3D26-41B9-BC93-151B15FFB9E8}" name="5" dataDxfId="224"/>
    <tableColumn id="10" xr3:uid="{DCA2B489-CA52-4F16-AF19-F8A9A291F562}" name="6" dataDxfId="223"/>
    <tableColumn id="11" xr3:uid="{C1CE71DC-B6B7-4972-8C79-87E632D491CD}" name="7" dataDxfId="222"/>
    <tableColumn id="12" xr3:uid="{2150B153-1BAA-4F05-BEAE-4F3790655B69}" name="8" dataDxfId="221"/>
    <tableColumn id="13" xr3:uid="{36124ED1-0D36-4665-BDC1-2DFE960D77DC}" name="9" dataDxfId="220"/>
    <tableColumn id="14" xr3:uid="{A00C9D91-8E1B-456B-9A8E-B32AFFD1195F}" name="10" dataDxfId="219"/>
    <tableColumn id="15" xr3:uid="{1C1FF210-7633-4D4D-B762-C67BEA4551FB}" name="11" dataDxfId="218"/>
    <tableColumn id="16" xr3:uid="{CD864932-D115-47FF-B073-9245D1048042}" name="12" dataDxfId="217"/>
    <tableColumn id="17" xr3:uid="{9B43631E-3B63-448F-A50F-BFC8317035B1}" name="13" dataDxfId="216"/>
    <tableColumn id="18" xr3:uid="{036810BE-D714-4610-88C3-F16C2F60F247}" name="14" dataDxfId="215"/>
    <tableColumn id="19" xr3:uid="{F0B84561-C351-4A31-AB0C-69E68F1A8D1B}" name="15" dataDxfId="214"/>
    <tableColumn id="20" xr3:uid="{73B2BFB1-1E16-4AAF-B897-BDB89A959236}" name="16" dataDxfId="213"/>
    <tableColumn id="21" xr3:uid="{59358170-0222-4874-AD9B-C62FD42C1781}" name="17" dataDxfId="212"/>
    <tableColumn id="22" xr3:uid="{3597709E-94C5-46EE-9EC8-6A01D99B5F64}" name="18" dataDxfId="211"/>
    <tableColumn id="23" xr3:uid="{F1F19124-D775-4816-A7AF-720FE24E13CF}" name="19" dataDxfId="210"/>
    <tableColumn id="24" xr3:uid="{BB0B6FC0-48B8-4D18-A4B6-1BEA4C2BDFBD}" name="20" dataDxfId="209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88318C-D375-4433-B376-FD34F32A25BD}" name="Table7" displayName="Table7" ref="C3:N4" totalsRowShown="0" headerRowDxfId="15" dataDxfId="14" headerRowBorderDxfId="12" tableBorderDxfId="13">
  <tableColumns count="12">
    <tableColumn id="1" xr3:uid="{52B97E9E-BEBC-4B5E-984E-5E056281047F}" name="Debt/Assets [%]" dataDxfId="11"/>
    <tableColumn id="2" xr3:uid="{F58E2D0D-BC92-4B12-823B-D1CB7E6CD047}" name="Equity/Assets [%]" dataDxfId="10"/>
    <tableColumn id="3" xr3:uid="{A38F9D59-410A-4196-BD2C-CC080941F00B}" name="WACC [%]" dataDxfId="9"/>
    <tableColumn id="4" xr3:uid="{BED3D325-D1E9-434A-955D-B447A8F4DFEE}" name="MARR [%]" dataDxfId="8"/>
    <tableColumn id="5" xr3:uid="{F3445B80-36A1-4F37-8BDA-3F4241F849E4}" name="MARR (No Inf.) [%]" dataDxfId="7"/>
    <tableColumn id="6" xr3:uid="{74965F4C-47A6-49A5-9F77-1AEFF473A494}" name="Risk Premium [%]" dataDxfId="6"/>
    <tableColumn id="7" xr3:uid="{900B7C3D-6EA1-44DD-BC26-B95915C6DC3C}" name="Beta [-]" dataDxfId="5"/>
    <tableColumn id="8" xr3:uid="{BFFBEB71-4BB7-46C9-9157-02FF67D00149}" name="Cost of Equity [%]" dataDxfId="4"/>
    <tableColumn id="9" xr3:uid="{9168AA4E-B304-4F87-A518-00ABE8DD4623}" name="Loan Rate [%]" dataDxfId="3"/>
    <tableColumn id="10" xr3:uid="{FF0EF7EF-1E8D-40F1-BD56-AEDBD270DB94}" name="Risk-Free Rate [%]" dataDxfId="2"/>
    <tableColumn id="11" xr3:uid="{63B4B75B-787A-460A-BFD2-767D7C43960C}" name="S&amp;P 500 [%]" dataDxfId="1"/>
    <tableColumn id="12" xr3:uid="{C08B5AD7-A2D9-44AD-B391-2E682518BEEB}" name="Inflation [%]" dataDxfId="0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3036774-4C85-49E0-85F0-FEDC1600562F}" name="Table8" displayName="Table8" ref="C3:K112" totalsRowShown="0" headerRowDxfId="208" headerRowBorderDxfId="207" tableBorderDxfId="206">
  <tableColumns count="9">
    <tableColumn id="1" xr3:uid="{2E78DD8F-897E-4870-AAF4-3ADD4286C8BF}" name="Unit ID"/>
    <tableColumn id="2" xr3:uid="{8C68261A-DD4A-4EEE-B190-4A1191AF1CCD}" name="Purchased Cost [USD]" dataDxfId="205"/>
    <tableColumn id="3" xr3:uid="{F96A6FC4-F875-49EF-8302-775BE2D51AD4}" name="Installed Cost [USD]" dataDxfId="204"/>
    <tableColumn id="4" xr3:uid="{AB645BEA-897D-42AE-8D6C-36FB9DC9E674}" name="O&amp;M Cost [USD/Year]" dataDxfId="203"/>
    <tableColumn id="5" xr3:uid="{5FA23926-1AA9-4ED1-BEBB-A71BC2B68502}" name="Utilities [*]" dataDxfId="202"/>
    <tableColumn id="6" xr3:uid="{25FC5D5B-AFEA-47BC-A385-5A681382A9EF}" name="Utilities ID" dataDxfId="201"/>
    <tableColumn id="7" xr3:uid="{DE031004-A31B-43D3-89D7-C0014F464848}" name="Lifespan [Years]" dataDxfId="200"/>
    <tableColumn id="8" xr3:uid="{E84F7554-5976-4D91-B204-C319C6A414D3}" name="Start Year" dataDxfId="199"/>
    <tableColumn id="9" xr3:uid="{68929C51-D9F9-4BF0-938D-16CB87C13F58}" name="MACRS Class" dataDxfId="198"/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CBAA553-9680-452B-8515-687B904DEF82}" name="Table9" displayName="Table9" ref="C3:I11" totalsRowShown="0" headerRowDxfId="197" headerRowBorderDxfId="196" tableBorderDxfId="195">
  <tableColumns count="7">
    <tableColumn id="1" xr3:uid="{A82A736D-ED87-4B1E-B1FE-4EEE8C74D112}" name="Unit ID"/>
    <tableColumn id="2" xr3:uid="{C2F2483D-A927-42DD-9646-63B22C5AEBB7}" name="Depreciable [0/1]"/>
    <tableColumn id="3" xr3:uid="{F542F88F-648B-472A-85D9-12C65D965CE1}" name="Purchased Cost [USD]"/>
    <tableColumn id="4" xr3:uid="{01044D2B-09FC-4CB7-9026-E288D41956D6}" name="Annual Costs [USD/Year]"/>
    <tableColumn id="5" xr3:uid="{FA402735-8973-43B1-A874-6EF5D8023F9C}" name="Lifespan [Years]"/>
    <tableColumn id="6" xr3:uid="{D03B5B1A-CD5B-4508-8C48-5F27506C717F}" name="Purchase Year [-]"/>
    <tableColumn id="7" xr3:uid="{6EF0A1CA-F385-4CF1-9D7C-E75EFA2D30DD}" name="MACRS Class"/>
  </tableColumns>
  <tableStyleInfo name="Table Style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B4675DF-A5B2-4B24-9617-2054E4AE998F}" name="Table10" displayName="Table10" ref="C3:I5" totalsRowShown="0" headerRowDxfId="194" headerRowBorderDxfId="193" tableBorderDxfId="192">
  <tableColumns count="7">
    <tableColumn id="1" xr3:uid="{B055580D-1097-4E45-B28D-E76146DAE05E}" name="Unit ID"/>
    <tableColumn id="2" xr3:uid="{7DF580E9-33A2-4F6B-B491-4A8DA51CFC5B}" name="Purchased Cost [USD]" dataDxfId="191"/>
    <tableColumn id="3" xr3:uid="{D5A50A63-81A2-48B0-9593-72671A3BCF31}" name="Installed Cost [USD]" dataDxfId="190"/>
    <tableColumn id="4" xr3:uid="{D8450201-9202-4210-BC5E-5B2F332546ED}" name="O&amp;M Cost [USD/Year]" dataDxfId="189"/>
    <tableColumn id="5" xr3:uid="{9FAAD903-A1BE-43E4-9606-5807D2758C08}" name="Lifespan [Years]" dataDxfId="188"/>
    <tableColumn id="6" xr3:uid="{94AD27CB-AD09-48D5-AA3B-7F68BA457E1B}" name="Start Year" dataDxfId="187"/>
    <tableColumn id="7" xr3:uid="{01F3391F-625C-4DAA-8546-08DF2A8B1342}" name="MACRS Class" dataDxfId="186"/>
  </tableColumns>
  <tableStyleInfo name="Table Style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CDD395B-CFB3-4424-B1CA-0A308BA3C929}" name="Table12" displayName="Table12" ref="C3:J16" totalsRowShown="0" headerRowDxfId="185" headerRowBorderDxfId="184" tableBorderDxfId="183">
  <tableColumns count="8">
    <tableColumn id="1" xr3:uid="{C4221325-62C0-4F70-A3BE-68C910E398CE}" name="Unit ID"/>
    <tableColumn id="2" xr3:uid="{A4C0BF7D-6FC3-4296-B2BF-00844D9B3D4E}" name="Purchased Cost [USD]"/>
    <tableColumn id="3" xr3:uid="{C04767C5-8EB8-4FE3-9F8A-0D67B4826B22}" name="Installed Cost/Unit [USD]"/>
    <tableColumn id="4" xr3:uid="{328FC5F1-10D4-4E4F-80F0-F0356492C069}" name="Cost/Unit [USD]"/>
    <tableColumn id="5" xr3:uid="{A34205C9-C3C8-4327-9F7E-DEF4D69CC8DC}" name="Units Bought [-]"/>
    <tableColumn id="6" xr3:uid="{7C8F7628-2CC4-4ED7-81D1-586EDCE4E5F2}" name="Lifespan [Years]"/>
    <tableColumn id="7" xr3:uid="{7FFFD9E7-D3DA-4DE9-B8F5-CF8BA1E7D0DA}" name="Start Year"/>
    <tableColumn id="8" xr3:uid="{69E87681-6BCD-40D1-9D4B-654CA6AA9EB3}" name="MACRS Class"/>
  </tableColumns>
  <tableStyleInfo name="Table Style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9F39170-12AD-4C5A-92D1-399241BA8A1B}" name="Table13" displayName="Table13" ref="C3:F11" totalsRowShown="0" headerRowDxfId="182" headerRowBorderDxfId="181" tableBorderDxfId="180">
  <tableColumns count="4">
    <tableColumn id="1" xr3:uid="{598307F4-B1A6-4DF9-B9B0-0ACAA9FF1823}" name="Unit ID"/>
    <tableColumn id="2" xr3:uid="{7036F9CD-A673-4974-9C59-FC37C1E1BF83}" name="Cost/MT [USD]" dataDxfId="179"/>
    <tableColumn id="3" xr3:uid="{2C2046D4-B020-470B-B9ED-C2DEE08A9C6C}" name=" Units Bought [MT/Year]" dataDxfId="178"/>
    <tableColumn id="4" xr3:uid="{C7BD2233-05ED-4CB3-8F67-B3809EDB31B4}" name="Cost/Year [USD/Year]" dataDxfId="177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6AB08F7-301D-4919-9056-DA57538ADADF}" name="Table14" displayName="Table14" ref="C3:F7" totalsRowShown="0" headerRowDxfId="176" headerRowBorderDxfId="175" tableBorderDxfId="174">
  <tableColumns count="4">
    <tableColumn id="1" xr3:uid="{F68D2EB9-FE51-479E-BB7D-283C7CDDE529}" name="Unit ID"/>
    <tableColumn id="2" xr3:uid="{3B364940-DFE2-44EE-96CE-5C900A3A49E9}" name="Cost/Unit, Lower [USD]"/>
    <tableColumn id="3" xr3:uid="{0B483456-B608-4AD8-8F9A-91D57C81BBF1}" name="Cost/Unit, Upper [USD]"/>
    <tableColumn id="4" xr3:uid="{CEE3A806-965B-4063-9F03-C58A473CCE4A}" name=" Units Sold [1/Year]"/>
  </tableColumns>
  <tableStyleInfo name="Table Style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147DA9D-8C0F-4D0D-94F5-5B9F6C47F65F}" name="Table15" displayName="Table15" ref="C3:Z32" totalsRowShown="0" headerRowDxfId="173" headerRowBorderDxfId="172" tableBorderDxfId="171">
  <tableColumns count="24">
    <tableColumn id="1" xr3:uid="{3D1F14FD-9119-4867-A57E-2333DF56A337}" name="Position"/>
    <tableColumn id="2" xr3:uid="{A3FFA3F3-7B33-42C3-8ECC-9D66F7CEDDF4}" name="# of Personnel"/>
    <tableColumn id="3" xr3:uid="{3A3C9010-4518-4A90-8BE5-DE5D30ABE38A}" name="Salary [USD/Year]"/>
    <tableColumn id="4" xr3:uid="{25C511A0-F5CF-4676-9A21-2256367893DD}" name="Hourly [USD/hr]"/>
    <tableColumn id="5" xr3:uid="{D771C373-87BE-4BD6-86F3-332C5FD8CDCC}" name="Salary Cost [USD/Year]"/>
    <tableColumn id="6" xr3:uid="{69FD18C6-DF6B-4F0C-931A-C91BD9B8662F}" name="Non Salary Cost [USD/Year]" dataDxfId="170"/>
    <tableColumn id="7" xr3:uid="{C76B3087-2170-4EB2-93AD-57F44BF86895}" name="Total Cost [USD/Year]" dataDxfId="169"/>
    <tableColumn id="8" xr3:uid="{EB39CCBF-2E3F-46AB-833B-2F4E53A458F3}" name="Operational Staff [0/1]"/>
    <tableColumn id="9" xr3:uid="{8E196799-90A5-405F-9121-69811FB9B395}" name="Overtime [USD/Year]" dataDxfId="168"/>
    <tableColumn id="10" xr3:uid="{5E417F4E-C1C0-4A7D-961A-64F2D7DF0720}" name="Bonuses [USD/Year]" dataDxfId="167"/>
    <tableColumn id="11" xr3:uid="{AFE87F39-45C2-48D5-9D04-BFCBE62753F9}" name="Training [USD/Year]" dataDxfId="166"/>
    <tableColumn id="12" xr3:uid="{D346BD0E-E0C5-4EB4-AC63-36980A33C485}" name="Social Security [USD/Year]" dataDxfId="165"/>
    <tableColumn id="13" xr3:uid="{CE6A647E-EF87-48B8-B8AD-604335ECB582}" name="Unemployment [USD/Year]" dataDxfId="164"/>
    <tableColumn id="14" xr3:uid="{BA24FA01-454F-4669-A223-72BE774D65D2}" name="Workers Comp. [USD/Year]" dataDxfId="163"/>
    <tableColumn id="15" xr3:uid="{06506C94-86AF-4452-8DF0-83D83D9099D5}" name="Medical Leave [USD/Year]" dataDxfId="162"/>
    <tableColumn id="16" xr3:uid="{85C5D556-DEC0-4231-AF75-0C98097C9541}" name="Health Care [USD/Year]" dataDxfId="161"/>
    <tableColumn id="17" xr3:uid="{C31468B8-26AC-4665-B9BF-90E71BE1049B}" name="Federal Benefits [USD/Year]" dataDxfId="160"/>
    <tableColumn id="18" xr3:uid="{A432B7C7-2014-49B1-BABB-B2321E71AF88}" name="Vision [USD/Year]" dataDxfId="159"/>
    <tableColumn id="19" xr3:uid="{8BC010FF-6905-43FC-986B-52A834AD42EC}" name="Dental  [USD/Year]" dataDxfId="158"/>
    <tableColumn id="20" xr3:uid="{058B95F8-5A05-4EEE-8D6E-D93571618D67}" name="Disability [USD/Year]" dataDxfId="157"/>
    <tableColumn id="21" xr3:uid="{B40CD9D5-AB55-47D3-846E-963960365D29}" name="Life Insurance [USD/Year]" dataDxfId="156"/>
    <tableColumn id="22" xr3:uid="{0B74B8F4-26A0-428E-8607-A6675D088DB4}" name="401K Program [USD/Year]" dataDxfId="155"/>
    <tableColumn id="23" xr3:uid="{C3D43F09-4684-4632-ACA8-5C1FC2CA82D2}" name="401K Mat. (5%) [USD/Year]" dataDxfId="154"/>
    <tableColumn id="24" xr3:uid="{D3C4BB32-7B55-49E6-B1C4-E39089C933FB}" name="Non-Federal &amp; Bonuses [USD/Year]" dataDxfId="153"/>
  </tableColumns>
  <tableStyleInfo name="Table Style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BF56D9B-1F81-4630-8E40-B0F0718B1F5C}" name="Table16" displayName="Table16" ref="C3:F9" totalsRowShown="0" headerRowDxfId="152" headerRowBorderDxfId="151" tableBorderDxfId="150">
  <tableColumns count="4">
    <tableColumn id="1" xr3:uid="{4013E051-14CA-4895-9DA9-EA376E1C2E15}" name="Unit ID"/>
    <tableColumn id="2" xr3:uid="{D3D96634-1505-4592-905D-364177821B10}" name="Cost/Unit [USD/*]" dataDxfId="149"/>
    <tableColumn id="3" xr3:uid="{F4BB3EA5-90F2-49D6-8CEF-0289D4CEA0D2}" name="Units Bought [*]" dataDxfId="148"/>
    <tableColumn id="4" xr3:uid="{38030028-F139-4256-AAEF-996671F43FED}" name="Cost [USD/Year]" dataDxfId="147"/>
  </tableColumns>
  <tableStyleInfo name="Table Style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4BEECBB-D8B1-40B2-BE5D-55BBE3FF2644}" name="Table17" displayName="Table17" ref="C3:G27" totalsRowShown="0" headerRowDxfId="146" headerRowBorderDxfId="145" tableBorderDxfId="144">
  <tableColumns count="5">
    <tableColumn id="1" xr3:uid="{7CE5DF3C-2311-4790-9497-547431B1D6A6}" name="Unit ID"/>
    <tableColumn id="2" xr3:uid="{4EB5BA2B-3E38-4E15-B87F-A4D3419C47A2}" name="Cost/Unit [USD/*]"/>
    <tableColumn id="3" xr3:uid="{E007ACB9-C014-4CC0-9534-1054CCCBD24F}" name=" Units Bought [1/Lifespan]"/>
    <tableColumn id="4" xr3:uid="{57684F8E-8EC8-4296-9325-A204FAFFFAFF}" name="Lifespan [Years]"/>
    <tableColumn id="5" xr3:uid="{BFCA7188-66D6-445B-9C3E-9950BE2CE353}" name="Purchase Year [-]"/>
  </tableColumns>
  <tableStyleInfo name="Table Style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76863BF-1FDA-4351-B683-A99D5B024B6D}" name="Table18" displayName="Table18" ref="C3:Z135" totalsRowShown="0" headerRowDxfId="143" headerRowBorderDxfId="142" tableBorderDxfId="141">
  <tableColumns count="24">
    <tableColumn id="1" xr3:uid="{C6A37868-29E2-452E-9D89-AF09078D76E9}" name="Year:"/>
    <tableColumn id="2" xr3:uid="{EBE877C2-775D-48F8-8828-DE1EA6CE47A7}" name="-2"/>
    <tableColumn id="3" xr3:uid="{5C58CEB7-1C6F-4E97-903A-DCE5EDDAFE90}" name="-1"/>
    <tableColumn id="4" xr3:uid="{23B44EE5-A8D9-4BA5-8EA4-5E2A06BEACE1}" name="0"/>
    <tableColumn id="5" xr3:uid="{DD122282-FB42-40CF-9965-D24C25D6FDC1}" name="1"/>
    <tableColumn id="6" xr3:uid="{71AC3F11-AC67-4FB3-9921-225D18A78971}" name="2"/>
    <tableColumn id="7" xr3:uid="{059F7547-4471-4C45-99C4-D47FA557282A}" name="3"/>
    <tableColumn id="8" xr3:uid="{02B916FE-3439-41C3-A472-3EC103CA8EA8}" name="4"/>
    <tableColumn id="9" xr3:uid="{57A70996-3B71-4CCF-9EE2-DE00BD5167A1}" name="5"/>
    <tableColumn id="10" xr3:uid="{A8796F63-3D28-449C-AA63-C625849E2A0D}" name="6"/>
    <tableColumn id="11" xr3:uid="{EE87F6DE-7844-4E5F-9DDB-44A155D1726F}" name="7"/>
    <tableColumn id="12" xr3:uid="{D2A576E9-48C7-4296-B755-7540EEA10D3B}" name="8"/>
    <tableColumn id="13" xr3:uid="{7F764881-DEC9-45CA-B503-5A280A7A6ACA}" name="9"/>
    <tableColumn id="14" xr3:uid="{4D2D4CE6-B9F3-4CF9-BF58-05D05231DAAC}" name="10"/>
    <tableColumn id="15" xr3:uid="{820A40BA-131C-4D92-842C-C3AC8956D576}" name="11"/>
    <tableColumn id="16" xr3:uid="{080A5FC5-6D69-4513-BF7E-654E5C053DDA}" name="12"/>
    <tableColumn id="17" xr3:uid="{A19BE3B6-B4C4-445C-A26D-029C6DD775DE}" name="13"/>
    <tableColumn id="18" xr3:uid="{159382CB-5990-4614-919E-7B414F6BA2E0}" name="14"/>
    <tableColumn id="19" xr3:uid="{57C66152-C862-408E-97A2-DB2CD22A21D4}" name="15"/>
    <tableColumn id="20" xr3:uid="{88D11564-281E-4DE8-8043-4B331477DDF7}" name="16"/>
    <tableColumn id="21" xr3:uid="{E32A30C7-5774-496C-8665-C21C632EBCE3}" name="17"/>
    <tableColumn id="22" xr3:uid="{E812CEB1-3E82-4FA8-A795-771C89C765DE}" name="18"/>
    <tableColumn id="23" xr3:uid="{61F96C14-0240-44FD-A216-277BFE6E0AB5}" name="19"/>
    <tableColumn id="24" xr3:uid="{C814D67E-546E-4ABA-896C-F2AD80C204E5}" name="20"/>
  </tableColumns>
  <tableStyleInfo name="Table Style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570564C-0787-4938-8E1D-36206EF991B2}" name="Table19" displayName="Table19" ref="C3:Z27" totalsRowShown="0" headerRowDxfId="140" headerRowBorderDxfId="139" tableBorderDxfId="138">
  <tableColumns count="24">
    <tableColumn id="1" xr3:uid="{CEFF15C1-E6C6-414C-95F5-AB4F30633468}" name="Year:"/>
    <tableColumn id="2" xr3:uid="{D5485E91-6795-4C95-B236-10CCDE34A3BF}" name="-2"/>
    <tableColumn id="3" xr3:uid="{24037DE6-938D-4F06-B559-463FE1F808C1}" name="-1"/>
    <tableColumn id="4" xr3:uid="{34D4BBDC-7229-48A0-9251-10074067B1E4}" name="0"/>
    <tableColumn id="5" xr3:uid="{F185A19C-5005-4005-991D-B2CF00D7C6BB}" name="1"/>
    <tableColumn id="6" xr3:uid="{11BBBEEB-4EBC-403A-BA80-4808B8C553F4}" name="2"/>
    <tableColumn id="7" xr3:uid="{37CB2E95-6D79-4A39-9313-7A2BF8344A0B}" name="3"/>
    <tableColumn id="8" xr3:uid="{E1D9230E-77B0-4C58-BEED-9523AFB0926D}" name="4"/>
    <tableColumn id="9" xr3:uid="{C2AFBFAF-D4E8-47E0-9FBE-10A49E03DAAE}" name="5"/>
    <tableColumn id="10" xr3:uid="{7C9BC18A-E343-47DE-B3A1-F2CBBCA72402}" name="6"/>
    <tableColumn id="11" xr3:uid="{3BDFDF77-4999-47DE-AC06-BF8895639584}" name="7"/>
    <tableColumn id="12" xr3:uid="{90033FAE-9AC9-405D-A99A-A54769ED3BA9}" name="8"/>
    <tableColumn id="13" xr3:uid="{A437F7AF-6C39-4358-B8F4-780B15ECDB21}" name="9"/>
    <tableColumn id="14" xr3:uid="{94958BF1-9771-410F-8F3F-90BCAB57B7B6}" name="10"/>
    <tableColumn id="15" xr3:uid="{670173D5-B3DD-438F-AE02-B24AFE778A2C}" name="11"/>
    <tableColumn id="16" xr3:uid="{D92068E1-344A-4940-BA23-7CAD11C7FC3A}" name="12"/>
    <tableColumn id="17" xr3:uid="{2957B185-B7C9-494F-8AD0-93D264BBBAC7}" name="13"/>
    <tableColumn id="18" xr3:uid="{EECFB688-9D95-4171-AEF9-C36419B181EA}" name="14"/>
    <tableColumn id="19" xr3:uid="{D399A0DE-9F9C-4ACC-90AC-23A4489587EF}" name="15"/>
    <tableColumn id="20" xr3:uid="{0A7796AA-D62C-466D-923A-6B4CEC36E877}" name="16"/>
    <tableColumn id="21" xr3:uid="{1853607D-D848-44E9-A3FF-576E9D4E7C64}" name="17"/>
    <tableColumn id="22" xr3:uid="{B03C6E3E-B105-4C7A-A0A8-45894B88D700}" name="18"/>
    <tableColumn id="23" xr3:uid="{4439B8D9-A8D0-42FA-81A5-92A629C88CB2}" name="19"/>
    <tableColumn id="24" xr3:uid="{E597D8B2-3CFE-4EB7-882E-82CB0CF146FD}" name="20"/>
  </tableColumns>
  <tableStyleInfo name="Table Style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5F48ECB-F264-48BC-B707-B71EF1A97806}" name="Table20" displayName="Table20" ref="C3:Z8" totalsRowShown="0" headerRowDxfId="137" headerRowBorderDxfId="136" tableBorderDxfId="135">
  <tableColumns count="24">
    <tableColumn id="1" xr3:uid="{FAB4A72B-8CD7-442F-923E-A94F8E0032B1}" name="Year:"/>
    <tableColumn id="2" xr3:uid="{476C2F23-C5D4-4CE9-9CC1-3815A3EB08C7}" name="-2" dataDxfId="134"/>
    <tableColumn id="3" xr3:uid="{1CA607F3-E7D9-4C05-81E6-A7DF20940552}" name="-1" dataDxfId="133"/>
    <tableColumn id="4" xr3:uid="{D386CB80-82EC-415C-B6B0-33EFF8D6D682}" name="0" dataDxfId="132"/>
    <tableColumn id="5" xr3:uid="{FC77DCDE-5D60-46BC-97D3-CEEF52373023}" name="1" dataDxfId="131"/>
    <tableColumn id="6" xr3:uid="{E3CC34FA-CE3A-4471-9769-877CA45EF763}" name="2" dataDxfId="130"/>
    <tableColumn id="7" xr3:uid="{F88F1198-B6D2-4461-8282-3D559711ABC9}" name="3" dataDxfId="129"/>
    <tableColumn id="8" xr3:uid="{58ABA3BF-0E3C-4D51-92F4-5FACB8A7BC16}" name="4" dataDxfId="128"/>
    <tableColumn id="9" xr3:uid="{97F22B55-6A92-47C3-863A-9A36758D90DF}" name="5" dataDxfId="127"/>
    <tableColumn id="10" xr3:uid="{76AA66AF-EB0B-4857-A3D9-1EED690DB583}" name="6" dataDxfId="126"/>
    <tableColumn id="11" xr3:uid="{2739B4F5-5668-4C54-A000-92561FF14F7B}" name="7" dataDxfId="125"/>
    <tableColumn id="12" xr3:uid="{63E0B879-D2AE-4D5C-B528-347517EBE690}" name="8" dataDxfId="124"/>
    <tableColumn id="13" xr3:uid="{26C1EC4F-2FE2-43FB-B77F-85083A41D8B6}" name="9" dataDxfId="123"/>
    <tableColumn id="14" xr3:uid="{F99C588A-72B6-466F-B19E-FF605A77D143}" name="10" dataDxfId="122"/>
    <tableColumn id="15" xr3:uid="{F5F0D545-4C16-45C7-8189-60B5B18BA179}" name="11" dataDxfId="121"/>
    <tableColumn id="16" xr3:uid="{8E2D3F91-86EA-46DA-8306-61FBC8335123}" name="12" dataDxfId="120"/>
    <tableColumn id="17" xr3:uid="{1B969E49-6366-4A31-A15A-192659C9B7CF}" name="13" dataDxfId="119"/>
    <tableColumn id="18" xr3:uid="{1B74F614-FA8F-4CB2-952F-C2DAC48DD3F6}" name="14" dataDxfId="118"/>
    <tableColumn id="19" xr3:uid="{0A0E190C-0CBF-4E5B-A4EF-3CD23FA3839C}" name="15" dataDxfId="117"/>
    <tableColumn id="20" xr3:uid="{F37EA7B1-A56D-4452-A6B0-47CE7A680444}" name="16" dataDxfId="116"/>
    <tableColumn id="21" xr3:uid="{6EA4FE71-46F2-4FD5-B9B7-A6729348D42E}" name="17" dataDxfId="115"/>
    <tableColumn id="22" xr3:uid="{6D0097D5-2F9F-46F6-A259-E18616D450C6}" name="18" dataDxfId="114"/>
    <tableColumn id="23" xr3:uid="{5FB62A10-FC6E-4D07-B766-B4A546B12835}" name="19" dataDxfId="113"/>
    <tableColumn id="24" xr3:uid="{96A59D60-916C-4A13-AB37-1E307255872F}" name="20" dataDxfId="112"/>
  </tableColumns>
  <tableStyleInfo name="Table Style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024ED7F-F947-4154-B66D-D7071CC01622}" name="Table21" displayName="Table21" ref="C3:Z135" totalsRowShown="0" headerRowDxfId="111" headerRowBorderDxfId="110" tableBorderDxfId="109">
  <tableColumns count="24">
    <tableColumn id="1" xr3:uid="{EDC6D2EB-8259-4950-9986-C6F1637A7DC7}" name="Year:"/>
    <tableColumn id="2" xr3:uid="{2AB98ECB-3DC4-4D0D-945F-4467C42EE313}" name="-2"/>
    <tableColumn id="3" xr3:uid="{F0DBCE16-9B6A-4071-A98E-F66DCD0BAA93}" name="-1"/>
    <tableColumn id="4" xr3:uid="{ADB1E26A-CB4C-430D-A36B-2F6AC0DB884D}" name="0"/>
    <tableColumn id="5" xr3:uid="{508FD59E-8C77-4818-8FB3-9ECCAE77D449}" name="1"/>
    <tableColumn id="6" xr3:uid="{799F0D9A-F553-45FE-9CF0-2C366D634504}" name="2"/>
    <tableColumn id="7" xr3:uid="{4B6F6178-AA34-4596-B891-F2EDD463AD26}" name="3"/>
    <tableColumn id="8" xr3:uid="{FC29E224-4BA8-4C6C-AD0B-A6D07EBB7EC1}" name="4"/>
    <tableColumn id="9" xr3:uid="{E1D9AFAF-B78C-4894-BF80-0BC2A036BBE8}" name="5"/>
    <tableColumn id="10" xr3:uid="{E8FDE7D1-B040-45DE-9F87-D5E1B5C3C664}" name="6"/>
    <tableColumn id="11" xr3:uid="{5E614090-B9ED-4321-907E-715F953E2888}" name="7"/>
    <tableColumn id="12" xr3:uid="{6C4B3F18-7948-4F61-9A7E-D8EF94198230}" name="8"/>
    <tableColumn id="13" xr3:uid="{17FEA243-9C96-4075-B543-6C678A0D8856}" name="9"/>
    <tableColumn id="14" xr3:uid="{4830C2A5-00A8-43C2-8BF1-9A6BA23BADED}" name="10"/>
    <tableColumn id="15" xr3:uid="{A7877A5D-FD08-40A1-AA5F-4AF1E6EC9B69}" name="11"/>
    <tableColumn id="16" xr3:uid="{1385BC65-0D4E-44F5-AA8B-D5D38F7EA8F3}" name="12"/>
    <tableColumn id="17" xr3:uid="{75B4311B-F78E-44BB-B261-0F398B2987AD}" name="13"/>
    <tableColumn id="18" xr3:uid="{FCF6BB9C-7E21-4E57-B721-321A81BB6CC7}" name="14"/>
    <tableColumn id="19" xr3:uid="{E21FF54F-65A9-4DA9-8E77-6A09B3D77B3D}" name="15"/>
    <tableColumn id="20" xr3:uid="{17C4E968-A4DF-4766-A56D-F5FED59D6795}" name="16"/>
    <tableColumn id="21" xr3:uid="{B2A0B6C8-AA6B-41BE-A10F-118C3A94CD34}" name="17"/>
    <tableColumn id="22" xr3:uid="{A50450B1-DCD3-4951-91FB-6EEF2B5A0D7F}" name="18"/>
    <tableColumn id="23" xr3:uid="{B81A7A8B-B95A-4309-B66C-EF2EE5D77F7A}" name="19"/>
    <tableColumn id="24" xr3:uid="{E27DD536-009C-491C-A7B2-73B64FD2FD72}" name="20"/>
  </tableColumns>
  <tableStyleInfo name="Table Style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360482C-49C7-4594-8941-C59F3E693D4D}" name="Table22" displayName="Table22" ref="C3:Z135" totalsRowShown="0" headerRowDxfId="108" headerRowBorderDxfId="107" tableBorderDxfId="106">
  <tableColumns count="24">
    <tableColumn id="1" xr3:uid="{9474EA70-A175-4678-8D8D-8DA310771631}" name="Year:"/>
    <tableColumn id="2" xr3:uid="{545D8A68-D6EF-433C-9942-822AF0B321CF}" name="-2"/>
    <tableColumn id="3" xr3:uid="{1B7EB9D1-8E87-4719-A971-9C2248F407F7}" name="-1"/>
    <tableColumn id="4" xr3:uid="{2656467F-0525-4A2F-B0BF-7A7C91FEE0F4}" name="0"/>
    <tableColumn id="5" xr3:uid="{AD8EB767-D90E-47A8-9FF7-5F61FA35A8B2}" name="1"/>
    <tableColumn id="6" xr3:uid="{539B7CBA-BA91-423D-9D73-9FDEBE2E93AE}" name="2"/>
    <tableColumn id="7" xr3:uid="{C04E4B28-1483-4848-9E8D-0E57A9FC5BAC}" name="3"/>
    <tableColumn id="8" xr3:uid="{C631D80A-53F6-42E9-970E-092912556EF1}" name="4"/>
    <tableColumn id="9" xr3:uid="{792495E8-A098-4DFE-BE35-A5934B50E43E}" name="5"/>
    <tableColumn id="10" xr3:uid="{AF011B8C-7346-49EA-9E01-9AC9FAFD77E8}" name="6"/>
    <tableColumn id="11" xr3:uid="{CCAEBDEA-BB02-4536-A03B-C728B0C5CF15}" name="7"/>
    <tableColumn id="12" xr3:uid="{15177D0E-A8EB-4009-AE9A-3B4457AA1B54}" name="8"/>
    <tableColumn id="13" xr3:uid="{04CF8E81-50CB-4FDD-B29E-B89646335D46}" name="9"/>
    <tableColumn id="14" xr3:uid="{3AD0D36D-1ED5-46AC-BD34-B07AC6B0BC9D}" name="10"/>
    <tableColumn id="15" xr3:uid="{DC05148F-025F-4444-8681-FBEC0980D949}" name="11"/>
    <tableColumn id="16" xr3:uid="{02BE8907-0474-44F8-AE6C-C34F5F5E8AA4}" name="12"/>
    <tableColumn id="17" xr3:uid="{40437579-269B-4183-B3FE-E29D3D0449BB}" name="13"/>
    <tableColumn id="18" xr3:uid="{44B82737-AFA6-47F9-B704-EA656843B50F}" name="14"/>
    <tableColumn id="19" xr3:uid="{0B5AB376-2C2C-4AD4-982C-135CF6C3BF2B}" name="15"/>
    <tableColumn id="20" xr3:uid="{E1D5695E-670D-4010-8ECD-3C780486B7CC}" name="16"/>
    <tableColumn id="21" xr3:uid="{C6A49064-05BD-4286-A7BF-76C9BBE67C1A}" name="17"/>
    <tableColumn id="22" xr3:uid="{7D2BF10C-7228-472D-8529-EAC425758AC3}" name="18"/>
    <tableColumn id="23" xr3:uid="{9F03C5B0-43B4-485A-8ED7-AA76E79B65D2}" name="19"/>
    <tableColumn id="24" xr3:uid="{25881895-F258-4AB6-B5F6-3AD1E1A527AF}" name="20"/>
  </tableColumns>
  <tableStyleInfo name="Table Style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A8BD0CD7-48B7-4992-A6E6-BA2D0D72A11D}" name="Table23" displayName="Table23" ref="C3:I27" totalsRowShown="0" headerRowDxfId="105" headerRowBorderDxfId="104" tableBorderDxfId="103">
  <tableColumns count="7">
    <tableColumn id="1" xr3:uid="{ACFC2C8C-21E6-4D84-ABE0-762A8079DC70}" name="Period"/>
    <tableColumn id="2" xr3:uid="{34DBE57B-0612-41DE-BDBA-CA41CCE34DD3}" name="Payment [USD]" dataDxfId="102"/>
    <tableColumn id="3" xr3:uid="{F5107266-4DFF-4F95-B1ED-FAC16642D930}" name="Principle Payment [USD]" dataDxfId="101"/>
    <tableColumn id="4" xr3:uid="{23EE0BA0-1817-433C-9D48-FCFC35324423}" name="Interest Payment [USD]" dataDxfId="100"/>
    <tableColumn id="5" xr3:uid="{57808E18-97C7-4410-80A1-8D6E5E17D8D8}" name="Cumulative Principle Payment [USD]" dataDxfId="99"/>
    <tableColumn id="6" xr3:uid="{9AF31B02-6433-44D4-9E5C-25E218978FDA}" name="Cumulative Interest Payment [USD]" dataDxfId="98"/>
    <tableColumn id="7" xr3:uid="{6BC17574-2843-4907-949F-73628F3F12AF}" name="Principle Balance [USD]" dataDxfId="97"/>
  </tableColumns>
  <tableStyleInfo name="Table Style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990EB0C-A1D9-4FD6-A30D-F3702587BC67}" name="Table24" displayName="Table24" ref="C3:Z135" totalsRowShown="0" headerRowDxfId="96" headerRowBorderDxfId="95" tableBorderDxfId="94">
  <tableColumns count="24">
    <tableColumn id="1" xr3:uid="{67F77207-E5B7-4549-BD93-6A9BDC8C084D}" name="Year:"/>
    <tableColumn id="2" xr3:uid="{5CBCCCBE-DCA6-4E5C-B118-5E9E6421A18A}" name="-2"/>
    <tableColumn id="3" xr3:uid="{F9CDAA78-83D3-48E0-B052-787CD7E50A40}" name="-1"/>
    <tableColumn id="4" xr3:uid="{4E9F9F83-470D-4606-A6F4-A375912A95B5}" name="0"/>
    <tableColumn id="5" xr3:uid="{3079EA34-7349-4214-B0E8-69BCC55419FB}" name="1"/>
    <tableColumn id="6" xr3:uid="{DBA0926E-AD4E-4265-831C-B6D6DC72D01D}" name="2"/>
    <tableColumn id="7" xr3:uid="{A399DD84-5A9B-4855-A827-879B2E41C9D6}" name="3"/>
    <tableColumn id="8" xr3:uid="{4F2F3C6E-C936-4B68-BFD7-B02B3F6FE93F}" name="4"/>
    <tableColumn id="9" xr3:uid="{A50AA588-655A-4FE2-AB0A-79D39C027CD5}" name="5"/>
    <tableColumn id="10" xr3:uid="{1E0F5556-FCCE-4996-A822-0621187902B6}" name="6"/>
    <tableColumn id="11" xr3:uid="{079BABB0-68E2-49D6-B40C-1664C122CE59}" name="7"/>
    <tableColumn id="12" xr3:uid="{DE9CAECA-5F69-4337-9FE3-0AF05FFACF59}" name="8"/>
    <tableColumn id="13" xr3:uid="{D7B7B632-1DC3-412D-99BB-E0751C13EF61}" name="9"/>
    <tableColumn id="14" xr3:uid="{063DECFC-F303-4642-8EEE-ADC50657B6D0}" name="10"/>
    <tableColumn id="15" xr3:uid="{4A9AB00D-30E7-4380-9630-0444A2C6251F}" name="11"/>
    <tableColumn id="16" xr3:uid="{E0D7B124-529E-4408-80C4-17203D4C1C98}" name="12"/>
    <tableColumn id="17" xr3:uid="{8C7951B4-AA4A-4960-A8C8-9DA8B3A26F78}" name="13"/>
    <tableColumn id="18" xr3:uid="{BAE60328-4964-4114-B1F0-60147AF74F46}" name="14"/>
    <tableColumn id="19" xr3:uid="{FEF4C776-F9D9-48FD-B70B-837711D47055}" name="15"/>
    <tableColumn id="20" xr3:uid="{FDF4A2C0-83C5-4784-9E35-128BD1F0E25A}" name="16"/>
    <tableColumn id="21" xr3:uid="{C7BA4982-45B2-43EA-A6A5-730BF585A0B7}" name="17"/>
    <tableColumn id="22" xr3:uid="{42E6F041-020A-40F7-A4C6-9DE1B158A36C}" name="18"/>
    <tableColumn id="23" xr3:uid="{D450E852-5E4C-451D-93B1-8E0FD29E6E41}" name="19"/>
    <tableColumn id="24" xr3:uid="{2667EB27-24BB-4290-AC77-46A883E8B849}" name="20"/>
  </tableColumns>
  <tableStyleInfo name="Table Style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A76B757-6B2D-425E-B59F-9533E3C2389C}" name="Table25" displayName="Table25" ref="C3:Z8" totalsRowShown="0" headerRowDxfId="93" headerRowBorderDxfId="92" tableBorderDxfId="91">
  <tableColumns count="24">
    <tableColumn id="1" xr3:uid="{07C2F084-8B0E-492B-BF1F-5A2EFAA6080A}" name="Year:"/>
    <tableColumn id="2" xr3:uid="{A8E9529E-9C8E-4BBA-A317-A5C92E7CDA2D}" name="-2" dataDxfId="90"/>
    <tableColumn id="3" xr3:uid="{3936D6E3-3BD2-4CE1-B872-92B0FB01625A}" name="-1" dataDxfId="89"/>
    <tableColumn id="4" xr3:uid="{24DFA77D-DEB3-4904-AC51-253989630151}" name="0" dataDxfId="88"/>
    <tableColumn id="5" xr3:uid="{3A3063A0-EC90-4474-8A08-3831D613AC4B}" name="1" dataDxfId="87"/>
    <tableColumn id="6" xr3:uid="{87DA2419-C524-4827-BCEE-DDA8247904C1}" name="2" dataDxfId="86"/>
    <tableColumn id="7" xr3:uid="{FD6EFC67-1DAB-4DFA-8628-48316358863D}" name="3" dataDxfId="85"/>
    <tableColumn id="8" xr3:uid="{4B7E4A21-D66A-4C85-A59F-DAF7AEF3B5A4}" name="4" dataDxfId="84"/>
    <tableColumn id="9" xr3:uid="{40E8531F-6A2B-4BD3-AA32-44B19EEFCD6F}" name="5" dataDxfId="83"/>
    <tableColumn id="10" xr3:uid="{44E45E8D-2CFD-4B84-877A-9CA284E3B296}" name="6" dataDxfId="82"/>
    <tableColumn id="11" xr3:uid="{6C0C26BC-EEB7-4AA6-9953-8EC79F95B825}" name="7" dataDxfId="81"/>
    <tableColumn id="12" xr3:uid="{74C69A31-75E9-4D79-A1C9-2AB6699B9CF0}" name="8" dataDxfId="80"/>
    <tableColumn id="13" xr3:uid="{282F2A4A-5816-4DF7-B342-415297EC3759}" name="9" dataDxfId="79"/>
    <tableColumn id="14" xr3:uid="{666B5920-B305-4735-B20D-AEF390D48006}" name="10" dataDxfId="78"/>
    <tableColumn id="15" xr3:uid="{4AC6B5B0-BAB1-488B-9A3E-2787EFE60A8C}" name="11" dataDxfId="77"/>
    <tableColumn id="16" xr3:uid="{9E081ADB-817E-48AD-B8FC-2B80C1894C52}" name="12" dataDxfId="76"/>
    <tableColumn id="17" xr3:uid="{F28151CD-8182-444B-942E-30E690B68A09}" name="13" dataDxfId="75"/>
    <tableColumn id="18" xr3:uid="{4BBD4510-A32F-4693-95CD-E5AF14971A5C}" name="14" dataDxfId="74"/>
    <tableColumn id="19" xr3:uid="{C3FD7404-0175-4AD0-9262-1B37789CFAEE}" name="15" dataDxfId="73"/>
    <tableColumn id="20" xr3:uid="{7A464E19-EFB3-47B8-A01F-F5EE24B6B2A9}" name="16" dataDxfId="72"/>
    <tableColumn id="21" xr3:uid="{A8C49483-8C68-4E6E-A973-B11BF9CE0A66}" name="17" dataDxfId="71"/>
    <tableColumn id="22" xr3:uid="{FE35B087-A997-49AB-B4C3-3E12795F5506}" name="18" dataDxfId="70"/>
    <tableColumn id="23" xr3:uid="{8A981D22-147E-4287-A86D-BC7E18D9F8DE}" name="19" dataDxfId="69"/>
    <tableColumn id="24" xr3:uid="{26D0C12A-BCDE-4FC6-941B-9EA445AFCCEA}" name="20" dataDxfId="68"/>
  </tableColumns>
  <tableStyleInfo name="Table Style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46B84270-1DD8-4BE3-954A-287F39C4483C}" name="Table26" displayName="Table26" ref="C3:Z8" totalsRowShown="0" headerRowDxfId="67" headerRowBorderDxfId="66" tableBorderDxfId="65">
  <tableColumns count="24">
    <tableColumn id="1" xr3:uid="{94A8B667-F207-4E7D-B345-5CB15B4DD018}" name="Year:"/>
    <tableColumn id="2" xr3:uid="{E9D2BE00-3DBC-4B48-8C7E-D0566E5F5731}" name="-2" dataDxfId="64"/>
    <tableColumn id="3" xr3:uid="{7A3CB4CF-97F7-427C-8FEB-99822D3EBA84}" name="-1" dataDxfId="63"/>
    <tableColumn id="4" xr3:uid="{3913B1F6-7D5E-4E27-AA8A-2B611061FB9B}" name="0" dataDxfId="62"/>
    <tableColumn id="5" xr3:uid="{DD481BEA-E07A-47CC-8468-C8F1BCAA99C4}" name="1" dataDxfId="61"/>
    <tableColumn id="6" xr3:uid="{1AD25C04-492F-4C12-8772-E2F589F65BAB}" name="2" dataDxfId="60"/>
    <tableColumn id="7" xr3:uid="{41BCE724-DBEC-4118-92DD-1C5F65D5E7CC}" name="3" dataDxfId="59"/>
    <tableColumn id="8" xr3:uid="{F7FD09AE-B361-4AA4-8C78-F18D0D1C1F14}" name="4" dataDxfId="58"/>
    <tableColumn id="9" xr3:uid="{12535264-44AF-49A1-9BD6-31AE794DB352}" name="5" dataDxfId="57"/>
    <tableColumn id="10" xr3:uid="{DFBFDA83-3F73-4231-8DDE-ADBA02A2F3F3}" name="6" dataDxfId="56"/>
    <tableColumn id="11" xr3:uid="{328662F2-BED0-4B65-82B3-06D8BCDD35EB}" name="7" dataDxfId="55"/>
    <tableColumn id="12" xr3:uid="{603B7B96-5516-4301-9A10-3B25EFED454E}" name="8" dataDxfId="54"/>
    <tableColumn id="13" xr3:uid="{AF8B0C6B-B9C8-4816-8A70-E42B4465A7A1}" name="9" dataDxfId="53"/>
    <tableColumn id="14" xr3:uid="{20EC77F9-6866-4B23-B400-FB164D224059}" name="10" dataDxfId="52"/>
    <tableColumn id="15" xr3:uid="{0E4DAA5A-2831-4D1A-9CB8-DD51074D652B}" name="11" dataDxfId="51"/>
    <tableColumn id="16" xr3:uid="{336B3B14-D4B6-42D8-8B97-0E057C7907E1}" name="12" dataDxfId="50"/>
    <tableColumn id="17" xr3:uid="{B28BB611-79B7-42B8-9A82-AB068C6B6A11}" name="13" dataDxfId="49"/>
    <tableColumn id="18" xr3:uid="{8D765E9F-BB69-4E8E-8450-75626DCF3C55}" name="14" dataDxfId="48"/>
    <tableColumn id="19" xr3:uid="{4D80AA25-014F-4B53-BA95-16AD44FE8823}" name="15" dataDxfId="47"/>
    <tableColumn id="20" xr3:uid="{B4A0D628-F52A-4108-99B5-1521EC89CE53}" name="16" dataDxfId="46"/>
    <tableColumn id="21" xr3:uid="{C4187C18-98BD-426E-B775-54019C01A3B2}" name="17" dataDxfId="45"/>
    <tableColumn id="22" xr3:uid="{9ADDA069-DE87-4458-BBE3-9EF9B433A48F}" name="18" dataDxfId="44"/>
    <tableColumn id="23" xr3:uid="{E815289C-B00A-4811-8336-22ABA0BF7AE4}" name="19" dataDxfId="43"/>
    <tableColumn id="24" xr3:uid="{F0A55FF6-15CA-4911-9E33-3E74F1E31498}" name="20" dataDxfId="42"/>
  </tableColumns>
  <tableStyleInfo name="Table Style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F11EAF7-0A0D-47C3-8ED8-9D6EC15E1061}" name="Table27" displayName="Table27" ref="C3:Z8" totalsRowShown="0" headerRowDxfId="41" headerRowBorderDxfId="40" tableBorderDxfId="39">
  <tableColumns count="24">
    <tableColumn id="1" xr3:uid="{018DB41F-8198-43A9-9E06-0B6A478F826C}" name="Year:"/>
    <tableColumn id="2" xr3:uid="{66283BD1-341A-4995-847C-0C7C02F069DF}" name="-2" dataDxfId="38"/>
    <tableColumn id="3" xr3:uid="{D7FA7421-016B-4B57-B671-06F96942E1A8}" name="-1" dataDxfId="37"/>
    <tableColumn id="4" xr3:uid="{BB52BA59-9EF5-4B71-943A-F8878FEA356B}" name="0" dataDxfId="36"/>
    <tableColumn id="5" xr3:uid="{A857E163-9A07-4C2E-92A0-334A736A5DB7}" name="1" dataDxfId="35"/>
    <tableColumn id="6" xr3:uid="{43E03172-ABFB-4DC0-A047-73AFE66F9296}" name="2" dataDxfId="34"/>
    <tableColumn id="7" xr3:uid="{6786062A-9148-496B-AE60-188BEE7589E9}" name="3" dataDxfId="33"/>
    <tableColumn id="8" xr3:uid="{DA5DC830-C30B-41DE-97FF-EEEDC00E5A42}" name="4" dataDxfId="32"/>
    <tableColumn id="9" xr3:uid="{493B6DC4-6012-4E72-B9BE-F2E8E77604E2}" name="5" dataDxfId="31"/>
    <tableColumn id="10" xr3:uid="{908BD51F-7409-4C65-BB39-57B563C2E093}" name="6" dataDxfId="30"/>
    <tableColumn id="11" xr3:uid="{61A51D19-E16B-454E-AFF7-5262B409A724}" name="7" dataDxfId="29"/>
    <tableColumn id="12" xr3:uid="{A676D834-378A-4150-97AC-15C5329D50CF}" name="8" dataDxfId="28"/>
    <tableColumn id="13" xr3:uid="{B5C4EAF9-DB44-4DAE-ADC9-65468502CFE0}" name="9" dataDxfId="27"/>
    <tableColumn id="14" xr3:uid="{3A3FCC04-BCD2-43B4-979A-79349EAF3E24}" name="10" dataDxfId="26"/>
    <tableColumn id="15" xr3:uid="{B5EA7C6D-0B5C-4DDD-8E0B-96627A5F66A5}" name="11" dataDxfId="25"/>
    <tableColumn id="16" xr3:uid="{3A954FE1-D026-4E22-A2DD-70142385C851}" name="12" dataDxfId="24"/>
    <tableColumn id="17" xr3:uid="{E74B1194-7C8E-46CA-BEB0-A09745962F08}" name="13" dataDxfId="23"/>
    <tableColumn id="18" xr3:uid="{985D84AF-F70E-4DE7-BC50-FEE8DAACEF1E}" name="14" dataDxfId="22"/>
    <tableColumn id="19" xr3:uid="{E74376AF-B1C1-4B88-800B-D479BD2460B2}" name="15" dataDxfId="21"/>
    <tableColumn id="20" xr3:uid="{8DA6A842-F3AC-4A72-A827-CAC6457A3369}" name="16" dataDxfId="20"/>
    <tableColumn id="21" xr3:uid="{78B62E9B-9C6B-4738-8241-A7251B55DA4A}" name="17" dataDxfId="19"/>
    <tableColumn id="22" xr3:uid="{536D62DE-0AF0-4C12-8310-BDAFE524CC9B}" name="18" dataDxfId="18"/>
    <tableColumn id="23" xr3:uid="{97EFA44C-CEDD-4CE4-8A44-C9386BDB6034}" name="19" dataDxfId="17"/>
    <tableColumn id="24" xr3:uid="{5CA1EDEA-6FE6-4168-B4DA-6ACF62034725}" name="20" dataDxfId="16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04E21-9820-49A8-A0D7-4751AC12BC2B}">
  <sheetPr codeName="Sheet25"/>
  <dimension ref="B2:B27"/>
  <sheetViews>
    <sheetView workbookViewId="0">
      <selection activeCell="B6" sqref="B6"/>
    </sheetView>
  </sheetViews>
  <sheetFormatPr defaultRowHeight="14.4" x14ac:dyDescent="0.3"/>
  <cols>
    <col min="2" max="2" width="25.88671875" bestFit="1" customWidth="1"/>
  </cols>
  <sheetData>
    <row r="2" spans="2:2" x14ac:dyDescent="0.3">
      <c r="B2" t="s">
        <v>347</v>
      </c>
    </row>
    <row r="3" spans="2:2" x14ac:dyDescent="0.3">
      <c r="B3" s="2" t="s">
        <v>348</v>
      </c>
    </row>
    <row r="4" spans="2:2" x14ac:dyDescent="0.3">
      <c r="B4" s="2" t="s">
        <v>349</v>
      </c>
    </row>
    <row r="5" spans="2:2" x14ac:dyDescent="0.3">
      <c r="B5" s="2" t="s">
        <v>350</v>
      </c>
    </row>
    <row r="6" spans="2:2" x14ac:dyDescent="0.3">
      <c r="B6" s="2" t="s">
        <v>351</v>
      </c>
    </row>
    <row r="7" spans="2:2" x14ac:dyDescent="0.3">
      <c r="B7" s="2" t="s">
        <v>352</v>
      </c>
    </row>
    <row r="8" spans="2:2" x14ac:dyDescent="0.3">
      <c r="B8" s="2" t="s">
        <v>353</v>
      </c>
    </row>
    <row r="9" spans="2:2" x14ac:dyDescent="0.3">
      <c r="B9" s="2" t="s">
        <v>354</v>
      </c>
    </row>
    <row r="10" spans="2:2" x14ac:dyDescent="0.3">
      <c r="B10" s="2" t="s">
        <v>355</v>
      </c>
    </row>
    <row r="11" spans="2:2" x14ac:dyDescent="0.3">
      <c r="B11" s="2" t="s">
        <v>356</v>
      </c>
    </row>
    <row r="12" spans="2:2" x14ac:dyDescent="0.3">
      <c r="B12" s="2" t="s">
        <v>357</v>
      </c>
    </row>
    <row r="13" spans="2:2" x14ac:dyDescent="0.3">
      <c r="B13" s="2" t="s">
        <v>358</v>
      </c>
    </row>
    <row r="14" spans="2:2" x14ac:dyDescent="0.3">
      <c r="B14" s="2" t="s">
        <v>359</v>
      </c>
    </row>
    <row r="15" spans="2:2" x14ac:dyDescent="0.3">
      <c r="B15" s="2" t="s">
        <v>360</v>
      </c>
    </row>
    <row r="16" spans="2:2" x14ac:dyDescent="0.3">
      <c r="B16" s="2" t="s">
        <v>361</v>
      </c>
    </row>
    <row r="17" spans="2:2" x14ac:dyDescent="0.3">
      <c r="B17" s="2" t="s">
        <v>362</v>
      </c>
    </row>
    <row r="18" spans="2:2" x14ac:dyDescent="0.3">
      <c r="B18" s="2" t="s">
        <v>363</v>
      </c>
    </row>
    <row r="19" spans="2:2" x14ac:dyDescent="0.3">
      <c r="B19" s="2" t="s">
        <v>364</v>
      </c>
    </row>
    <row r="20" spans="2:2" x14ac:dyDescent="0.3">
      <c r="B20" s="2" t="s">
        <v>365</v>
      </c>
    </row>
    <row r="21" spans="2:2" x14ac:dyDescent="0.3">
      <c r="B21" s="2" t="s">
        <v>366</v>
      </c>
    </row>
    <row r="22" spans="2:2" x14ac:dyDescent="0.3">
      <c r="B22" s="2" t="s">
        <v>55</v>
      </c>
    </row>
    <row r="23" spans="2:2" x14ac:dyDescent="0.3">
      <c r="B23" s="2" t="s">
        <v>367</v>
      </c>
    </row>
    <row r="24" spans="2:2" x14ac:dyDescent="0.3">
      <c r="B24" s="2" t="s">
        <v>368</v>
      </c>
    </row>
    <row r="25" spans="2:2" x14ac:dyDescent="0.3">
      <c r="B25" s="2" t="s">
        <v>369</v>
      </c>
    </row>
    <row r="26" spans="2:2" x14ac:dyDescent="0.3">
      <c r="B26" s="2" t="s">
        <v>370</v>
      </c>
    </row>
    <row r="27" spans="2:2" x14ac:dyDescent="0.3">
      <c r="B27" s="2" t="s">
        <v>371</v>
      </c>
    </row>
  </sheetData>
  <hyperlinks>
    <hyperlink ref="B3" location="'Home Sheet'!A1" display="Home Sheet" xr:uid="{C027EC83-98E5-42FC-B670-A34890E320E2}"/>
    <hyperlink ref="B4" location="'Profit Indicators'!A1" display="Profit Indicators" xr:uid="{8DB7FCBB-1541-4257-8C93-1A0D3BE5DE95}"/>
    <hyperlink ref="B5" location="'Income Statement'!A1" display="Income Statement" xr:uid="{2E4EBEBB-79E1-43DA-96E5-E5D86DC876D5}"/>
    <hyperlink ref="B6" location="'Cash Flow Statement'!A1" display="Cash Flow Statement" xr:uid="{C3A3434F-6B1D-4DF8-93E3-F743D253F049}"/>
    <hyperlink ref="B7" location="'Cash Flow Summary'!A1" display="Cash Flow Summary" xr:uid="{13AC1847-F4D0-46AF-A6AB-14FF25C68EA7}"/>
    <hyperlink ref="B8" location="'Financing Rates'!A1" display="Financing Rates" xr:uid="{D70D2FFC-1FC2-4426-B177-D64A2342B003}"/>
    <hyperlink ref="B9" location="'Equipment Summary'!A1" display="Equipment Summary" xr:uid="{47EB3E14-FFAA-4750-9406-4349930BEAC4}"/>
    <hyperlink ref="B10" location="'Property Summary'!A1" display="Property Summary" xr:uid="{2B831D44-A2DE-4CCA-AAD1-B569B3A1EDDD}"/>
    <hyperlink ref="B11" location="'Piping Summary'!A1" display="Piping Summary" xr:uid="{BD4BFF0D-7F1D-4377-A550-CCB6D2933099}"/>
    <hyperlink ref="B12" location="'Controls Summary'!A1" display="Controls Summary" xr:uid="{32DF2E3E-301A-40D6-9E37-F6C3BA4DDEA2}"/>
    <hyperlink ref="B13" location="'Raw Materials Summary'!A1" display="Raw Materials Summary" xr:uid="{BDA4E61A-600E-45EF-AD69-4F2C323E8986}"/>
    <hyperlink ref="B14" location="'Sales Summary'!A1" display="Sales Summary" xr:uid="{6F6E49AF-904E-4A1C-B0CA-C695A7A930C3}"/>
    <hyperlink ref="B15" location="'Labor Costs'!A1" display="Labor Costs" xr:uid="{8E2CBFAA-FCA1-49EC-B56E-A00AD35EE8D4}"/>
    <hyperlink ref="B16" location="'Utilities Summary'!A1" display="Utilities Summary" xr:uid="{D96FC5EB-50FA-46D7-877F-A2FF2506EF01}"/>
    <hyperlink ref="B17" location="'Safety + Regulations Summary'!A1" display="Safety + Regulations Summary" xr:uid="{D1103644-9B8D-43AC-BEE0-9FE17A9CF62A}"/>
    <hyperlink ref="B18" location="'Capital Purchase Costs'!A1" display="Capital Purchase Costs" xr:uid="{5F9DC3B5-F3AA-47B5-AAE9-4A343B35CEFB}"/>
    <hyperlink ref="B19" location="'Cost of Compliance'!A1" display="Cost of Compliance" xr:uid="{7CAF20F7-A54A-4FAA-A94C-006A9AB7AAC1}"/>
    <hyperlink ref="B20" location="'Revenue Cash Flows'!A1" display="Revenue Cash Flows" xr:uid="{7C01C49E-5939-4CC4-9338-96A7796FB972}"/>
    <hyperlink ref="B21" location="'Salvage Cash Flows'!A1" display="Salvage Cash Flows" xr:uid="{4309C199-CF40-4DB2-B4FD-1E766CB5DF75}"/>
    <hyperlink ref="B22" location="'Depreciation'!A1" display="Depreciation" xr:uid="{23CF79BD-41E5-4AEC-AD21-38DCA472EAFB}"/>
    <hyperlink ref="B23" location="'Annual Loan Payments'!A1" display="Annual Loan Payments" xr:uid="{6C1F0326-FB10-411B-A1FD-9F470248917A}"/>
    <hyperlink ref="B24" location="'Book Value of Capital'!A1" display="Book Value of Capital" xr:uid="{5AED6375-52D4-49A4-803C-3F661C636929}"/>
    <hyperlink ref="B25" location="'Tax Summary'!A1" display="Tax Summary" xr:uid="{2788043C-7C8A-4925-A6BF-76E29D415D32}"/>
    <hyperlink ref="B26" location="'FCOP Summary'!A1" display="FCOP Summary" xr:uid="{DA153C20-1ACF-4FF5-BA59-72872A21E325}"/>
    <hyperlink ref="B27" location="'VCOP Summary'!A1" display="VCOP Summary" xr:uid="{BB2A9395-8CDA-445B-A1D4-491B8A61FDA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H4"/>
  <sheetViews>
    <sheetView workbookViewId="0">
      <selection activeCell="C3" sqref="C3:H4"/>
    </sheetView>
  </sheetViews>
  <sheetFormatPr defaultRowHeight="14.4" x14ac:dyDescent="0.3"/>
  <cols>
    <col min="2" max="2" width="19.5546875" bestFit="1" customWidth="1"/>
    <col min="3" max="3" width="15.5546875" customWidth="1"/>
    <col min="4" max="4" width="13.6640625" customWidth="1"/>
    <col min="5" max="6" width="12" bestFit="1" customWidth="1"/>
    <col min="7" max="7" width="11" bestFit="1" customWidth="1"/>
    <col min="8" max="8" width="12" bestFit="1" customWidth="1"/>
  </cols>
  <sheetData>
    <row r="2" spans="2:8" x14ac:dyDescent="0.3">
      <c r="B2" s="2" t="s">
        <v>372</v>
      </c>
    </row>
    <row r="3" spans="2:8" x14ac:dyDescent="0.3">
      <c r="C3" s="3" t="s">
        <v>0</v>
      </c>
      <c r="D3" s="3" t="s">
        <v>1</v>
      </c>
      <c r="E3" s="3" t="s">
        <v>2</v>
      </c>
      <c r="F3" s="3" t="s">
        <v>3</v>
      </c>
      <c r="G3" s="3" t="s">
        <v>4</v>
      </c>
      <c r="H3" s="3" t="s">
        <v>5</v>
      </c>
    </row>
    <row r="4" spans="2:8" x14ac:dyDescent="0.3">
      <c r="C4" s="6">
        <v>85.652544646075555</v>
      </c>
      <c r="D4" s="6">
        <v>6.3807046186672132</v>
      </c>
      <c r="E4" s="6">
        <v>26.508669848970762</v>
      </c>
      <c r="F4" s="6">
        <v>29.582202164874658</v>
      </c>
      <c r="G4" s="6">
        <v>17.749321298924801</v>
      </c>
      <c r="H4" s="6">
        <v>66.252249937466118</v>
      </c>
    </row>
  </sheetData>
  <hyperlinks>
    <hyperlink ref="B2" location="'Home Sheet'!B2" display="BACK TO HOME SHEET" xr:uid="{CF00413B-7E39-42AF-9235-08C26143F022}"/>
  </hyperlinks>
  <pageMargins left="0.75" right="0.75" top="1" bottom="1" header="0.5" footer="0.5"/>
  <pageSetup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Z36"/>
  <sheetViews>
    <sheetView zoomScaleNormal="100" workbookViewId="0">
      <selection activeCell="J9" sqref="J9:J16"/>
    </sheetView>
  </sheetViews>
  <sheetFormatPr defaultRowHeight="14.4" x14ac:dyDescent="0.3"/>
  <cols>
    <col min="2" max="2" width="19.5546875" bestFit="1" customWidth="1"/>
    <col min="3" max="3" width="20.109375" customWidth="1"/>
    <col min="4" max="26" width="12.6640625" bestFit="1" customWidth="1"/>
  </cols>
  <sheetData>
    <row r="2" spans="2:26" x14ac:dyDescent="0.3">
      <c r="B2" s="2" t="s">
        <v>372</v>
      </c>
    </row>
    <row r="3" spans="2:26" x14ac:dyDescent="0.3">
      <c r="C3" s="1" t="s">
        <v>6</v>
      </c>
      <c r="D3" s="1" t="s">
        <v>7</v>
      </c>
      <c r="E3" s="1" t="s">
        <v>8</v>
      </c>
      <c r="F3" s="1" t="s">
        <v>9</v>
      </c>
      <c r="G3" s="1" t="s">
        <v>10</v>
      </c>
      <c r="H3" s="1" t="s">
        <v>11</v>
      </c>
      <c r="I3" s="1" t="s">
        <v>12</v>
      </c>
      <c r="J3" s="1" t="s">
        <v>13</v>
      </c>
      <c r="K3" s="1" t="s">
        <v>14</v>
      </c>
      <c r="L3" s="1" t="s">
        <v>15</v>
      </c>
      <c r="M3" s="1" t="s">
        <v>16</v>
      </c>
      <c r="N3" s="1" t="s">
        <v>17</v>
      </c>
      <c r="O3" s="1" t="s">
        <v>18</v>
      </c>
      <c r="P3" s="1" t="s">
        <v>19</v>
      </c>
      <c r="Q3" s="1" t="s">
        <v>20</v>
      </c>
      <c r="R3" s="1" t="s">
        <v>21</v>
      </c>
      <c r="S3" s="1" t="s">
        <v>22</v>
      </c>
      <c r="T3" s="1" t="s">
        <v>23</v>
      </c>
      <c r="U3" s="1" t="s">
        <v>24</v>
      </c>
      <c r="V3" s="1" t="s">
        <v>25</v>
      </c>
      <c r="W3" s="1" t="s">
        <v>26</v>
      </c>
      <c r="X3" s="1" t="s">
        <v>27</v>
      </c>
      <c r="Y3" s="1" t="s">
        <v>28</v>
      </c>
      <c r="Z3" s="1" t="s">
        <v>29</v>
      </c>
    </row>
    <row r="4" spans="2:26" x14ac:dyDescent="0.3">
      <c r="C4" s="5" t="s">
        <v>377</v>
      </c>
      <c r="D4" s="7">
        <v>0</v>
      </c>
      <c r="E4" s="7">
        <v>0</v>
      </c>
      <c r="F4" s="7">
        <v>0</v>
      </c>
      <c r="G4" s="7">
        <v>33.333333333333329</v>
      </c>
      <c r="H4" s="7">
        <v>66.666666666666657</v>
      </c>
      <c r="I4" s="7">
        <v>100</v>
      </c>
      <c r="J4" s="7">
        <v>100</v>
      </c>
      <c r="K4" s="7">
        <v>100</v>
      </c>
      <c r="L4" s="7">
        <v>100</v>
      </c>
      <c r="M4" s="7">
        <v>100</v>
      </c>
      <c r="N4" s="7">
        <v>100</v>
      </c>
      <c r="O4" s="7">
        <v>100</v>
      </c>
      <c r="P4" s="7">
        <v>100</v>
      </c>
      <c r="Q4" s="7">
        <v>100</v>
      </c>
      <c r="R4" s="7">
        <v>100</v>
      </c>
      <c r="S4" s="7">
        <v>100</v>
      </c>
      <c r="T4" s="7">
        <v>100</v>
      </c>
      <c r="U4" s="7">
        <v>100</v>
      </c>
      <c r="V4" s="7">
        <v>100</v>
      </c>
      <c r="W4" s="7">
        <v>100</v>
      </c>
      <c r="X4" s="7">
        <v>100</v>
      </c>
      <c r="Y4" s="7">
        <v>100</v>
      </c>
      <c r="Z4" s="7">
        <v>100</v>
      </c>
    </row>
    <row r="5" spans="2:26" x14ac:dyDescent="0.3">
      <c r="B5" t="s">
        <v>379</v>
      </c>
      <c r="C5" t="s">
        <v>30</v>
      </c>
      <c r="D5" s="8">
        <v>0</v>
      </c>
      <c r="E5" s="8">
        <v>0</v>
      </c>
      <c r="F5" s="8">
        <v>0</v>
      </c>
      <c r="G5" s="8">
        <v>4.7895000000000003</v>
      </c>
      <c r="H5" s="8">
        <v>5.09232</v>
      </c>
      <c r="I5" s="8">
        <v>5.4089986499999991</v>
      </c>
      <c r="J5" s="8">
        <v>5.7400949309999998</v>
      </c>
      <c r="K5" s="8">
        <v>6.0861888900749994</v>
      </c>
      <c r="L5" s="8">
        <v>6.4478824012566003</v>
      </c>
      <c r="M5" s="8">
        <v>6.8257999531080298</v>
      </c>
      <c r="N5" s="8">
        <v>7.2205894639094126</v>
      </c>
      <c r="O5" s="8">
        <v>7.6329231254010823</v>
      </c>
      <c r="P5" s="8">
        <v>8.0634982760647329</v>
      </c>
      <c r="Q5" s="8">
        <v>8.5130383049553426</v>
      </c>
      <c r="R5" s="8">
        <v>8.9822935871309291</v>
      </c>
      <c r="S5" s="8">
        <v>9.4720424517625936</v>
      </c>
      <c r="T5" s="8">
        <v>9.9830921840437377</v>
      </c>
      <c r="U5" s="8">
        <v>10.516280062055159</v>
      </c>
      <c r="V5" s="8">
        <v>11.072474429781639</v>
      </c>
      <c r="W5" s="8">
        <v>11.65257580751585</v>
      </c>
      <c r="X5" s="8">
        <v>12.257518040927311</v>
      </c>
      <c r="Y5" s="8">
        <v>12.8882694901167</v>
      </c>
      <c r="Z5" s="8">
        <v>13.545834260020611</v>
      </c>
    </row>
    <row r="6" spans="2:26" x14ac:dyDescent="0.3">
      <c r="C6" t="s">
        <v>31</v>
      </c>
      <c r="D6" s="8">
        <v>0</v>
      </c>
      <c r="E6" s="8">
        <v>0</v>
      </c>
      <c r="F6" s="8">
        <v>0</v>
      </c>
      <c r="G6" s="8">
        <v>6.0667000000000009</v>
      </c>
      <c r="H6" s="8">
        <v>6.450272</v>
      </c>
      <c r="I6" s="8">
        <v>6.8513982899999997</v>
      </c>
      <c r="J6" s="8">
        <v>7.2707869126000002</v>
      </c>
      <c r="K6" s="8">
        <v>7.7091725940950004</v>
      </c>
      <c r="L6" s="8">
        <v>8.167317708258361</v>
      </c>
      <c r="M6" s="8">
        <v>8.6460132739368376</v>
      </c>
      <c r="N6" s="8">
        <v>9.1460799876185899</v>
      </c>
      <c r="O6" s="8">
        <v>9.6683692921747042</v>
      </c>
      <c r="P6" s="8">
        <v>10.21376448301533</v>
      </c>
      <c r="Q6" s="8">
        <v>10.78318185294343</v>
      </c>
      <c r="R6" s="8">
        <v>11.37757187703251</v>
      </c>
      <c r="S6" s="8">
        <v>11.99792043889928</v>
      </c>
      <c r="T6" s="8">
        <v>12.645250099788729</v>
      </c>
      <c r="U6" s="8">
        <v>13.320621411936539</v>
      </c>
      <c r="V6" s="8">
        <v>14.02513427772341</v>
      </c>
      <c r="W6" s="8">
        <v>14.75992935618674</v>
      </c>
      <c r="X6" s="8">
        <v>15.52618951850793</v>
      </c>
      <c r="Y6" s="8">
        <v>16.325141354147821</v>
      </c>
      <c r="Z6" s="8">
        <v>17.158056729359441</v>
      </c>
    </row>
    <row r="7" spans="2:26" x14ac:dyDescent="0.3">
      <c r="C7" t="s">
        <v>32</v>
      </c>
      <c r="D7" s="8">
        <v>0</v>
      </c>
      <c r="E7" s="8">
        <v>0</v>
      </c>
      <c r="F7" s="8">
        <v>0</v>
      </c>
      <c r="G7" s="8">
        <v>22.350999999999999</v>
      </c>
      <c r="H7" s="8">
        <v>23.76416</v>
      </c>
      <c r="I7" s="8">
        <v>25.241993699999998</v>
      </c>
      <c r="J7" s="8">
        <v>26.787109678</v>
      </c>
      <c r="K7" s="8">
        <v>28.40221482035</v>
      </c>
      <c r="L7" s="8">
        <v>30.090117872530801</v>
      </c>
      <c r="M7" s="8">
        <v>31.853733114504141</v>
      </c>
      <c r="N7" s="8">
        <v>33.696084164910587</v>
      </c>
      <c r="O7" s="8">
        <v>35.62030791853838</v>
      </c>
      <c r="P7" s="8">
        <v>37.629658621635421</v>
      </c>
      <c r="Q7" s="8">
        <v>39.727512089791603</v>
      </c>
      <c r="R7" s="8">
        <v>41.917370073277667</v>
      </c>
      <c r="S7" s="8">
        <v>44.202864774892099</v>
      </c>
      <c r="T7" s="8">
        <v>46.587763525537447</v>
      </c>
      <c r="U7" s="8">
        <v>49.075973622924103</v>
      </c>
      <c r="V7" s="8">
        <v>51.671547338980979</v>
      </c>
      <c r="W7" s="8">
        <v>54.378687101740638</v>
      </c>
      <c r="X7" s="8">
        <v>57.201750857660791</v>
      </c>
      <c r="Y7" s="8">
        <v>60.145257620544577</v>
      </c>
      <c r="Z7" s="8">
        <v>63.213893213429522</v>
      </c>
    </row>
    <row r="8" spans="2:26" x14ac:dyDescent="0.3">
      <c r="C8" t="s">
        <v>33</v>
      </c>
      <c r="D8" s="8">
        <v>0</v>
      </c>
      <c r="E8" s="8">
        <v>0</v>
      </c>
      <c r="F8" s="8">
        <v>0</v>
      </c>
      <c r="G8" s="8">
        <v>364.00200000000001</v>
      </c>
      <c r="H8" s="8">
        <v>387.01632000000001</v>
      </c>
      <c r="I8" s="8">
        <v>411.08389740000001</v>
      </c>
      <c r="J8" s="8">
        <v>436.24721475600001</v>
      </c>
      <c r="K8" s="8">
        <v>462.55035564569999</v>
      </c>
      <c r="L8" s="8">
        <v>490.03906249550158</v>
      </c>
      <c r="M8" s="8">
        <v>518.76079643621028</v>
      </c>
      <c r="N8" s="8">
        <v>548.76479925711544</v>
      </c>
      <c r="O8" s="8">
        <v>580.10215753048226</v>
      </c>
      <c r="P8" s="8">
        <v>612.82586898091972</v>
      </c>
      <c r="Q8" s="8">
        <v>646.99091117660601</v>
      </c>
      <c r="R8" s="8">
        <v>682.65431262195068</v>
      </c>
      <c r="S8" s="8">
        <v>719.87522633395702</v>
      </c>
      <c r="T8" s="8">
        <v>758.71500598732405</v>
      </c>
      <c r="U8" s="8">
        <v>799.23728471619245</v>
      </c>
      <c r="V8" s="8">
        <v>841.50805666340455</v>
      </c>
      <c r="W8" s="8">
        <v>885.59576137120462</v>
      </c>
      <c r="X8" s="8">
        <v>931.57137111047575</v>
      </c>
      <c r="Y8" s="8">
        <v>979.50848124886897</v>
      </c>
      <c r="Z8" s="8">
        <v>1029.483403761566</v>
      </c>
    </row>
    <row r="9" spans="2:26" x14ac:dyDescent="0.3">
      <c r="B9" t="s">
        <v>380</v>
      </c>
      <c r="C9" t="s">
        <v>34</v>
      </c>
      <c r="D9" s="8">
        <v>0</v>
      </c>
      <c r="E9" s="8">
        <v>0</v>
      </c>
      <c r="F9" s="8">
        <v>0</v>
      </c>
      <c r="G9" s="8">
        <v>1760000</v>
      </c>
      <c r="H9" s="8">
        <v>3520000</v>
      </c>
      <c r="I9" s="8">
        <v>5280000</v>
      </c>
      <c r="J9" s="8">
        <v>5280000</v>
      </c>
      <c r="K9" s="8">
        <v>5280000</v>
      </c>
      <c r="L9" s="8">
        <v>5280000</v>
      </c>
      <c r="M9" s="8">
        <v>5280000</v>
      </c>
      <c r="N9" s="8">
        <v>5280000</v>
      </c>
      <c r="O9" s="8">
        <v>5280000</v>
      </c>
      <c r="P9" s="8">
        <v>5280000</v>
      </c>
      <c r="Q9" s="8">
        <v>5280000</v>
      </c>
      <c r="R9" s="8">
        <v>5280000</v>
      </c>
      <c r="S9" s="8">
        <v>5280000</v>
      </c>
      <c r="T9" s="8">
        <v>5280000</v>
      </c>
      <c r="U9" s="8">
        <v>5280000</v>
      </c>
      <c r="V9" s="8">
        <v>5280000</v>
      </c>
      <c r="W9" s="8">
        <v>5280000</v>
      </c>
      <c r="X9" s="8">
        <v>5280000</v>
      </c>
      <c r="Y9" s="8">
        <v>5280000</v>
      </c>
      <c r="Z9" s="8">
        <v>5280000</v>
      </c>
    </row>
    <row r="10" spans="2:26" x14ac:dyDescent="0.3">
      <c r="C10" t="s">
        <v>35</v>
      </c>
      <c r="D10" s="8">
        <v>0</v>
      </c>
      <c r="E10" s="8">
        <v>0</v>
      </c>
      <c r="F10" s="8">
        <v>0</v>
      </c>
      <c r="G10" s="8">
        <v>683333.33333333326</v>
      </c>
      <c r="H10" s="8">
        <v>1366666.666666667</v>
      </c>
      <c r="I10" s="8">
        <v>2050000</v>
      </c>
      <c r="J10" s="8">
        <v>2050000</v>
      </c>
      <c r="K10" s="8">
        <v>2050000</v>
      </c>
      <c r="L10" s="8">
        <v>2050000</v>
      </c>
      <c r="M10" s="8">
        <v>2050000</v>
      </c>
      <c r="N10" s="8">
        <v>2050000</v>
      </c>
      <c r="O10" s="8">
        <v>2050000</v>
      </c>
      <c r="P10" s="8">
        <v>2050000</v>
      </c>
      <c r="Q10" s="8">
        <v>2050000</v>
      </c>
      <c r="R10" s="8">
        <v>2050000</v>
      </c>
      <c r="S10" s="8">
        <v>2050000</v>
      </c>
      <c r="T10" s="8">
        <v>2050000</v>
      </c>
      <c r="U10" s="8">
        <v>2050000</v>
      </c>
      <c r="V10" s="8">
        <v>2050000</v>
      </c>
      <c r="W10" s="8">
        <v>2050000</v>
      </c>
      <c r="X10" s="8">
        <v>2050000</v>
      </c>
      <c r="Y10" s="8">
        <v>2050000</v>
      </c>
      <c r="Z10" s="8">
        <v>2050000</v>
      </c>
    </row>
    <row r="11" spans="2:26" x14ac:dyDescent="0.3">
      <c r="C11" t="s">
        <v>36</v>
      </c>
      <c r="D11" s="8">
        <v>0</v>
      </c>
      <c r="E11" s="8">
        <v>0</v>
      </c>
      <c r="F11" s="8">
        <v>0</v>
      </c>
      <c r="G11" s="8">
        <v>96666.666666666657</v>
      </c>
      <c r="H11" s="8">
        <v>193333.33333333331</v>
      </c>
      <c r="I11" s="8">
        <v>290000</v>
      </c>
      <c r="J11" s="8">
        <v>290000</v>
      </c>
      <c r="K11" s="8">
        <v>290000</v>
      </c>
      <c r="L11" s="8">
        <v>290000</v>
      </c>
      <c r="M11" s="8">
        <v>290000</v>
      </c>
      <c r="N11" s="8">
        <v>290000</v>
      </c>
      <c r="O11" s="8">
        <v>290000</v>
      </c>
      <c r="P11" s="8">
        <v>290000</v>
      </c>
      <c r="Q11" s="8">
        <v>290000</v>
      </c>
      <c r="R11" s="8">
        <v>290000</v>
      </c>
      <c r="S11" s="8">
        <v>290000</v>
      </c>
      <c r="T11" s="8">
        <v>290000</v>
      </c>
      <c r="U11" s="8">
        <v>290000</v>
      </c>
      <c r="V11" s="8">
        <v>290000</v>
      </c>
      <c r="W11" s="8">
        <v>290000</v>
      </c>
      <c r="X11" s="8">
        <v>290000</v>
      </c>
      <c r="Y11" s="8">
        <v>290000</v>
      </c>
      <c r="Z11" s="8">
        <v>290000</v>
      </c>
    </row>
    <row r="12" spans="2:26" x14ac:dyDescent="0.3">
      <c r="C12" t="s">
        <v>37</v>
      </c>
      <c r="D12" s="8">
        <v>0</v>
      </c>
      <c r="E12" s="8">
        <v>0</v>
      </c>
      <c r="F12" s="8">
        <v>0</v>
      </c>
      <c r="G12" s="8">
        <v>666.66666666666663</v>
      </c>
      <c r="H12" s="8">
        <v>1333.333333333333</v>
      </c>
      <c r="I12" s="8">
        <v>2000</v>
      </c>
      <c r="J12" s="8">
        <v>2000</v>
      </c>
      <c r="K12" s="8">
        <v>2000</v>
      </c>
      <c r="L12" s="8">
        <v>2000</v>
      </c>
      <c r="M12" s="8">
        <v>2000</v>
      </c>
      <c r="N12" s="8">
        <v>2000</v>
      </c>
      <c r="O12" s="8">
        <v>2000</v>
      </c>
      <c r="P12" s="8">
        <v>2000</v>
      </c>
      <c r="Q12" s="8">
        <v>2000</v>
      </c>
      <c r="R12" s="8">
        <v>2000</v>
      </c>
      <c r="S12" s="8">
        <v>2000</v>
      </c>
      <c r="T12" s="8">
        <v>2000</v>
      </c>
      <c r="U12" s="8">
        <v>2000</v>
      </c>
      <c r="V12" s="8">
        <v>2000</v>
      </c>
      <c r="W12" s="8">
        <v>2000</v>
      </c>
      <c r="X12" s="8">
        <v>2000</v>
      </c>
      <c r="Y12" s="8">
        <v>2000</v>
      </c>
      <c r="Z12" s="8">
        <v>2000</v>
      </c>
    </row>
    <row r="13" spans="2:26" x14ac:dyDescent="0.3">
      <c r="B13" t="s">
        <v>378</v>
      </c>
      <c r="C13" t="s">
        <v>373</v>
      </c>
      <c r="D13" s="8">
        <v>0</v>
      </c>
      <c r="E13" s="8">
        <v>0</v>
      </c>
      <c r="F13" s="8">
        <v>0</v>
      </c>
      <c r="G13" s="8">
        <v>8429520</v>
      </c>
      <c r="H13" s="8">
        <v>17924966.399999999</v>
      </c>
      <c r="I13" s="8">
        <v>28559512.872000001</v>
      </c>
      <c r="J13" s="8">
        <v>30307701.235679999</v>
      </c>
      <c r="K13" s="8">
        <v>32135077.339596</v>
      </c>
      <c r="L13" s="8">
        <v>34044819.078634851</v>
      </c>
      <c r="M13" s="8">
        <v>36040223.752410397</v>
      </c>
      <c r="N13" s="8">
        <v>38124712.369441703</v>
      </c>
      <c r="O13" s="8">
        <v>40301834.10211771</v>
      </c>
      <c r="P13" s="8">
        <v>42575270.897621803</v>
      </c>
      <c r="Q13" s="8">
        <v>44948842.250164211</v>
      </c>
      <c r="R13" s="8">
        <v>47426510.140051313</v>
      </c>
      <c r="S13" s="8">
        <v>50012384.14530649</v>
      </c>
      <c r="T13" s="8">
        <v>52710726.731750943</v>
      </c>
      <c r="U13" s="8">
        <v>55525958.727651268</v>
      </c>
      <c r="V13" s="8">
        <v>58462664.989247046</v>
      </c>
      <c r="W13" s="8">
        <v>61525600.263683692</v>
      </c>
      <c r="X13" s="8">
        <v>64719695.256096207</v>
      </c>
      <c r="Y13" s="8">
        <v>68050062.907816157</v>
      </c>
      <c r="Z13" s="8">
        <v>71522004.892908826</v>
      </c>
    </row>
    <row r="14" spans="2:26" x14ac:dyDescent="0.3">
      <c r="C14" t="s">
        <v>374</v>
      </c>
      <c r="D14" s="8">
        <v>0</v>
      </c>
      <c r="E14" s="8">
        <v>0</v>
      </c>
      <c r="F14" s="8">
        <v>0</v>
      </c>
      <c r="G14" s="8">
        <v>4145578.333333333</v>
      </c>
      <c r="H14" s="8">
        <v>8815371.7333333325</v>
      </c>
      <c r="I14" s="8">
        <v>14045366.4945</v>
      </c>
      <c r="J14" s="8">
        <v>14905113.17083</v>
      </c>
      <c r="K14" s="8">
        <v>15803803.817894749</v>
      </c>
      <c r="L14" s="8">
        <v>16743001.30192964</v>
      </c>
      <c r="M14" s="8">
        <v>17724327.21157052</v>
      </c>
      <c r="N14" s="8">
        <v>18749463.974618111</v>
      </c>
      <c r="O14" s="8">
        <v>19820157.048958141</v>
      </c>
      <c r="P14" s="8">
        <v>20938217.190181419</v>
      </c>
      <c r="Q14" s="8">
        <v>22105522.798534039</v>
      </c>
      <c r="R14" s="8">
        <v>23324022.347916652</v>
      </c>
      <c r="S14" s="8">
        <v>24595736.899743531</v>
      </c>
      <c r="T14" s="8">
        <v>25922762.704566911</v>
      </c>
      <c r="U14" s="8">
        <v>27307273.894469909</v>
      </c>
      <c r="V14" s="8">
        <v>28751525.26933299</v>
      </c>
      <c r="W14" s="8">
        <v>30257855.180182829</v>
      </c>
      <c r="X14" s="8">
        <v>31828688.51294126</v>
      </c>
      <c r="Y14" s="8">
        <v>33466539.776003022</v>
      </c>
      <c r="Z14" s="8">
        <v>35174016.295186847</v>
      </c>
    </row>
    <row r="15" spans="2:26" x14ac:dyDescent="0.3">
      <c r="C15" t="s">
        <v>375</v>
      </c>
      <c r="D15" s="8">
        <v>0</v>
      </c>
      <c r="E15" s="8">
        <v>0</v>
      </c>
      <c r="F15" s="8">
        <v>0</v>
      </c>
      <c r="G15" s="8">
        <v>2160596.666666667</v>
      </c>
      <c r="H15" s="8">
        <v>4594404.2666666657</v>
      </c>
      <c r="I15" s="8">
        <v>7320178.1729999986</v>
      </c>
      <c r="J15" s="8">
        <v>7768261.8066199999</v>
      </c>
      <c r="K15" s="8">
        <v>8236642.2979015</v>
      </c>
      <c r="L15" s="8">
        <v>8726134.183033932</v>
      </c>
      <c r="M15" s="8">
        <v>9237582.6032062005</v>
      </c>
      <c r="N15" s="8">
        <v>9771864.407824073</v>
      </c>
      <c r="O15" s="8">
        <v>10329889.29637613</v>
      </c>
      <c r="P15" s="8">
        <v>10912601.000274271</v>
      </c>
      <c r="Q15" s="8">
        <v>11520978.50603956</v>
      </c>
      <c r="R15" s="8">
        <v>12156037.321250521</v>
      </c>
      <c r="S15" s="8">
        <v>12818830.784718711</v>
      </c>
      <c r="T15" s="8">
        <v>13510451.422405859</v>
      </c>
      <c r="U15" s="8">
        <v>14232032.35064799</v>
      </c>
      <c r="V15" s="8">
        <v>14984748.728304479</v>
      </c>
      <c r="W15" s="8">
        <v>15769819.25950478</v>
      </c>
      <c r="X15" s="8">
        <v>16588507.748721629</v>
      </c>
      <c r="Y15" s="8">
        <v>17442124.709957931</v>
      </c>
      <c r="Z15" s="8">
        <v>18332029.031894561</v>
      </c>
    </row>
    <row r="16" spans="2:26" x14ac:dyDescent="0.3">
      <c r="C16" t="s">
        <v>376</v>
      </c>
      <c r="D16" s="8">
        <v>0</v>
      </c>
      <c r="E16" s="8">
        <v>0</v>
      </c>
      <c r="F16" s="8">
        <v>0</v>
      </c>
      <c r="G16" s="8">
        <v>242668</v>
      </c>
      <c r="H16" s="8">
        <v>516021.75999999989</v>
      </c>
      <c r="I16" s="8">
        <v>822167.79479999992</v>
      </c>
      <c r="J16" s="8">
        <v>872494.42951199994</v>
      </c>
      <c r="K16" s="8">
        <v>925100.7112913999</v>
      </c>
      <c r="L16" s="8">
        <v>980078.12499100319</v>
      </c>
      <c r="M16" s="8">
        <v>1037521.59287242</v>
      </c>
      <c r="N16" s="8">
        <v>1097529.5985142309</v>
      </c>
      <c r="O16" s="8">
        <v>1160204.315060965</v>
      </c>
      <c r="P16" s="8">
        <v>1225651.737961839</v>
      </c>
      <c r="Q16" s="8">
        <v>1293981.8223532119</v>
      </c>
      <c r="R16" s="8">
        <v>1365308.625243901</v>
      </c>
      <c r="S16" s="8">
        <v>1439750.4526679141</v>
      </c>
      <c r="T16" s="8">
        <v>1517430.0119746481</v>
      </c>
      <c r="U16" s="8">
        <v>1598474.569432385</v>
      </c>
      <c r="V16" s="8">
        <v>1683016.1133268089</v>
      </c>
      <c r="W16" s="8">
        <v>1771191.522742409</v>
      </c>
      <c r="X16" s="8">
        <v>1863142.742220951</v>
      </c>
      <c r="Y16" s="8">
        <v>1959016.962497738</v>
      </c>
      <c r="Z16" s="8">
        <v>2058966.807523133</v>
      </c>
    </row>
    <row r="17" spans="3:26" x14ac:dyDescent="0.3">
      <c r="C17" s="5" t="s">
        <v>42</v>
      </c>
      <c r="D17" s="7">
        <v>0</v>
      </c>
      <c r="E17" s="7">
        <v>0</v>
      </c>
      <c r="F17" s="7">
        <v>0</v>
      </c>
      <c r="G17" s="7">
        <v>14978363</v>
      </c>
      <c r="H17" s="7">
        <v>31850764.16</v>
      </c>
      <c r="I17" s="7">
        <v>50747225.334299996</v>
      </c>
      <c r="J17" s="7">
        <v>53853570.642641999</v>
      </c>
      <c r="K17" s="7">
        <v>57100624.166683637</v>
      </c>
      <c r="L17" s="7">
        <v>60494032.688589416</v>
      </c>
      <c r="M17" s="7">
        <v>64039655.160059527</v>
      </c>
      <c r="N17" s="7">
        <v>67743570.350398108</v>
      </c>
      <c r="O17" s="7">
        <v>71612084.762512937</v>
      </c>
      <c r="P17" s="7">
        <v>75651740.826039329</v>
      </c>
      <c r="Q17" s="7">
        <v>79869325.37709102</v>
      </c>
      <c r="R17" s="7">
        <v>84271878.434462383</v>
      </c>
      <c r="S17" s="7">
        <v>88866702.282436639</v>
      </c>
      <c r="T17" s="7">
        <v>93661370.870698348</v>
      </c>
      <c r="U17" s="7">
        <v>98663739.542201549</v>
      </c>
      <c r="V17" s="7">
        <v>103881955.10021131</v>
      </c>
      <c r="W17" s="7">
        <v>109324466.22611371</v>
      </c>
      <c r="X17" s="7">
        <v>115000034.2599801</v>
      </c>
      <c r="Y17" s="7">
        <v>120917744.3562748</v>
      </c>
      <c r="Z17" s="7">
        <v>127087017.0275134</v>
      </c>
    </row>
    <row r="18" spans="3:26" x14ac:dyDescent="0.3">
      <c r="C18" s="5" t="s">
        <v>43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88170.997974822269</v>
      </c>
      <c r="P18" s="7">
        <v>197242.56219946701</v>
      </c>
      <c r="Q18" s="7">
        <v>0</v>
      </c>
      <c r="R18" s="7">
        <v>778.63155228250082</v>
      </c>
      <c r="S18" s="7">
        <v>0</v>
      </c>
      <c r="T18" s="7">
        <v>20120.23355462855</v>
      </c>
      <c r="U18" s="7">
        <v>238053.0347463947</v>
      </c>
      <c r="V18" s="7">
        <v>0</v>
      </c>
      <c r="W18" s="7">
        <v>0</v>
      </c>
      <c r="X18" s="7">
        <v>58196.765132288383</v>
      </c>
      <c r="Y18" s="7">
        <v>1230460.153832173</v>
      </c>
      <c r="Z18" s="7">
        <v>25088884.022190571</v>
      </c>
    </row>
    <row r="19" spans="3:26" x14ac:dyDescent="0.3">
      <c r="C19" t="s">
        <v>44</v>
      </c>
      <c r="D19" s="8">
        <v>0</v>
      </c>
      <c r="E19" s="8">
        <v>0</v>
      </c>
      <c r="F19" s="8">
        <v>0</v>
      </c>
      <c r="G19" s="8">
        <v>-3310628.452380952</v>
      </c>
      <c r="H19" s="8">
        <v>-6819894.6119047618</v>
      </c>
      <c r="I19" s="8">
        <v>-10536737.175392861</v>
      </c>
      <c r="J19" s="8">
        <v>-10852839.290654641</v>
      </c>
      <c r="K19" s="8">
        <v>-11178424.46937428</v>
      </c>
      <c r="L19" s="8">
        <v>-11513777.20345551</v>
      </c>
      <c r="M19" s="8">
        <v>-11859190.51955918</v>
      </c>
      <c r="N19" s="8">
        <v>-12214966.235145951</v>
      </c>
      <c r="O19" s="8">
        <v>-12581415.22220033</v>
      </c>
      <c r="P19" s="8">
        <v>-12958857.67886634</v>
      </c>
      <c r="Q19" s="8">
        <v>-13347623.409232341</v>
      </c>
      <c r="R19" s="8">
        <v>-13748052.111509301</v>
      </c>
      <c r="S19" s="8">
        <v>-14160493.67485458</v>
      </c>
      <c r="T19" s="8">
        <v>-14585308.485100221</v>
      </c>
      <c r="U19" s="8">
        <v>-15022867.73965323</v>
      </c>
      <c r="V19" s="8">
        <v>-15473553.77184283</v>
      </c>
      <c r="W19" s="8">
        <v>-15937760.384998109</v>
      </c>
      <c r="X19" s="8">
        <v>-16415893.19654806</v>
      </c>
      <c r="Y19" s="8">
        <v>-16908369.9924445</v>
      </c>
      <c r="Z19" s="8">
        <v>-17415621.092217829</v>
      </c>
    </row>
    <row r="20" spans="3:26" x14ac:dyDescent="0.3">
      <c r="C20" t="s">
        <v>45</v>
      </c>
      <c r="D20" s="8">
        <v>0</v>
      </c>
      <c r="E20" s="8">
        <v>0</v>
      </c>
      <c r="F20" s="8">
        <v>0</v>
      </c>
      <c r="G20" s="8">
        <v>-319821.719233485</v>
      </c>
      <c r="H20" s="8">
        <v>-658832.74162097904</v>
      </c>
      <c r="I20" s="8">
        <v>-1017896.585804413</v>
      </c>
      <c r="J20" s="8">
        <v>-1048433.483378545</v>
      </c>
      <c r="K20" s="8">
        <v>-1079886.4878799019</v>
      </c>
      <c r="L20" s="8">
        <v>-1112283.0825162991</v>
      </c>
      <c r="M20" s="8">
        <v>-1145651.574991788</v>
      </c>
      <c r="N20" s="8">
        <v>-1180021.122241542</v>
      </c>
      <c r="O20" s="8">
        <v>-1215421.7559087879</v>
      </c>
      <c r="P20" s="8">
        <v>-1251884.4085860511</v>
      </c>
      <c r="Q20" s="8">
        <v>-1289440.9408436329</v>
      </c>
      <c r="R20" s="8">
        <v>-1328124.1690689421</v>
      </c>
      <c r="S20" s="8">
        <v>-1367967.89414101</v>
      </c>
      <c r="T20" s="8">
        <v>-1409006.930965241</v>
      </c>
      <c r="U20" s="8">
        <v>-1451277.138894198</v>
      </c>
      <c r="V20" s="8">
        <v>-1494815.453061024</v>
      </c>
      <c r="W20" s="8">
        <v>-1539659.916652855</v>
      </c>
      <c r="X20" s="8">
        <v>-1585849.71415244</v>
      </c>
      <c r="Y20" s="8">
        <v>-1633425.205577014</v>
      </c>
      <c r="Z20" s="8">
        <v>-1682427.9617443241</v>
      </c>
    </row>
    <row r="21" spans="3:26" x14ac:dyDescent="0.3">
      <c r="C21" t="s">
        <v>46</v>
      </c>
      <c r="D21" s="8">
        <v>0</v>
      </c>
      <c r="E21" s="8">
        <v>0</v>
      </c>
      <c r="F21" s="8">
        <v>0</v>
      </c>
      <c r="G21" s="8">
        <v>-2581694.117633333</v>
      </c>
      <c r="H21" s="8">
        <v>-5318289.8823246667</v>
      </c>
      <c r="I21" s="8">
        <v>-8216757.868191611</v>
      </c>
      <c r="J21" s="8">
        <v>-8463260.6042373609</v>
      </c>
      <c r="K21" s="8">
        <v>-8717158.4223644808</v>
      </c>
      <c r="L21" s="8">
        <v>-8978673.1750354152</v>
      </c>
      <c r="M21" s="8">
        <v>-9248033.3702864777</v>
      </c>
      <c r="N21" s="8">
        <v>-9525474.3713950738</v>
      </c>
      <c r="O21" s="8">
        <v>-9811238.602536926</v>
      </c>
      <c r="P21" s="8">
        <v>-10105575.76061303</v>
      </c>
      <c r="Q21" s="8">
        <v>-10408743.03343142</v>
      </c>
      <c r="R21" s="8">
        <v>-10721005.32443437</v>
      </c>
      <c r="S21" s="8">
        <v>-11042635.484167401</v>
      </c>
      <c r="T21" s="8">
        <v>-11373914.54869242</v>
      </c>
      <c r="U21" s="8">
        <v>-11715131.985153191</v>
      </c>
      <c r="V21" s="8">
        <v>-12066585.94470779</v>
      </c>
      <c r="W21" s="8">
        <v>-12428583.523049019</v>
      </c>
      <c r="X21" s="8">
        <v>-12801441.028740499</v>
      </c>
      <c r="Y21" s="8">
        <v>-13185484.259602711</v>
      </c>
      <c r="Z21" s="8">
        <v>-13581048.787390791</v>
      </c>
    </row>
    <row r="22" spans="3:26" x14ac:dyDescent="0.3">
      <c r="C22" t="s">
        <v>47</v>
      </c>
      <c r="D22" s="8">
        <v>0</v>
      </c>
      <c r="E22" s="8">
        <v>0</v>
      </c>
      <c r="F22" s="8">
        <v>0</v>
      </c>
      <c r="G22" s="8">
        <v>-748918.15</v>
      </c>
      <c r="H22" s="8">
        <v>-1592538.2080000001</v>
      </c>
      <c r="I22" s="8">
        <v>-2537361.2667149999</v>
      </c>
      <c r="J22" s="8">
        <v>-2692678.5321320998</v>
      </c>
      <c r="K22" s="8">
        <v>-2855031.2083341819</v>
      </c>
      <c r="L22" s="8">
        <v>-3024701.634429472</v>
      </c>
      <c r="M22" s="8">
        <v>-3201982.7580029769</v>
      </c>
      <c r="N22" s="8">
        <v>-3387178.5175199062</v>
      </c>
      <c r="O22" s="8">
        <v>-3580604.238125647</v>
      </c>
      <c r="P22" s="8">
        <v>-3782587.0413019671</v>
      </c>
      <c r="Q22" s="8">
        <v>-3993466.268854551</v>
      </c>
      <c r="R22" s="8">
        <v>-4213593.921723119</v>
      </c>
      <c r="S22" s="8">
        <v>-4443335.114121832</v>
      </c>
      <c r="T22" s="8">
        <v>-4683068.5435349178</v>
      </c>
      <c r="U22" s="8">
        <v>-4933186.9771100776</v>
      </c>
      <c r="V22" s="8">
        <v>-5194097.7550105676</v>
      </c>
      <c r="W22" s="8">
        <v>-5466223.3113056859</v>
      </c>
      <c r="X22" s="8">
        <v>-5750001.712999003</v>
      </c>
      <c r="Y22" s="8">
        <v>-6045887.2178137423</v>
      </c>
      <c r="Z22" s="8">
        <v>-6354350.8513756692</v>
      </c>
    </row>
    <row r="23" spans="3:26" x14ac:dyDescent="0.3">
      <c r="C23" s="5" t="s">
        <v>48</v>
      </c>
      <c r="D23" s="7">
        <v>0</v>
      </c>
      <c r="E23" s="7">
        <v>0</v>
      </c>
      <c r="F23" s="7">
        <v>0</v>
      </c>
      <c r="G23" s="7">
        <v>-6961062.4392477712</v>
      </c>
      <c r="H23" s="7">
        <v>-14389555.443850409</v>
      </c>
      <c r="I23" s="7">
        <v>-22308752.896103889</v>
      </c>
      <c r="J23" s="7">
        <v>-23057211.910402648</v>
      </c>
      <c r="K23" s="7">
        <v>-23830500.587952849</v>
      </c>
      <c r="L23" s="7">
        <v>-24629435.0954367</v>
      </c>
      <c r="M23" s="7">
        <v>-25454858.222840421</v>
      </c>
      <c r="N23" s="7">
        <v>-26307640.246302482</v>
      </c>
      <c r="O23" s="7">
        <v>-27188679.81877169</v>
      </c>
      <c r="P23" s="7">
        <v>-28098904.88936739</v>
      </c>
      <c r="Q23" s="7">
        <v>-29039273.652361941</v>
      </c>
      <c r="R23" s="7">
        <v>-30010775.52673573</v>
      </c>
      <c r="S23" s="7">
        <v>-31014432.16728482</v>
      </c>
      <c r="T23" s="7">
        <v>-32051298.508292802</v>
      </c>
      <c r="U23" s="7">
        <v>-33122463.840810701</v>
      </c>
      <c r="V23" s="7">
        <v>-34229052.924622208</v>
      </c>
      <c r="W23" s="7">
        <v>-35372227.13600567</v>
      </c>
      <c r="X23" s="7">
        <v>-36553185.652439997</v>
      </c>
      <c r="Y23" s="7">
        <v>-37773166.675437957</v>
      </c>
      <c r="Z23" s="7">
        <v>-39033448.692728616</v>
      </c>
    </row>
    <row r="24" spans="3:26" x14ac:dyDescent="0.3">
      <c r="C24" t="s">
        <v>49</v>
      </c>
      <c r="D24" s="8">
        <v>0</v>
      </c>
      <c r="E24" s="8">
        <v>0</v>
      </c>
      <c r="F24" s="8">
        <v>0</v>
      </c>
      <c r="G24" s="8">
        <v>-4449958.243809524</v>
      </c>
      <c r="H24" s="8">
        <v>-4583456.9911238085</v>
      </c>
      <c r="I24" s="8">
        <v>-4720960.7008575238</v>
      </c>
      <c r="J24" s="8">
        <v>-4862589.5218832502</v>
      </c>
      <c r="K24" s="8">
        <v>-5008467.2075397465</v>
      </c>
      <c r="L24" s="8">
        <v>-5158721.2237659404</v>
      </c>
      <c r="M24" s="8">
        <v>-5313482.860478919</v>
      </c>
      <c r="N24" s="8">
        <v>-5472887.3462932864</v>
      </c>
      <c r="O24" s="8">
        <v>-5637073.9666820848</v>
      </c>
      <c r="P24" s="8">
        <v>-5806186.1856825482</v>
      </c>
      <c r="Q24" s="8">
        <v>-5980371.7712530242</v>
      </c>
      <c r="R24" s="8">
        <v>-6159782.924390615</v>
      </c>
      <c r="S24" s="8">
        <v>-6344576.4121223344</v>
      </c>
      <c r="T24" s="8">
        <v>-6534913.704486005</v>
      </c>
      <c r="U24" s="8">
        <v>-6730961.1156205842</v>
      </c>
      <c r="V24" s="8">
        <v>-6932889.9490892021</v>
      </c>
      <c r="W24" s="8">
        <v>-7140876.647561878</v>
      </c>
      <c r="X24" s="8">
        <v>-7355102.9469887353</v>
      </c>
      <c r="Y24" s="8">
        <v>-7575756.0353983976</v>
      </c>
      <c r="Z24" s="8">
        <v>-7803028.71646035</v>
      </c>
    </row>
    <row r="25" spans="3:26" x14ac:dyDescent="0.3">
      <c r="C25" t="s">
        <v>50</v>
      </c>
      <c r="D25" s="8">
        <v>0</v>
      </c>
      <c r="E25" s="8">
        <v>0</v>
      </c>
      <c r="F25" s="8">
        <v>0</v>
      </c>
      <c r="G25" s="8">
        <v>-925892.22300632414</v>
      </c>
      <c r="H25" s="8">
        <v>-950637.48969651375</v>
      </c>
      <c r="I25" s="8">
        <v>-976125.11438740918</v>
      </c>
      <c r="J25" s="8">
        <v>-1002377.367819032</v>
      </c>
      <c r="K25" s="8">
        <v>-1029417.188853603</v>
      </c>
      <c r="L25" s="8">
        <v>-1057268.2045192111</v>
      </c>
      <c r="M25" s="8">
        <v>-1085954.7506547871</v>
      </c>
      <c r="N25" s="8">
        <v>-1115501.8931744311</v>
      </c>
      <c r="O25" s="8">
        <v>-1145935.449969664</v>
      </c>
      <c r="P25" s="8">
        <v>-1177282.013468754</v>
      </c>
      <c r="Q25" s="8">
        <v>-1209568.973872816</v>
      </c>
      <c r="R25" s="8">
        <v>-1242824.543089001</v>
      </c>
      <c r="S25" s="8">
        <v>-1277077.779381671</v>
      </c>
      <c r="T25" s="8">
        <v>-1312358.612763121</v>
      </c>
      <c r="U25" s="8">
        <v>-1348697.871146014</v>
      </c>
      <c r="V25" s="8">
        <v>-1386127.3072803949</v>
      </c>
      <c r="W25" s="8">
        <v>-1424679.626498807</v>
      </c>
      <c r="X25" s="8">
        <v>-1464388.5152937709</v>
      </c>
      <c r="Y25" s="8">
        <v>-1505288.670752584</v>
      </c>
      <c r="Z25" s="8">
        <v>-1547415.830875162</v>
      </c>
    </row>
    <row r="26" spans="3:26" x14ac:dyDescent="0.3">
      <c r="C26" t="s">
        <v>51</v>
      </c>
      <c r="D26" s="8">
        <v>-412470</v>
      </c>
      <c r="E26" s="8">
        <v>-412470</v>
      </c>
      <c r="F26" s="8">
        <v>-412470</v>
      </c>
      <c r="G26" s="8">
        <v>-412470</v>
      </c>
      <c r="H26" s="8">
        <v>-412470</v>
      </c>
      <c r="I26" s="8">
        <v>-412470</v>
      </c>
      <c r="J26" s="8">
        <v>-412470</v>
      </c>
      <c r="K26" s="8">
        <v>-412470</v>
      </c>
      <c r="L26" s="8">
        <v>-412470</v>
      </c>
      <c r="M26" s="8">
        <v>-412470</v>
      </c>
      <c r="N26" s="8">
        <v>-412470</v>
      </c>
      <c r="O26" s="8">
        <v>-412470</v>
      </c>
      <c r="P26" s="8">
        <v>-412470</v>
      </c>
      <c r="Q26" s="8">
        <v>-412470</v>
      </c>
      <c r="R26" s="8">
        <v>-412470</v>
      </c>
      <c r="S26" s="8">
        <v>-412470</v>
      </c>
      <c r="T26" s="8">
        <v>-412470</v>
      </c>
      <c r="U26" s="8">
        <v>-412470</v>
      </c>
      <c r="V26" s="8">
        <v>-412470</v>
      </c>
      <c r="W26" s="8">
        <v>-412470</v>
      </c>
      <c r="X26" s="8">
        <v>-412470</v>
      </c>
      <c r="Y26" s="8">
        <v>-412470</v>
      </c>
      <c r="Z26" s="8">
        <v>-412470</v>
      </c>
    </row>
    <row r="27" spans="3:26" x14ac:dyDescent="0.3">
      <c r="C27" t="s">
        <v>52</v>
      </c>
      <c r="D27" s="8">
        <v>-54000</v>
      </c>
      <c r="E27" s="8">
        <v>-54000</v>
      </c>
      <c r="F27" s="8">
        <v>-347987</v>
      </c>
      <c r="G27" s="8">
        <v>-221537</v>
      </c>
      <c r="H27" s="8">
        <v>-221537</v>
      </c>
      <c r="I27" s="8">
        <v>-221537</v>
      </c>
      <c r="J27" s="8">
        <v>-221537</v>
      </c>
      <c r="K27" s="8">
        <v>-250037</v>
      </c>
      <c r="L27" s="8">
        <v>-221537</v>
      </c>
      <c r="M27" s="8">
        <v>-221537</v>
      </c>
      <c r="N27" s="8">
        <v>-221537</v>
      </c>
      <c r="O27" s="8">
        <v>-221537</v>
      </c>
      <c r="P27" s="8">
        <v>-250037</v>
      </c>
      <c r="Q27" s="8">
        <v>-221537</v>
      </c>
      <c r="R27" s="8">
        <v>-221537</v>
      </c>
      <c r="S27" s="8">
        <v>-221537</v>
      </c>
      <c r="T27" s="8">
        <v>-221537</v>
      </c>
      <c r="U27" s="8">
        <v>-250037</v>
      </c>
      <c r="V27" s="8">
        <v>-221537</v>
      </c>
      <c r="W27" s="8">
        <v>-221537</v>
      </c>
      <c r="X27" s="8">
        <v>-221537</v>
      </c>
      <c r="Y27" s="8">
        <v>-221537</v>
      </c>
      <c r="Z27" s="8">
        <v>-250037</v>
      </c>
    </row>
    <row r="28" spans="3:26" x14ac:dyDescent="0.3">
      <c r="C28" s="5" t="s">
        <v>53</v>
      </c>
      <c r="D28" s="7">
        <v>-466470.05973324418</v>
      </c>
      <c r="E28" s="7">
        <v>-466470.05973324418</v>
      </c>
      <c r="F28" s="7">
        <v>-760457.05973324412</v>
      </c>
      <c r="G28" s="7">
        <v>-6009857.5265490916</v>
      </c>
      <c r="H28" s="7">
        <v>-6168101.5405535679</v>
      </c>
      <c r="I28" s="7">
        <v>-6331092.8749781772</v>
      </c>
      <c r="J28" s="7">
        <v>-6498973.9494355274</v>
      </c>
      <c r="K28" s="7">
        <v>-6700391.4561265949</v>
      </c>
      <c r="L28" s="7">
        <v>-6849996.4880183954</v>
      </c>
      <c r="M28" s="7">
        <v>-7033444.6708669504</v>
      </c>
      <c r="N28" s="7">
        <v>-7222396.2992009623</v>
      </c>
      <c r="O28" s="7">
        <v>-7417016.4763849927</v>
      </c>
      <c r="P28" s="7">
        <v>-7645975.2588845463</v>
      </c>
      <c r="Q28" s="7">
        <v>-7823947.804859085</v>
      </c>
      <c r="R28" s="7">
        <v>-8036614.5272128601</v>
      </c>
      <c r="S28" s="7">
        <v>-8255661.2512372499</v>
      </c>
      <c r="T28" s="7">
        <v>-8481279.3769823704</v>
      </c>
      <c r="U28" s="7">
        <v>-8742166.0464998428</v>
      </c>
      <c r="V28" s="7">
        <v>-8953024.3161028419</v>
      </c>
      <c r="W28" s="7">
        <v>-9199563.3337939288</v>
      </c>
      <c r="X28" s="7">
        <v>-9453498.5220157504</v>
      </c>
      <c r="Y28" s="7">
        <v>-9715051.7658842262</v>
      </c>
      <c r="Z28" s="7">
        <v>-10012951.607068749</v>
      </c>
    </row>
    <row r="29" spans="3:26" x14ac:dyDescent="0.3">
      <c r="C29" t="s">
        <v>54</v>
      </c>
      <c r="D29" s="8">
        <v>-466470.05973324418</v>
      </c>
      <c r="E29" s="8">
        <v>-466470.05973324418</v>
      </c>
      <c r="F29" s="8">
        <v>-760457.05973324412</v>
      </c>
      <c r="G29" s="8">
        <v>2007443.0342031349</v>
      </c>
      <c r="H29" s="8">
        <v>11293107.175596019</v>
      </c>
      <c r="I29" s="8">
        <v>22107379.56321793</v>
      </c>
      <c r="J29" s="8">
        <v>24297384.782803819</v>
      </c>
      <c r="K29" s="8">
        <v>26569732.122604199</v>
      </c>
      <c r="L29" s="8">
        <v>29014601.105134331</v>
      </c>
      <c r="M29" s="8">
        <v>31551352.266352162</v>
      </c>
      <c r="N29" s="8">
        <v>34213533.804894671</v>
      </c>
      <c r="O29" s="8">
        <v>37094559.465331078</v>
      </c>
      <c r="P29" s="8">
        <v>40104103.239986859</v>
      </c>
      <c r="Q29" s="8">
        <v>43006103.919869989</v>
      </c>
      <c r="R29" s="8">
        <v>46225267.012066074</v>
      </c>
      <c r="S29" s="8">
        <v>49596608.863914572</v>
      </c>
      <c r="T29" s="8">
        <v>53148913.218977802</v>
      </c>
      <c r="U29" s="8">
        <v>57037162.689637393</v>
      </c>
      <c r="V29" s="8">
        <v>60699877.859486282</v>
      </c>
      <c r="W29" s="8">
        <v>64752675.756314106</v>
      </c>
      <c r="X29" s="8">
        <v>69051546.850656599</v>
      </c>
      <c r="Y29" s="8">
        <v>74659986.068784833</v>
      </c>
      <c r="Z29" s="8">
        <v>103129500.7499066</v>
      </c>
    </row>
    <row r="30" spans="3:26" x14ac:dyDescent="0.3">
      <c r="C30" t="s">
        <v>55</v>
      </c>
      <c r="D30" s="8">
        <v>0</v>
      </c>
      <c r="E30" s="8">
        <v>0</v>
      </c>
      <c r="F30" s="8">
        <v>0</v>
      </c>
      <c r="G30" s="8">
        <v>1522482.300147983</v>
      </c>
      <c r="H30" s="8">
        <v>2664899.7682808251</v>
      </c>
      <c r="I30" s="8">
        <v>2257771.0844410611</v>
      </c>
      <c r="J30" s="8">
        <v>1939936.714147384</v>
      </c>
      <c r="K30" s="8">
        <v>1687701.072723313</v>
      </c>
      <c r="L30" s="8">
        <v>1579986.2068853469</v>
      </c>
      <c r="M30" s="8">
        <v>1511754.177966381</v>
      </c>
      <c r="N30" s="8">
        <v>1308743.0974699771</v>
      </c>
      <c r="O30" s="8">
        <v>1135307.6487331339</v>
      </c>
      <c r="P30" s="8">
        <v>1260242.4087350389</v>
      </c>
      <c r="Q30" s="8">
        <v>1633098.044156512</v>
      </c>
      <c r="R30" s="8">
        <v>1771504.162913477</v>
      </c>
      <c r="S30" s="8">
        <v>1591523.1309787659</v>
      </c>
      <c r="T30" s="8">
        <v>1461245.5826792079</v>
      </c>
      <c r="U30" s="8">
        <v>1420207.4273053049</v>
      </c>
      <c r="V30" s="8">
        <v>1493389.949229476</v>
      </c>
      <c r="W30" s="8">
        <v>1396761.822532156</v>
      </c>
      <c r="X30" s="8">
        <v>1092479.865176457</v>
      </c>
      <c r="Y30" s="8">
        <v>907511.77033896931</v>
      </c>
      <c r="Z30" s="8">
        <v>1573804.4379608389</v>
      </c>
    </row>
    <row r="31" spans="3:26" x14ac:dyDescent="0.3">
      <c r="C31" t="s">
        <v>56</v>
      </c>
      <c r="D31" s="8">
        <v>1230052.8144948089</v>
      </c>
      <c r="E31" s="8">
        <v>1211144.5339429339</v>
      </c>
      <c r="F31" s="8">
        <v>1190629.04954415</v>
      </c>
      <c r="G31" s="8">
        <v>1168369.748971469</v>
      </c>
      <c r="H31" s="8">
        <v>1144218.40785011</v>
      </c>
      <c r="I31" s="8">
        <v>1118014.2027334359</v>
      </c>
      <c r="J31" s="8">
        <v>1089582.6401818439</v>
      </c>
      <c r="K31" s="8">
        <v>1058734.3948133669</v>
      </c>
      <c r="L31" s="8">
        <v>1025264.04858857</v>
      </c>
      <c r="M31" s="8">
        <v>988948.72293466493</v>
      </c>
      <c r="N31" s="8">
        <v>949546.59460017772</v>
      </c>
      <c r="O31" s="8">
        <v>906795.28535725921</v>
      </c>
      <c r="P31" s="8">
        <v>860410.11482869252</v>
      </c>
      <c r="Q31" s="8">
        <v>810082.20480519778</v>
      </c>
      <c r="R31" s="8">
        <v>755476.42242970597</v>
      </c>
      <c r="S31" s="8">
        <v>696229.14855229738</v>
      </c>
      <c r="T31" s="8">
        <v>631945.85639530909</v>
      </c>
      <c r="U31" s="8">
        <v>562198.48440497683</v>
      </c>
      <c r="V31" s="8">
        <v>486522.58579546609</v>
      </c>
      <c r="W31" s="8">
        <v>404414.23580414709</v>
      </c>
      <c r="X31" s="8">
        <v>315326.67606356612</v>
      </c>
      <c r="Y31" s="8">
        <v>218666.67374503551</v>
      </c>
      <c r="Z31" s="8">
        <v>113790.5712294299</v>
      </c>
    </row>
    <row r="32" spans="3:26" x14ac:dyDescent="0.3">
      <c r="C32" t="s">
        <v>57</v>
      </c>
      <c r="D32" s="8">
        <v>-1696522.874228053</v>
      </c>
      <c r="E32" s="8">
        <v>-1677614.593676178</v>
      </c>
      <c r="F32" s="8">
        <v>-1951086.1092773939</v>
      </c>
      <c r="G32" s="8">
        <v>-683409.01491631707</v>
      </c>
      <c r="H32" s="8">
        <v>7483988.9994650902</v>
      </c>
      <c r="I32" s="8">
        <v>18731594.276043441</v>
      </c>
      <c r="J32" s="8">
        <v>21267865.42847459</v>
      </c>
      <c r="K32" s="8">
        <v>23823296.655067518</v>
      </c>
      <c r="L32" s="8">
        <v>26409350.849660411</v>
      </c>
      <c r="M32" s="8">
        <v>29050649.365451109</v>
      </c>
      <c r="N32" s="8">
        <v>31955244.112824511</v>
      </c>
      <c r="O32" s="8">
        <v>35052456.531240687</v>
      </c>
      <c r="P32" s="8">
        <v>37983450.716423132</v>
      </c>
      <c r="Q32" s="8">
        <v>40562923.67090828</v>
      </c>
      <c r="R32" s="8">
        <v>43698286.426722892</v>
      </c>
      <c r="S32" s="8">
        <v>47308856.58438351</v>
      </c>
      <c r="T32" s="8">
        <v>51055721.779903293</v>
      </c>
      <c r="U32" s="8">
        <v>55054756.777927123</v>
      </c>
      <c r="V32" s="8">
        <v>58719965.324461333</v>
      </c>
      <c r="W32" s="8">
        <v>62951499.697977811</v>
      </c>
      <c r="X32" s="8">
        <v>67643740.309416577</v>
      </c>
      <c r="Y32" s="8">
        <v>73533807.624700829</v>
      </c>
      <c r="Z32" s="8">
        <v>101441905.74071629</v>
      </c>
    </row>
    <row r="33" spans="3:26" x14ac:dyDescent="0.3">
      <c r="C33" t="s">
        <v>58</v>
      </c>
      <c r="D33" s="8">
        <v>0</v>
      </c>
      <c r="E33" s="8">
        <v>0</v>
      </c>
      <c r="F33" s="8">
        <v>0</v>
      </c>
      <c r="G33" s="8">
        <v>1145737.3842554139</v>
      </c>
      <c r="H33" s="8">
        <v>2493332.3227548641</v>
      </c>
      <c r="I33" s="8">
        <v>4018347.9953312008</v>
      </c>
      <c r="J33" s="8">
        <v>4274015.6220163759</v>
      </c>
      <c r="K33" s="8">
        <v>4540537.8255837345</v>
      </c>
      <c r="L33" s="8">
        <v>4818429.6042418107</v>
      </c>
      <c r="M33" s="8">
        <v>5108320.691617433</v>
      </c>
      <c r="N33" s="8">
        <v>5412233.1695235409</v>
      </c>
      <c r="O33" s="8">
        <v>5730115.8517660964</v>
      </c>
      <c r="P33" s="8">
        <v>6059774.1942198873</v>
      </c>
      <c r="Q33" s="8">
        <v>6400333.6040710416</v>
      </c>
      <c r="R33" s="8">
        <v>6759133.951996401</v>
      </c>
      <c r="S33" s="8">
        <v>7136124.1920328122</v>
      </c>
      <c r="T33" s="8">
        <v>7529337.0361629883</v>
      </c>
      <c r="U33" s="8">
        <v>7940237.3045603586</v>
      </c>
      <c r="V33" s="8">
        <v>8365047.7357180398</v>
      </c>
      <c r="W33" s="8">
        <v>8811159.9042445347</v>
      </c>
      <c r="X33" s="8">
        <v>9278445.6147145815</v>
      </c>
      <c r="Y33" s="8">
        <v>9773121.5644043013</v>
      </c>
      <c r="Z33" s="8">
        <v>10452052.770687491</v>
      </c>
    </row>
    <row r="34" spans="3:26" x14ac:dyDescent="0.3">
      <c r="C34" t="s">
        <v>59</v>
      </c>
      <c r="D34" s="8">
        <v>0</v>
      </c>
      <c r="E34" s="8">
        <v>0</v>
      </c>
      <c r="F34" s="8">
        <v>0</v>
      </c>
      <c r="G34" s="8">
        <v>0</v>
      </c>
      <c r="H34" s="8">
        <v>1048037.902109147</v>
      </c>
      <c r="I34" s="8">
        <v>3089781.7189495689</v>
      </c>
      <c r="J34" s="8">
        <v>3568708.459356226</v>
      </c>
      <c r="K34" s="8">
        <v>4049379.3541915952</v>
      </c>
      <c r="L34" s="8">
        <v>4534093.461537906</v>
      </c>
      <c r="M34" s="8">
        <v>5027889.0215050727</v>
      </c>
      <c r="N34" s="8">
        <v>5574032.2980932044</v>
      </c>
      <c r="O34" s="8">
        <v>6157691.5426896643</v>
      </c>
      <c r="P34" s="8">
        <v>6703972.0696626808</v>
      </c>
      <c r="Q34" s="8">
        <v>7174143.9140358185</v>
      </c>
      <c r="R34" s="8">
        <v>7757222.0196925635</v>
      </c>
      <c r="S34" s="8">
        <v>8436273.802393645</v>
      </c>
      <c r="T34" s="8">
        <v>9140540.7961854618</v>
      </c>
      <c r="U34" s="8">
        <v>9894049.0894070193</v>
      </c>
      <c r="V34" s="8">
        <v>10574532.69363609</v>
      </c>
      <c r="W34" s="8">
        <v>11369471.35668399</v>
      </c>
      <c r="X34" s="8">
        <v>12256711.88588742</v>
      </c>
      <c r="Y34" s="8">
        <v>13389744.07266227</v>
      </c>
      <c r="Z34" s="8">
        <v>19107869.123706061</v>
      </c>
    </row>
    <row r="35" spans="3:26" x14ac:dyDescent="0.3">
      <c r="C35" t="s">
        <v>60</v>
      </c>
      <c r="D35" s="8">
        <v>0</v>
      </c>
      <c r="E35" s="8">
        <v>0</v>
      </c>
      <c r="F35" s="8">
        <v>0</v>
      </c>
      <c r="G35" s="8">
        <v>1145737.3842554139</v>
      </c>
      <c r="H35" s="8">
        <v>3541370.2248640121</v>
      </c>
      <c r="I35" s="8">
        <v>7108129.7142807711</v>
      </c>
      <c r="J35" s="8">
        <v>7842724.0813726019</v>
      </c>
      <c r="K35" s="8">
        <v>8589917.1797753293</v>
      </c>
      <c r="L35" s="8">
        <v>9352523.0657797158</v>
      </c>
      <c r="M35" s="8">
        <v>10136209.713122509</v>
      </c>
      <c r="N35" s="8">
        <v>10986265.467616741</v>
      </c>
      <c r="O35" s="8">
        <v>11887807.394455761</v>
      </c>
      <c r="P35" s="8">
        <v>12763746.26388257</v>
      </c>
      <c r="Q35" s="8">
        <v>13574477.518106859</v>
      </c>
      <c r="R35" s="8">
        <v>14516355.97168896</v>
      </c>
      <c r="S35" s="8">
        <v>15572397.994426459</v>
      </c>
      <c r="T35" s="8">
        <v>16669877.832348449</v>
      </c>
      <c r="U35" s="8">
        <v>17834286.393967379</v>
      </c>
      <c r="V35" s="8">
        <v>18939580.429354131</v>
      </c>
      <c r="W35" s="8">
        <v>20180631.260928519</v>
      </c>
      <c r="X35" s="8">
        <v>21535157.500601999</v>
      </c>
      <c r="Y35" s="8">
        <v>23162865.637066569</v>
      </c>
      <c r="Z35" s="8">
        <v>29559921.894393548</v>
      </c>
    </row>
    <row r="36" spans="3:26" x14ac:dyDescent="0.3">
      <c r="C36" s="5" t="s">
        <v>61</v>
      </c>
      <c r="D36" s="7">
        <v>-1696522.874228053</v>
      </c>
      <c r="E36" s="7">
        <v>-1677614.593676178</v>
      </c>
      <c r="F36" s="7">
        <v>-1951086.1092773939</v>
      </c>
      <c r="G36" s="7">
        <v>-1829146.399171731</v>
      </c>
      <c r="H36" s="7">
        <v>3942618.7746010781</v>
      </c>
      <c r="I36" s="7">
        <v>11623464.56176267</v>
      </c>
      <c r="J36" s="7">
        <v>13425141.34710199</v>
      </c>
      <c r="K36" s="7">
        <v>15233379.475292191</v>
      </c>
      <c r="L36" s="7">
        <v>17056827.783880699</v>
      </c>
      <c r="M36" s="7">
        <v>18914439.65232861</v>
      </c>
      <c r="N36" s="7">
        <v>20968978.64520777</v>
      </c>
      <c r="O36" s="7">
        <v>23164649.13678493</v>
      </c>
      <c r="P36" s="7">
        <v>25219704.452540562</v>
      </c>
      <c r="Q36" s="7">
        <v>26988446.152801421</v>
      </c>
      <c r="R36" s="7">
        <v>29181930.455033928</v>
      </c>
      <c r="S36" s="7">
        <v>31736458.589957051</v>
      </c>
      <c r="T36" s="7">
        <v>34385843.947554827</v>
      </c>
      <c r="U36" s="7">
        <v>37220470.38395974</v>
      </c>
      <c r="V36" s="7">
        <v>39780384.895107202</v>
      </c>
      <c r="W36" s="7">
        <v>42770868.437049277</v>
      </c>
      <c r="X36" s="7">
        <v>46108582.808814578</v>
      </c>
      <c r="Y36" s="7">
        <v>50370941.987634256</v>
      </c>
      <c r="Z36" s="7">
        <v>71881983.84632279</v>
      </c>
    </row>
  </sheetData>
  <hyperlinks>
    <hyperlink ref="B2" location="'Home Sheet'!B2" display="BACK TO HOME SHEET" xr:uid="{D0953034-BE8E-465F-B91E-DE82004B0A5A}"/>
  </hyperlink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Z50"/>
  <sheetViews>
    <sheetView topLeftCell="N22" zoomScale="103" zoomScaleNormal="85" workbookViewId="0">
      <selection activeCell="Z47" sqref="Z47"/>
    </sheetView>
  </sheetViews>
  <sheetFormatPr defaultRowHeight="14.4" x14ac:dyDescent="0.3"/>
  <cols>
    <col min="2" max="2" width="19.5546875" bestFit="1" customWidth="1"/>
    <col min="3" max="3" width="23.109375" bestFit="1" customWidth="1"/>
    <col min="4" max="26" width="12.6640625" bestFit="1" customWidth="1"/>
  </cols>
  <sheetData>
    <row r="2" spans="2:26" x14ac:dyDescent="0.3">
      <c r="B2" s="2" t="s">
        <v>372</v>
      </c>
    </row>
    <row r="3" spans="2:26" x14ac:dyDescent="0.3">
      <c r="C3" s="3" t="s">
        <v>6</v>
      </c>
      <c r="D3" s="3" t="s">
        <v>7</v>
      </c>
      <c r="E3" s="3" t="s">
        <v>8</v>
      </c>
      <c r="F3" s="3" t="s">
        <v>9</v>
      </c>
      <c r="G3" s="3" t="s">
        <v>10</v>
      </c>
      <c r="H3" s="3" t="s">
        <v>11</v>
      </c>
      <c r="I3" s="3" t="s">
        <v>12</v>
      </c>
      <c r="J3" s="3" t="s">
        <v>13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3" t="s">
        <v>19</v>
      </c>
      <c r="Q3" s="3" t="s">
        <v>20</v>
      </c>
      <c r="R3" s="3" t="s">
        <v>21</v>
      </c>
      <c r="S3" s="3" t="s">
        <v>22</v>
      </c>
      <c r="T3" s="3" t="s">
        <v>23</v>
      </c>
      <c r="U3" s="3" t="s">
        <v>24</v>
      </c>
      <c r="V3" s="3" t="s">
        <v>25</v>
      </c>
      <c r="W3" s="3" t="s">
        <v>26</v>
      </c>
      <c r="X3" s="3" t="s">
        <v>27</v>
      </c>
      <c r="Y3" s="3" t="s">
        <v>28</v>
      </c>
      <c r="Z3" s="3" t="s">
        <v>29</v>
      </c>
    </row>
    <row r="4" spans="2:26" x14ac:dyDescent="0.3">
      <c r="C4" s="5" t="s">
        <v>377</v>
      </c>
      <c r="D4" s="7">
        <v>0</v>
      </c>
      <c r="E4" s="7">
        <v>0</v>
      </c>
      <c r="F4" s="7">
        <v>0</v>
      </c>
      <c r="G4" s="7">
        <v>33.333333333333329</v>
      </c>
      <c r="H4" s="7">
        <v>66.666666666666657</v>
      </c>
      <c r="I4" s="7">
        <v>100</v>
      </c>
      <c r="J4" s="7">
        <v>100</v>
      </c>
      <c r="K4" s="7">
        <v>100</v>
      </c>
      <c r="L4" s="7">
        <v>100</v>
      </c>
      <c r="M4" s="7">
        <v>100</v>
      </c>
      <c r="N4" s="7">
        <v>100</v>
      </c>
      <c r="O4" s="7">
        <v>100</v>
      </c>
      <c r="P4" s="7">
        <v>100</v>
      </c>
      <c r="Q4" s="7">
        <v>100</v>
      </c>
      <c r="R4" s="7">
        <v>100</v>
      </c>
      <c r="S4" s="7">
        <v>100</v>
      </c>
      <c r="T4" s="7">
        <v>100</v>
      </c>
      <c r="U4" s="7">
        <v>100</v>
      </c>
      <c r="V4" s="7">
        <v>100</v>
      </c>
      <c r="W4" s="7">
        <v>100</v>
      </c>
      <c r="X4" s="7">
        <v>100</v>
      </c>
      <c r="Y4" s="7">
        <v>100</v>
      </c>
      <c r="Z4" s="7">
        <v>100</v>
      </c>
    </row>
    <row r="5" spans="2:26" x14ac:dyDescent="0.3">
      <c r="C5" t="s">
        <v>30</v>
      </c>
      <c r="D5" s="8">
        <v>0</v>
      </c>
      <c r="E5" s="8">
        <v>0</v>
      </c>
      <c r="F5" s="8">
        <v>0</v>
      </c>
      <c r="G5" s="8">
        <v>4.7895000000000003</v>
      </c>
      <c r="H5" s="8">
        <v>5.09232</v>
      </c>
      <c r="I5" s="8">
        <v>5.4089986499999991</v>
      </c>
      <c r="J5" s="8">
        <v>5.7400949309999998</v>
      </c>
      <c r="K5" s="8">
        <v>6.0861888900749994</v>
      </c>
      <c r="L5" s="8">
        <v>6.4478824012566003</v>
      </c>
      <c r="M5" s="8">
        <v>6.8257999531080298</v>
      </c>
      <c r="N5" s="8">
        <v>7.2205894639094126</v>
      </c>
      <c r="O5" s="8">
        <v>7.6329231254010823</v>
      </c>
      <c r="P5" s="8">
        <v>8.0634982760647329</v>
      </c>
      <c r="Q5" s="8">
        <v>8.5130383049553426</v>
      </c>
      <c r="R5" s="8">
        <v>8.9822935871309291</v>
      </c>
      <c r="S5" s="8">
        <v>9.4720424517625936</v>
      </c>
      <c r="T5" s="8">
        <v>9.9830921840437377</v>
      </c>
      <c r="U5" s="8">
        <v>10.516280062055159</v>
      </c>
      <c r="V5" s="8">
        <v>11.072474429781639</v>
      </c>
      <c r="W5" s="8">
        <v>11.65257580751585</v>
      </c>
      <c r="X5" s="8">
        <v>12.257518040927311</v>
      </c>
      <c r="Y5" s="8">
        <v>12.8882694901167</v>
      </c>
      <c r="Z5" s="8">
        <v>13.545834260020611</v>
      </c>
    </row>
    <row r="6" spans="2:26" x14ac:dyDescent="0.3">
      <c r="C6" t="s">
        <v>31</v>
      </c>
      <c r="D6" s="8">
        <v>0</v>
      </c>
      <c r="E6" s="8">
        <v>0</v>
      </c>
      <c r="F6" s="8">
        <v>0</v>
      </c>
      <c r="G6" s="8">
        <v>6.0667000000000009</v>
      </c>
      <c r="H6" s="8">
        <v>6.450272</v>
      </c>
      <c r="I6" s="8">
        <v>6.8513982899999997</v>
      </c>
      <c r="J6" s="8">
        <v>7.2707869126000002</v>
      </c>
      <c r="K6" s="8">
        <v>7.7091725940950004</v>
      </c>
      <c r="L6" s="8">
        <v>8.167317708258361</v>
      </c>
      <c r="M6" s="8">
        <v>8.6460132739368376</v>
      </c>
      <c r="N6" s="8">
        <v>9.1460799876185899</v>
      </c>
      <c r="O6" s="8">
        <v>9.6683692921747042</v>
      </c>
      <c r="P6" s="8">
        <v>10.21376448301533</v>
      </c>
      <c r="Q6" s="8">
        <v>10.78318185294343</v>
      </c>
      <c r="R6" s="8">
        <v>11.37757187703251</v>
      </c>
      <c r="S6" s="8">
        <v>11.99792043889928</v>
      </c>
      <c r="T6" s="8">
        <v>12.645250099788729</v>
      </c>
      <c r="U6" s="8">
        <v>13.320621411936539</v>
      </c>
      <c r="V6" s="8">
        <v>14.02513427772341</v>
      </c>
      <c r="W6" s="8">
        <v>14.75992935618674</v>
      </c>
      <c r="X6" s="8">
        <v>15.52618951850793</v>
      </c>
      <c r="Y6" s="8">
        <v>16.325141354147821</v>
      </c>
      <c r="Z6" s="8">
        <v>17.158056729359441</v>
      </c>
    </row>
    <row r="7" spans="2:26" x14ac:dyDescent="0.3">
      <c r="C7" t="s">
        <v>32</v>
      </c>
      <c r="D7" s="8">
        <v>0</v>
      </c>
      <c r="E7" s="8">
        <v>0</v>
      </c>
      <c r="F7" s="8">
        <v>0</v>
      </c>
      <c r="G7" s="8">
        <v>22.350999999999999</v>
      </c>
      <c r="H7" s="8">
        <v>23.76416</v>
      </c>
      <c r="I7" s="8">
        <v>25.241993699999998</v>
      </c>
      <c r="J7" s="8">
        <v>26.787109678</v>
      </c>
      <c r="K7" s="8">
        <v>28.40221482035</v>
      </c>
      <c r="L7" s="8">
        <v>30.090117872530801</v>
      </c>
      <c r="M7" s="8">
        <v>31.853733114504141</v>
      </c>
      <c r="N7" s="8">
        <v>33.696084164910587</v>
      </c>
      <c r="O7" s="8">
        <v>35.62030791853838</v>
      </c>
      <c r="P7" s="8">
        <v>37.629658621635421</v>
      </c>
      <c r="Q7" s="8">
        <v>39.727512089791603</v>
      </c>
      <c r="R7" s="8">
        <v>41.917370073277667</v>
      </c>
      <c r="S7" s="8">
        <v>44.202864774892099</v>
      </c>
      <c r="T7" s="8">
        <v>46.587763525537447</v>
      </c>
      <c r="U7" s="8">
        <v>49.075973622924103</v>
      </c>
      <c r="V7" s="8">
        <v>51.671547338980979</v>
      </c>
      <c r="W7" s="8">
        <v>54.378687101740638</v>
      </c>
      <c r="X7" s="8">
        <v>57.201750857660791</v>
      </c>
      <c r="Y7" s="8">
        <v>60.145257620544577</v>
      </c>
      <c r="Z7" s="8">
        <v>63.213893213429522</v>
      </c>
    </row>
    <row r="8" spans="2:26" x14ac:dyDescent="0.3">
      <c r="C8" t="s">
        <v>33</v>
      </c>
      <c r="D8" s="8">
        <v>0</v>
      </c>
      <c r="E8" s="8">
        <v>0</v>
      </c>
      <c r="F8" s="8">
        <v>0</v>
      </c>
      <c r="G8" s="8">
        <v>364.00200000000001</v>
      </c>
      <c r="H8" s="8">
        <v>387.01632000000001</v>
      </c>
      <c r="I8" s="8">
        <v>411.08389740000001</v>
      </c>
      <c r="J8" s="8">
        <v>436.24721475600001</v>
      </c>
      <c r="K8" s="8">
        <v>462.55035564569999</v>
      </c>
      <c r="L8" s="8">
        <v>490.03906249550158</v>
      </c>
      <c r="M8" s="8">
        <v>518.76079643621028</v>
      </c>
      <c r="N8" s="8">
        <v>548.76479925711544</v>
      </c>
      <c r="O8" s="8">
        <v>580.10215753048226</v>
      </c>
      <c r="P8" s="8">
        <v>612.82586898091972</v>
      </c>
      <c r="Q8" s="8">
        <v>646.99091117660601</v>
      </c>
      <c r="R8" s="8">
        <v>682.65431262195068</v>
      </c>
      <c r="S8" s="8">
        <v>719.87522633395702</v>
      </c>
      <c r="T8" s="8">
        <v>758.71500598732405</v>
      </c>
      <c r="U8" s="8">
        <v>799.23728471619245</v>
      </c>
      <c r="V8" s="8">
        <v>841.50805666340455</v>
      </c>
      <c r="W8" s="8">
        <v>885.59576137120462</v>
      </c>
      <c r="X8" s="8">
        <v>931.57137111047575</v>
      </c>
      <c r="Y8" s="8">
        <v>979.50848124886897</v>
      </c>
      <c r="Z8" s="8">
        <v>1029.483403761566</v>
      </c>
    </row>
    <row r="9" spans="2:26" x14ac:dyDescent="0.3">
      <c r="C9" t="s">
        <v>34</v>
      </c>
      <c r="D9" s="8">
        <v>0</v>
      </c>
      <c r="E9" s="8">
        <v>0</v>
      </c>
      <c r="F9" s="8">
        <v>0</v>
      </c>
      <c r="G9" s="8">
        <v>1760000</v>
      </c>
      <c r="H9" s="8">
        <v>3520000</v>
      </c>
      <c r="I9" s="8">
        <v>5280000</v>
      </c>
      <c r="J9" s="8">
        <v>5280000</v>
      </c>
      <c r="K9" s="8">
        <v>5280000</v>
      </c>
      <c r="L9" s="8">
        <v>5280000</v>
      </c>
      <c r="M9" s="8">
        <v>5280000</v>
      </c>
      <c r="N9" s="8">
        <v>5280000</v>
      </c>
      <c r="O9" s="8">
        <v>5280000</v>
      </c>
      <c r="P9" s="8">
        <v>5280000</v>
      </c>
      <c r="Q9" s="8">
        <v>5280000</v>
      </c>
      <c r="R9" s="8">
        <v>5280000</v>
      </c>
      <c r="S9" s="8">
        <v>5280000</v>
      </c>
      <c r="T9" s="8">
        <v>5280000</v>
      </c>
      <c r="U9" s="8">
        <v>5280000</v>
      </c>
      <c r="V9" s="8">
        <v>5280000</v>
      </c>
      <c r="W9" s="8">
        <v>5280000</v>
      </c>
      <c r="X9" s="8">
        <v>5280000</v>
      </c>
      <c r="Y9" s="8">
        <v>5280000</v>
      </c>
      <c r="Z9" s="8">
        <v>5280000</v>
      </c>
    </row>
    <row r="10" spans="2:26" x14ac:dyDescent="0.3">
      <c r="C10" t="s">
        <v>35</v>
      </c>
      <c r="D10" s="8">
        <v>0</v>
      </c>
      <c r="E10" s="8">
        <v>0</v>
      </c>
      <c r="F10" s="8">
        <v>0</v>
      </c>
      <c r="G10" s="8">
        <v>683333.33333333326</v>
      </c>
      <c r="H10" s="8">
        <v>1366666.666666667</v>
      </c>
      <c r="I10" s="8">
        <v>2050000</v>
      </c>
      <c r="J10" s="8">
        <v>2050000</v>
      </c>
      <c r="K10" s="8">
        <v>2050000</v>
      </c>
      <c r="L10" s="8">
        <v>2050000</v>
      </c>
      <c r="M10" s="8">
        <v>2050000</v>
      </c>
      <c r="N10" s="8">
        <v>2050000</v>
      </c>
      <c r="O10" s="8">
        <v>2050000</v>
      </c>
      <c r="P10" s="8">
        <v>2050000</v>
      </c>
      <c r="Q10" s="8">
        <v>2050000</v>
      </c>
      <c r="R10" s="8">
        <v>2050000</v>
      </c>
      <c r="S10" s="8">
        <v>2050000</v>
      </c>
      <c r="T10" s="8">
        <v>2050000</v>
      </c>
      <c r="U10" s="8">
        <v>2050000</v>
      </c>
      <c r="V10" s="8">
        <v>2050000</v>
      </c>
      <c r="W10" s="8">
        <v>2050000</v>
      </c>
      <c r="X10" s="8">
        <v>2050000</v>
      </c>
      <c r="Y10" s="8">
        <v>2050000</v>
      </c>
      <c r="Z10" s="8">
        <v>2050000</v>
      </c>
    </row>
    <row r="11" spans="2:26" x14ac:dyDescent="0.3">
      <c r="C11" t="s">
        <v>36</v>
      </c>
      <c r="D11" s="8">
        <v>0</v>
      </c>
      <c r="E11" s="8">
        <v>0</v>
      </c>
      <c r="F11" s="8">
        <v>0</v>
      </c>
      <c r="G11" s="8">
        <v>96666.666666666657</v>
      </c>
      <c r="H11" s="8">
        <v>193333.33333333331</v>
      </c>
      <c r="I11" s="8">
        <v>290000</v>
      </c>
      <c r="J11" s="8">
        <v>290000</v>
      </c>
      <c r="K11" s="8">
        <v>290000</v>
      </c>
      <c r="L11" s="8">
        <v>290000</v>
      </c>
      <c r="M11" s="8">
        <v>290000</v>
      </c>
      <c r="N11" s="8">
        <v>290000</v>
      </c>
      <c r="O11" s="8">
        <v>290000</v>
      </c>
      <c r="P11" s="8">
        <v>290000</v>
      </c>
      <c r="Q11" s="8">
        <v>290000</v>
      </c>
      <c r="R11" s="8">
        <v>290000</v>
      </c>
      <c r="S11" s="8">
        <v>290000</v>
      </c>
      <c r="T11" s="8">
        <v>290000</v>
      </c>
      <c r="U11" s="8">
        <v>290000</v>
      </c>
      <c r="V11" s="8">
        <v>290000</v>
      </c>
      <c r="W11" s="8">
        <v>290000</v>
      </c>
      <c r="X11" s="8">
        <v>290000</v>
      </c>
      <c r="Y11" s="8">
        <v>290000</v>
      </c>
      <c r="Z11" s="8">
        <v>290000</v>
      </c>
    </row>
    <row r="12" spans="2:26" x14ac:dyDescent="0.3">
      <c r="C12" t="s">
        <v>37</v>
      </c>
      <c r="D12" s="8">
        <v>0</v>
      </c>
      <c r="E12" s="8">
        <v>0</v>
      </c>
      <c r="F12" s="8">
        <v>0</v>
      </c>
      <c r="G12" s="8">
        <v>666.66666666666663</v>
      </c>
      <c r="H12" s="8">
        <v>1333.333333333333</v>
      </c>
      <c r="I12" s="8">
        <v>2000</v>
      </c>
      <c r="J12" s="8">
        <v>2000</v>
      </c>
      <c r="K12" s="8">
        <v>2000</v>
      </c>
      <c r="L12" s="8">
        <v>2000</v>
      </c>
      <c r="M12" s="8">
        <v>2000</v>
      </c>
      <c r="N12" s="8">
        <v>2000</v>
      </c>
      <c r="O12" s="8">
        <v>2000</v>
      </c>
      <c r="P12" s="8">
        <v>2000</v>
      </c>
      <c r="Q12" s="8">
        <v>2000</v>
      </c>
      <c r="R12" s="8">
        <v>2000</v>
      </c>
      <c r="S12" s="8">
        <v>2000</v>
      </c>
      <c r="T12" s="8">
        <v>2000</v>
      </c>
      <c r="U12" s="8">
        <v>2000</v>
      </c>
      <c r="V12" s="8">
        <v>2000</v>
      </c>
      <c r="W12" s="8">
        <v>2000</v>
      </c>
      <c r="X12" s="8">
        <v>2000</v>
      </c>
      <c r="Y12" s="8">
        <v>2000</v>
      </c>
      <c r="Z12" s="8">
        <v>2000</v>
      </c>
    </row>
    <row r="13" spans="2:26" x14ac:dyDescent="0.3">
      <c r="C13" t="s">
        <v>373</v>
      </c>
      <c r="D13" s="8">
        <v>0</v>
      </c>
      <c r="E13" s="8">
        <v>0</v>
      </c>
      <c r="F13" s="8">
        <v>0</v>
      </c>
      <c r="G13" s="8">
        <v>8429520</v>
      </c>
      <c r="H13" s="8">
        <v>17924966.399999999</v>
      </c>
      <c r="I13" s="8">
        <v>28559512.872000001</v>
      </c>
      <c r="J13" s="8">
        <v>30307701.235679999</v>
      </c>
      <c r="K13" s="8">
        <v>32135077.339596</v>
      </c>
      <c r="L13" s="8">
        <v>34044819.078634851</v>
      </c>
      <c r="M13" s="8">
        <v>36040223.752410397</v>
      </c>
      <c r="N13" s="8">
        <v>38124712.369441703</v>
      </c>
      <c r="O13" s="8">
        <v>40301834.10211771</v>
      </c>
      <c r="P13" s="8">
        <v>42575270.897621803</v>
      </c>
      <c r="Q13" s="8">
        <v>44948842.250164211</v>
      </c>
      <c r="R13" s="8">
        <v>47426510.140051313</v>
      </c>
      <c r="S13" s="8">
        <v>50012384.14530649</v>
      </c>
      <c r="T13" s="8">
        <v>52710726.731750943</v>
      </c>
      <c r="U13" s="8">
        <v>55525958.727651268</v>
      </c>
      <c r="V13" s="8">
        <v>58462664.989247046</v>
      </c>
      <c r="W13" s="8">
        <v>61525600.263683692</v>
      </c>
      <c r="X13" s="8">
        <v>64719695.256096207</v>
      </c>
      <c r="Y13" s="8">
        <v>68050062.907816157</v>
      </c>
      <c r="Z13" s="8">
        <v>71522004.892908826</v>
      </c>
    </row>
    <row r="14" spans="2:26" x14ac:dyDescent="0.3">
      <c r="C14" t="s">
        <v>374</v>
      </c>
      <c r="D14" s="8">
        <v>0</v>
      </c>
      <c r="E14" s="8">
        <v>0</v>
      </c>
      <c r="F14" s="8">
        <v>0</v>
      </c>
      <c r="G14" s="8">
        <v>4145578.333333333</v>
      </c>
      <c r="H14" s="8">
        <v>8815371.7333333325</v>
      </c>
      <c r="I14" s="8">
        <v>14045366.4945</v>
      </c>
      <c r="J14" s="8">
        <v>14905113.17083</v>
      </c>
      <c r="K14" s="8">
        <v>15803803.817894749</v>
      </c>
      <c r="L14" s="8">
        <v>16743001.30192964</v>
      </c>
      <c r="M14" s="8">
        <v>17724327.21157052</v>
      </c>
      <c r="N14" s="8">
        <v>18749463.974618111</v>
      </c>
      <c r="O14" s="8">
        <v>19820157.048958141</v>
      </c>
      <c r="P14" s="8">
        <v>20938217.190181419</v>
      </c>
      <c r="Q14" s="8">
        <v>22105522.798534039</v>
      </c>
      <c r="R14" s="8">
        <v>23324022.347916652</v>
      </c>
      <c r="S14" s="8">
        <v>24595736.899743531</v>
      </c>
      <c r="T14" s="8">
        <v>25922762.704566911</v>
      </c>
      <c r="U14" s="8">
        <v>27307273.894469909</v>
      </c>
      <c r="V14" s="8">
        <v>28751525.26933299</v>
      </c>
      <c r="W14" s="8">
        <v>30257855.180182829</v>
      </c>
      <c r="X14" s="8">
        <v>31828688.51294126</v>
      </c>
      <c r="Y14" s="8">
        <v>33466539.776003022</v>
      </c>
      <c r="Z14" s="8">
        <v>35174016.295186847</v>
      </c>
    </row>
    <row r="15" spans="2:26" x14ac:dyDescent="0.3">
      <c r="C15" t="s">
        <v>375</v>
      </c>
      <c r="D15" s="8">
        <v>0</v>
      </c>
      <c r="E15" s="8">
        <v>0</v>
      </c>
      <c r="F15" s="8">
        <v>0</v>
      </c>
      <c r="G15" s="8">
        <v>2160596.666666667</v>
      </c>
      <c r="H15" s="8">
        <v>4594404.2666666657</v>
      </c>
      <c r="I15" s="8">
        <v>7320178.1729999986</v>
      </c>
      <c r="J15" s="8">
        <v>7768261.8066199999</v>
      </c>
      <c r="K15" s="8">
        <v>8236642.2979015</v>
      </c>
      <c r="L15" s="8">
        <v>8726134.183033932</v>
      </c>
      <c r="M15" s="8">
        <v>9237582.6032062005</v>
      </c>
      <c r="N15" s="8">
        <v>9771864.407824073</v>
      </c>
      <c r="O15" s="8">
        <v>10329889.29637613</v>
      </c>
      <c r="P15" s="8">
        <v>10912601.000274271</v>
      </c>
      <c r="Q15" s="8">
        <v>11520978.50603956</v>
      </c>
      <c r="R15" s="8">
        <v>12156037.321250521</v>
      </c>
      <c r="S15" s="8">
        <v>12818830.784718711</v>
      </c>
      <c r="T15" s="8">
        <v>13510451.422405859</v>
      </c>
      <c r="U15" s="8">
        <v>14232032.35064799</v>
      </c>
      <c r="V15" s="8">
        <v>14984748.728304479</v>
      </c>
      <c r="W15" s="8">
        <v>15769819.25950478</v>
      </c>
      <c r="X15" s="8">
        <v>16588507.748721629</v>
      </c>
      <c r="Y15" s="8">
        <v>17442124.709957931</v>
      </c>
      <c r="Z15" s="8">
        <v>18332029.031894561</v>
      </c>
    </row>
    <row r="16" spans="2:26" x14ac:dyDescent="0.3">
      <c r="C16" t="s">
        <v>376</v>
      </c>
      <c r="D16" s="8">
        <v>0</v>
      </c>
      <c r="E16" s="8">
        <v>0</v>
      </c>
      <c r="F16" s="8">
        <v>0</v>
      </c>
      <c r="G16" s="8">
        <v>242668</v>
      </c>
      <c r="H16" s="8">
        <v>516021.75999999989</v>
      </c>
      <c r="I16" s="8">
        <v>822167.79479999992</v>
      </c>
      <c r="J16" s="8">
        <v>872494.42951199994</v>
      </c>
      <c r="K16" s="8">
        <v>925100.7112913999</v>
      </c>
      <c r="L16" s="8">
        <v>980078.12499100319</v>
      </c>
      <c r="M16" s="8">
        <v>1037521.59287242</v>
      </c>
      <c r="N16" s="8">
        <v>1097529.5985142309</v>
      </c>
      <c r="O16" s="8">
        <v>1160204.315060965</v>
      </c>
      <c r="P16" s="8">
        <v>1225651.737961839</v>
      </c>
      <c r="Q16" s="8">
        <v>1293981.8223532119</v>
      </c>
      <c r="R16" s="8">
        <v>1365308.625243901</v>
      </c>
      <c r="S16" s="8">
        <v>1439750.4526679141</v>
      </c>
      <c r="T16" s="8">
        <v>1517430.0119746481</v>
      </c>
      <c r="U16" s="8">
        <v>1598474.569432385</v>
      </c>
      <c r="V16" s="8">
        <v>1683016.1133268089</v>
      </c>
      <c r="W16" s="8">
        <v>1771191.522742409</v>
      </c>
      <c r="X16" s="8">
        <v>1863142.742220951</v>
      </c>
      <c r="Y16" s="8">
        <v>1959016.962497738</v>
      </c>
      <c r="Z16" s="8">
        <v>2058966.807523133</v>
      </c>
    </row>
    <row r="17" spans="3:26" x14ac:dyDescent="0.3">
      <c r="C17" s="5" t="s">
        <v>42</v>
      </c>
      <c r="D17" s="7">
        <v>0</v>
      </c>
      <c r="E17" s="7">
        <v>0</v>
      </c>
      <c r="F17" s="7">
        <v>0</v>
      </c>
      <c r="G17" s="7">
        <v>14978363</v>
      </c>
      <c r="H17" s="7">
        <v>31850764.16</v>
      </c>
      <c r="I17" s="7">
        <v>50747225.334299996</v>
      </c>
      <c r="J17" s="7">
        <v>53853570.642641999</v>
      </c>
      <c r="K17" s="7">
        <v>57100624.166683637</v>
      </c>
      <c r="L17" s="7">
        <v>60494032.688589416</v>
      </c>
      <c r="M17" s="7">
        <v>64039655.160059527</v>
      </c>
      <c r="N17" s="7">
        <v>67743570.350398108</v>
      </c>
      <c r="O17" s="7">
        <v>71612084.762512937</v>
      </c>
      <c r="P17" s="7">
        <v>75651740.826039329</v>
      </c>
      <c r="Q17" s="7">
        <v>79869325.37709102</v>
      </c>
      <c r="R17" s="7">
        <v>84271878.434462383</v>
      </c>
      <c r="S17" s="7">
        <v>88866702.282436639</v>
      </c>
      <c r="T17" s="7">
        <v>93661370.870698348</v>
      </c>
      <c r="U17" s="7">
        <v>98663739.542201549</v>
      </c>
      <c r="V17" s="7">
        <v>103881955.10021131</v>
      </c>
      <c r="W17" s="7">
        <v>109324466.22611371</v>
      </c>
      <c r="X17" s="7">
        <v>115000034.2599801</v>
      </c>
      <c r="Y17" s="7">
        <v>120917744.3562748</v>
      </c>
      <c r="Z17" s="7">
        <v>127087017.027513</v>
      </c>
    </row>
    <row r="18" spans="3:26" x14ac:dyDescent="0.3">
      <c r="C18" s="5" t="s">
        <v>43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88170.997974822269</v>
      </c>
      <c r="P18" s="7">
        <v>197242.56219946701</v>
      </c>
      <c r="Q18" s="7">
        <v>0</v>
      </c>
      <c r="R18" s="7">
        <v>778.63155228250082</v>
      </c>
      <c r="S18" s="7">
        <v>0</v>
      </c>
      <c r="T18" s="7">
        <v>20120.23355462855</v>
      </c>
      <c r="U18" s="7">
        <v>238053.0347463947</v>
      </c>
      <c r="V18" s="7">
        <v>0</v>
      </c>
      <c r="W18" s="7">
        <v>0</v>
      </c>
      <c r="X18" s="7">
        <v>58196.765132288383</v>
      </c>
      <c r="Y18" s="7">
        <v>1230460.153832173</v>
      </c>
      <c r="Z18" s="7">
        <v>25088884.022190571</v>
      </c>
    </row>
    <row r="19" spans="3:26" x14ac:dyDescent="0.3">
      <c r="C19" t="s">
        <v>44</v>
      </c>
      <c r="D19" s="8">
        <v>0</v>
      </c>
      <c r="E19" s="8">
        <v>0</v>
      </c>
      <c r="F19" s="8">
        <v>0</v>
      </c>
      <c r="G19" s="8">
        <v>-3310628.452380952</v>
      </c>
      <c r="H19" s="8">
        <v>-6819894.6119047618</v>
      </c>
      <c r="I19" s="8">
        <v>-10536737.175392861</v>
      </c>
      <c r="J19" s="8">
        <v>-10852839.290654641</v>
      </c>
      <c r="K19" s="8">
        <v>-11178424.46937428</v>
      </c>
      <c r="L19" s="8">
        <v>-11513777.20345551</v>
      </c>
      <c r="M19" s="8">
        <v>-11859190.51955918</v>
      </c>
      <c r="N19" s="8">
        <v>-12214966.235145951</v>
      </c>
      <c r="O19" s="8">
        <v>-12581415.22220033</v>
      </c>
      <c r="P19" s="8">
        <v>-12958857.67886634</v>
      </c>
      <c r="Q19" s="8">
        <v>-13347623.409232341</v>
      </c>
      <c r="R19" s="8">
        <v>-13748052.111509301</v>
      </c>
      <c r="S19" s="8">
        <v>-14160493.67485458</v>
      </c>
      <c r="T19" s="8">
        <v>-14585308.485100221</v>
      </c>
      <c r="U19" s="8">
        <v>-15022867.73965323</v>
      </c>
      <c r="V19" s="8">
        <v>-15473553.77184283</v>
      </c>
      <c r="W19" s="8">
        <v>-15937760.384998109</v>
      </c>
      <c r="X19" s="8">
        <v>-16415893.19654806</v>
      </c>
      <c r="Y19" s="8">
        <v>-16908369.9924445</v>
      </c>
      <c r="Z19" s="8">
        <v>-17415621.092217829</v>
      </c>
    </row>
    <row r="20" spans="3:26" x14ac:dyDescent="0.3">
      <c r="C20" t="s">
        <v>45</v>
      </c>
      <c r="D20" s="8">
        <v>0</v>
      </c>
      <c r="E20" s="8">
        <v>0</v>
      </c>
      <c r="F20" s="8">
        <v>0</v>
      </c>
      <c r="G20" s="8">
        <v>-319821.719233485</v>
      </c>
      <c r="H20" s="8">
        <v>-658832.74162097904</v>
      </c>
      <c r="I20" s="8">
        <v>-1017896.585804413</v>
      </c>
      <c r="J20" s="8">
        <v>-1048433.483378545</v>
      </c>
      <c r="K20" s="8">
        <v>-1079886.4878799019</v>
      </c>
      <c r="L20" s="8">
        <v>-1112283.0825162991</v>
      </c>
      <c r="M20" s="8">
        <v>-1145651.574991788</v>
      </c>
      <c r="N20" s="8">
        <v>-1180021.122241542</v>
      </c>
      <c r="O20" s="8">
        <v>-1215421.7559087879</v>
      </c>
      <c r="P20" s="8">
        <v>-1251884.4085860511</v>
      </c>
      <c r="Q20" s="8">
        <v>-1289440.9408436329</v>
      </c>
      <c r="R20" s="8">
        <v>-1328124.1690689421</v>
      </c>
      <c r="S20" s="8">
        <v>-1367967.89414101</v>
      </c>
      <c r="T20" s="8">
        <v>-1409006.930965241</v>
      </c>
      <c r="U20" s="8">
        <v>-1451277.138894198</v>
      </c>
      <c r="V20" s="8">
        <v>-1494815.453061024</v>
      </c>
      <c r="W20" s="8">
        <v>-1539659.916652855</v>
      </c>
      <c r="X20" s="8">
        <v>-1585849.71415244</v>
      </c>
      <c r="Y20" s="8">
        <v>-1633425.205577014</v>
      </c>
      <c r="Z20" s="8">
        <v>-1682427.9617443241</v>
      </c>
    </row>
    <row r="21" spans="3:26" x14ac:dyDescent="0.3">
      <c r="C21" t="s">
        <v>46</v>
      </c>
      <c r="D21" s="8">
        <v>0</v>
      </c>
      <c r="E21" s="8">
        <v>0</v>
      </c>
      <c r="F21" s="8">
        <v>0</v>
      </c>
      <c r="G21" s="8">
        <v>-2581694.117633333</v>
      </c>
      <c r="H21" s="8">
        <v>-5318289.8823246667</v>
      </c>
      <c r="I21" s="8">
        <v>-8216757.868191611</v>
      </c>
      <c r="J21" s="8">
        <v>-8463260.6042373609</v>
      </c>
      <c r="K21" s="8">
        <v>-8717158.4223644808</v>
      </c>
      <c r="L21" s="8">
        <v>-8978673.1750354152</v>
      </c>
      <c r="M21" s="8">
        <v>-9248033.3702864777</v>
      </c>
      <c r="N21" s="8">
        <v>-9525474.3713950738</v>
      </c>
      <c r="O21" s="8">
        <v>-9811238.602536926</v>
      </c>
      <c r="P21" s="8">
        <v>-10105575.76061303</v>
      </c>
      <c r="Q21" s="8">
        <v>-10408743.03343142</v>
      </c>
      <c r="R21" s="8">
        <v>-10721005.32443437</v>
      </c>
      <c r="S21" s="8">
        <v>-11042635.484167401</v>
      </c>
      <c r="T21" s="8">
        <v>-11373914.54869242</v>
      </c>
      <c r="U21" s="8">
        <v>-11715131.985153191</v>
      </c>
      <c r="V21" s="8">
        <v>-12066585.94470779</v>
      </c>
      <c r="W21" s="8">
        <v>-12428583.523049019</v>
      </c>
      <c r="X21" s="8">
        <v>-12801441.028740499</v>
      </c>
      <c r="Y21" s="8">
        <v>-13185484.259602711</v>
      </c>
      <c r="Z21" s="8">
        <v>-13581048.787390791</v>
      </c>
    </row>
    <row r="22" spans="3:26" x14ac:dyDescent="0.3">
      <c r="C22" t="s">
        <v>47</v>
      </c>
      <c r="D22" s="8">
        <v>0</v>
      </c>
      <c r="E22" s="8">
        <v>0</v>
      </c>
      <c r="F22" s="8">
        <v>0</v>
      </c>
      <c r="G22" s="8">
        <v>-748918.15</v>
      </c>
      <c r="H22" s="8">
        <v>-1592538.2080000001</v>
      </c>
      <c r="I22" s="8">
        <v>-2537361.2667149999</v>
      </c>
      <c r="J22" s="8">
        <v>-2692678.5321320998</v>
      </c>
      <c r="K22" s="8">
        <v>-2855031.2083341819</v>
      </c>
      <c r="L22" s="8">
        <v>-3024701.634429472</v>
      </c>
      <c r="M22" s="8">
        <v>-3201982.7580029769</v>
      </c>
      <c r="N22" s="8">
        <v>-3387178.5175199062</v>
      </c>
      <c r="O22" s="8">
        <v>-3580604.238125647</v>
      </c>
      <c r="P22" s="8">
        <v>-3782587.0413019671</v>
      </c>
      <c r="Q22" s="8">
        <v>-3993466.268854551</v>
      </c>
      <c r="R22" s="8">
        <v>-4213593.921723119</v>
      </c>
      <c r="S22" s="8">
        <v>-4443335.114121832</v>
      </c>
      <c r="T22" s="8">
        <v>-4683068.5435349178</v>
      </c>
      <c r="U22" s="8">
        <v>-4933186.9771100776</v>
      </c>
      <c r="V22" s="8">
        <v>-5194097.7550105676</v>
      </c>
      <c r="W22" s="8">
        <v>-5466223.3113056859</v>
      </c>
      <c r="X22" s="8">
        <v>-5750001.712999003</v>
      </c>
      <c r="Y22" s="8">
        <v>-6045887.2178137423</v>
      </c>
      <c r="Z22" s="8">
        <v>-6354350.8513756692</v>
      </c>
    </row>
    <row r="23" spans="3:26" x14ac:dyDescent="0.3">
      <c r="C23" s="5" t="s">
        <v>48</v>
      </c>
      <c r="D23" s="7">
        <v>0</v>
      </c>
      <c r="E23" s="7">
        <v>0</v>
      </c>
      <c r="F23" s="7">
        <v>0</v>
      </c>
      <c r="G23" s="7">
        <v>-6961062.4392477712</v>
      </c>
      <c r="H23" s="7">
        <v>-14389555.443850409</v>
      </c>
      <c r="I23" s="7">
        <v>-22308752.896103889</v>
      </c>
      <c r="J23" s="7">
        <v>-23057211.910402648</v>
      </c>
      <c r="K23" s="7">
        <v>-23830500.587952849</v>
      </c>
      <c r="L23" s="7">
        <v>-24629435.0954367</v>
      </c>
      <c r="M23" s="7">
        <v>-25454858.222840421</v>
      </c>
      <c r="N23" s="7">
        <v>-26307640.246302482</v>
      </c>
      <c r="O23" s="7">
        <v>-27188679.81877169</v>
      </c>
      <c r="P23" s="7">
        <v>-28098904.88936739</v>
      </c>
      <c r="Q23" s="7">
        <v>-29039273.652361941</v>
      </c>
      <c r="R23" s="7">
        <v>-30010775.52673573</v>
      </c>
      <c r="S23" s="7">
        <v>-31014432.16728482</v>
      </c>
      <c r="T23" s="7">
        <v>-32051298.508292802</v>
      </c>
      <c r="U23" s="7">
        <v>-33122463.840810701</v>
      </c>
      <c r="V23" s="7">
        <v>-34229052.924622208</v>
      </c>
      <c r="W23" s="7">
        <v>-35372227.13600567</v>
      </c>
      <c r="X23" s="7">
        <v>-36553185.652439997</v>
      </c>
      <c r="Y23" s="7">
        <v>-37773166.675437957</v>
      </c>
      <c r="Z23" s="7">
        <v>-39033448.692728616</v>
      </c>
    </row>
    <row r="24" spans="3:26" x14ac:dyDescent="0.3">
      <c r="C24" t="s">
        <v>49</v>
      </c>
      <c r="D24" s="8">
        <v>0</v>
      </c>
      <c r="E24" s="8">
        <v>0</v>
      </c>
      <c r="F24" s="8">
        <v>0</v>
      </c>
      <c r="G24" s="8">
        <v>-4449958.243809524</v>
      </c>
      <c r="H24" s="8">
        <v>-4583456.9911238085</v>
      </c>
      <c r="I24" s="8">
        <v>-4720960.7008575238</v>
      </c>
      <c r="J24" s="8">
        <v>-4862589.5218832502</v>
      </c>
      <c r="K24" s="8">
        <v>-5008467.2075397465</v>
      </c>
      <c r="L24" s="8">
        <v>-5158721.2237659404</v>
      </c>
      <c r="M24" s="8">
        <v>-5313482.860478919</v>
      </c>
      <c r="N24" s="8">
        <v>-5472887.3462932864</v>
      </c>
      <c r="O24" s="8">
        <v>-5637073.9666820848</v>
      </c>
      <c r="P24" s="8">
        <v>-5806186.1856825482</v>
      </c>
      <c r="Q24" s="8">
        <v>-5980371.7712530242</v>
      </c>
      <c r="R24" s="8">
        <v>-6159782.924390615</v>
      </c>
      <c r="S24" s="8">
        <v>-6344576.4121223344</v>
      </c>
      <c r="T24" s="8">
        <v>-6534913.704486005</v>
      </c>
      <c r="U24" s="8">
        <v>-6730961.1156205842</v>
      </c>
      <c r="V24" s="8">
        <v>-6932889.9490892021</v>
      </c>
      <c r="W24" s="8">
        <v>-7140876.647561878</v>
      </c>
      <c r="X24" s="8">
        <v>-7355102.9469887353</v>
      </c>
      <c r="Y24" s="8">
        <v>-7575756.0353983976</v>
      </c>
      <c r="Z24" s="8">
        <v>-7803028.71646035</v>
      </c>
    </row>
    <row r="25" spans="3:26" x14ac:dyDescent="0.3">
      <c r="C25" t="s">
        <v>50</v>
      </c>
      <c r="D25" s="8">
        <v>0</v>
      </c>
      <c r="E25" s="8">
        <v>0</v>
      </c>
      <c r="F25" s="8">
        <v>0</v>
      </c>
      <c r="G25" s="8">
        <v>-925892.22300632414</v>
      </c>
      <c r="H25" s="8">
        <v>-950637.48969651375</v>
      </c>
      <c r="I25" s="8">
        <v>-976125.11438740918</v>
      </c>
      <c r="J25" s="8">
        <v>-1002377.367819032</v>
      </c>
      <c r="K25" s="8">
        <v>-1029417.188853603</v>
      </c>
      <c r="L25" s="8">
        <v>-1057268.2045192111</v>
      </c>
      <c r="M25" s="8">
        <v>-1085954.7506547871</v>
      </c>
      <c r="N25" s="8">
        <v>-1115501.8931744311</v>
      </c>
      <c r="O25" s="8">
        <v>-1145935.449969664</v>
      </c>
      <c r="P25" s="8">
        <v>-1177282.013468754</v>
      </c>
      <c r="Q25" s="8">
        <v>-1209568.973872816</v>
      </c>
      <c r="R25" s="8">
        <v>-1242824.543089001</v>
      </c>
      <c r="S25" s="8">
        <v>-1277077.779381671</v>
      </c>
      <c r="T25" s="8">
        <v>-1312358.612763121</v>
      </c>
      <c r="U25" s="8">
        <v>-1348697.871146014</v>
      </c>
      <c r="V25" s="8">
        <v>-1386127.3072803949</v>
      </c>
      <c r="W25" s="8">
        <v>-1424679.626498807</v>
      </c>
      <c r="X25" s="8">
        <v>-1464388.5152937709</v>
      </c>
      <c r="Y25" s="8">
        <v>-1505288.670752584</v>
      </c>
      <c r="Z25" s="8">
        <v>-1547415.830875162</v>
      </c>
    </row>
    <row r="26" spans="3:26" x14ac:dyDescent="0.3">
      <c r="C26" t="s">
        <v>51</v>
      </c>
      <c r="D26" s="8">
        <v>-412470</v>
      </c>
      <c r="E26" s="8">
        <v>-412470</v>
      </c>
      <c r="F26" s="8">
        <v>-412470</v>
      </c>
      <c r="G26" s="8">
        <v>-412470</v>
      </c>
      <c r="H26" s="8">
        <v>-412470</v>
      </c>
      <c r="I26" s="8">
        <v>-412470</v>
      </c>
      <c r="J26" s="8">
        <v>-412470</v>
      </c>
      <c r="K26" s="8">
        <v>-412470</v>
      </c>
      <c r="L26" s="8">
        <v>-412470</v>
      </c>
      <c r="M26" s="8">
        <v>-412470</v>
      </c>
      <c r="N26" s="8">
        <v>-412470</v>
      </c>
      <c r="O26" s="8">
        <v>-412470</v>
      </c>
      <c r="P26" s="8">
        <v>-412470</v>
      </c>
      <c r="Q26" s="8">
        <v>-412470</v>
      </c>
      <c r="R26" s="8">
        <v>-412470</v>
      </c>
      <c r="S26" s="8">
        <v>-412470</v>
      </c>
      <c r="T26" s="8">
        <v>-412470</v>
      </c>
      <c r="U26" s="8">
        <v>-412470</v>
      </c>
      <c r="V26" s="8">
        <v>-412470</v>
      </c>
      <c r="W26" s="8">
        <v>-412470</v>
      </c>
      <c r="X26" s="8">
        <v>-412470</v>
      </c>
      <c r="Y26" s="8">
        <v>-412470</v>
      </c>
      <c r="Z26" s="8">
        <v>-412470</v>
      </c>
    </row>
    <row r="27" spans="3:26" x14ac:dyDescent="0.3">
      <c r="C27" t="s">
        <v>52</v>
      </c>
      <c r="D27" s="8">
        <v>-54000</v>
      </c>
      <c r="E27" s="8">
        <v>-54000</v>
      </c>
      <c r="F27" s="8">
        <v>-347987</v>
      </c>
      <c r="G27" s="8">
        <v>-221537</v>
      </c>
      <c r="H27" s="8">
        <v>-221537</v>
      </c>
      <c r="I27" s="8">
        <v>-221537</v>
      </c>
      <c r="J27" s="8">
        <v>-221537</v>
      </c>
      <c r="K27" s="8">
        <v>-250037</v>
      </c>
      <c r="L27" s="8">
        <v>-221537</v>
      </c>
      <c r="M27" s="8">
        <v>-221537</v>
      </c>
      <c r="N27" s="8">
        <v>-221537</v>
      </c>
      <c r="O27" s="8">
        <v>-221537</v>
      </c>
      <c r="P27" s="8">
        <v>-250037</v>
      </c>
      <c r="Q27" s="8">
        <v>-221537</v>
      </c>
      <c r="R27" s="8">
        <v>-221537</v>
      </c>
      <c r="S27" s="8">
        <v>-221537</v>
      </c>
      <c r="T27" s="8">
        <v>-221537</v>
      </c>
      <c r="U27" s="8">
        <v>-250037</v>
      </c>
      <c r="V27" s="8">
        <v>-221537</v>
      </c>
      <c r="W27" s="8">
        <v>-221537</v>
      </c>
      <c r="X27" s="8">
        <v>-221537</v>
      </c>
      <c r="Y27" s="8">
        <v>-221537</v>
      </c>
      <c r="Z27" s="8">
        <v>-250037</v>
      </c>
    </row>
    <row r="28" spans="3:26" x14ac:dyDescent="0.3">
      <c r="C28" s="5" t="s">
        <v>53</v>
      </c>
      <c r="D28" s="7">
        <v>-466470.05973324418</v>
      </c>
      <c r="E28" s="7">
        <v>-466470.05973324418</v>
      </c>
      <c r="F28" s="7">
        <v>-760457.05973324412</v>
      </c>
      <c r="G28" s="7">
        <v>-6009857.5265490916</v>
      </c>
      <c r="H28" s="7">
        <v>-6168101.5405535679</v>
      </c>
      <c r="I28" s="7">
        <v>-6331092.8749781772</v>
      </c>
      <c r="J28" s="7">
        <v>-6498973.9494355274</v>
      </c>
      <c r="K28" s="7">
        <v>-6700391.4561265949</v>
      </c>
      <c r="L28" s="7">
        <v>-6849996.4880183954</v>
      </c>
      <c r="M28" s="7">
        <v>-7033444.6708669504</v>
      </c>
      <c r="N28" s="7">
        <v>-7222396.2992009623</v>
      </c>
      <c r="O28" s="7">
        <v>-7417016.4763849927</v>
      </c>
      <c r="P28" s="7">
        <v>-7645975.2588845463</v>
      </c>
      <c r="Q28" s="7">
        <v>-7823947.804859085</v>
      </c>
      <c r="R28" s="7">
        <v>-8036614.5272128601</v>
      </c>
      <c r="S28" s="7">
        <v>-8255661.2512372499</v>
      </c>
      <c r="T28" s="7">
        <v>-8481279.3769823704</v>
      </c>
      <c r="U28" s="7">
        <v>-8742166.0464998428</v>
      </c>
      <c r="V28" s="7">
        <v>-8953024.3161028419</v>
      </c>
      <c r="W28" s="7">
        <v>-9199563.3337939288</v>
      </c>
      <c r="X28" s="7">
        <v>-9453498.5220157504</v>
      </c>
      <c r="Y28" s="7">
        <v>-9715051.7658842262</v>
      </c>
      <c r="Z28" s="7">
        <v>-10012951.607068749</v>
      </c>
    </row>
    <row r="29" spans="3:26" x14ac:dyDescent="0.3">
      <c r="C29" t="s">
        <v>54</v>
      </c>
      <c r="D29" s="8">
        <v>-466470.05973324418</v>
      </c>
      <c r="E29" s="8">
        <v>-466470.05973324418</v>
      </c>
      <c r="F29" s="8">
        <v>-760457.05973324412</v>
      </c>
      <c r="G29" s="8">
        <v>2007443.0342031349</v>
      </c>
      <c r="H29" s="8">
        <v>11293107.175596019</v>
      </c>
      <c r="I29" s="8">
        <v>22107379.56321793</v>
      </c>
      <c r="J29" s="8">
        <v>24297384.782803819</v>
      </c>
      <c r="K29" s="8">
        <v>26569732.122604199</v>
      </c>
      <c r="L29" s="8">
        <v>29014601.105134331</v>
      </c>
      <c r="M29" s="8">
        <v>31551352.266352162</v>
      </c>
      <c r="N29" s="8">
        <v>34213533.804894671</v>
      </c>
      <c r="O29" s="8">
        <v>37094559.465331078</v>
      </c>
      <c r="P29" s="8">
        <v>40104103.239986859</v>
      </c>
      <c r="Q29" s="8">
        <v>43006103.919869989</v>
      </c>
      <c r="R29" s="8">
        <v>46225267.012066074</v>
      </c>
      <c r="S29" s="8">
        <v>49596608.863914572</v>
      </c>
      <c r="T29" s="8">
        <v>53148913.218977802</v>
      </c>
      <c r="U29" s="8">
        <v>57037162.689637393</v>
      </c>
      <c r="V29" s="8">
        <v>60699877.859486282</v>
      </c>
      <c r="W29" s="8">
        <v>64752675.756314106</v>
      </c>
      <c r="X29" s="8">
        <v>69051546.850656599</v>
      </c>
      <c r="Y29" s="8">
        <v>74659986.068784833</v>
      </c>
      <c r="Z29" s="8">
        <v>103129500.7499066</v>
      </c>
    </row>
    <row r="30" spans="3:26" x14ac:dyDescent="0.3">
      <c r="C30" t="s">
        <v>55</v>
      </c>
      <c r="D30" s="8">
        <v>0</v>
      </c>
      <c r="E30" s="8">
        <v>0</v>
      </c>
      <c r="F30" s="8">
        <v>0</v>
      </c>
      <c r="G30" s="8">
        <v>1522482.300147983</v>
      </c>
      <c r="H30" s="8">
        <v>2664899.7682808251</v>
      </c>
      <c r="I30" s="8">
        <v>2257771.0844410611</v>
      </c>
      <c r="J30" s="8">
        <v>1939936.714147384</v>
      </c>
      <c r="K30" s="8">
        <v>1687701.072723313</v>
      </c>
      <c r="L30" s="8">
        <v>1579986.2068853469</v>
      </c>
      <c r="M30" s="8">
        <v>1511754.177966381</v>
      </c>
      <c r="N30" s="8">
        <v>1308743.0974699771</v>
      </c>
      <c r="O30" s="8">
        <v>1135307.6487331339</v>
      </c>
      <c r="P30" s="8">
        <v>1260242.4087350389</v>
      </c>
      <c r="Q30" s="8">
        <v>1633098.044156512</v>
      </c>
      <c r="R30" s="8">
        <v>1771504.162913477</v>
      </c>
      <c r="S30" s="8">
        <v>1591523.1309787659</v>
      </c>
      <c r="T30" s="8">
        <v>1461245.5826792079</v>
      </c>
      <c r="U30" s="8">
        <v>1420207.4273053049</v>
      </c>
      <c r="V30" s="8">
        <v>1493389.949229476</v>
      </c>
      <c r="W30" s="8">
        <v>1396761.822532156</v>
      </c>
      <c r="X30" s="8">
        <v>1092479.865176457</v>
      </c>
      <c r="Y30" s="8">
        <v>907511.77033896931</v>
      </c>
      <c r="Z30" s="8">
        <v>1573804.4379608389</v>
      </c>
    </row>
    <row r="31" spans="3:26" x14ac:dyDescent="0.3">
      <c r="C31" t="s">
        <v>56</v>
      </c>
      <c r="D31" s="8">
        <v>1230052.8144948089</v>
      </c>
      <c r="E31" s="8">
        <v>1211144.5339429339</v>
      </c>
      <c r="F31" s="8">
        <v>1190629.04954415</v>
      </c>
      <c r="G31" s="8">
        <v>1168369.748971469</v>
      </c>
      <c r="H31" s="8">
        <v>1144218.40785011</v>
      </c>
      <c r="I31" s="8">
        <v>1118014.2027334359</v>
      </c>
      <c r="J31" s="8">
        <v>1089582.6401818439</v>
      </c>
      <c r="K31" s="8">
        <v>1058734.3948133669</v>
      </c>
      <c r="L31" s="8">
        <v>1025264.04858857</v>
      </c>
      <c r="M31" s="8">
        <v>988948.72293466493</v>
      </c>
      <c r="N31" s="8">
        <v>949546.59460017772</v>
      </c>
      <c r="O31" s="8">
        <v>906795.28535725921</v>
      </c>
      <c r="P31" s="8">
        <v>860410.11482869252</v>
      </c>
      <c r="Q31" s="8">
        <v>810082.20480519778</v>
      </c>
      <c r="R31" s="8">
        <v>755476.42242970597</v>
      </c>
      <c r="S31" s="8">
        <v>696229.14855229738</v>
      </c>
      <c r="T31" s="8">
        <v>631945.85639530909</v>
      </c>
      <c r="U31" s="8">
        <v>562198.48440497683</v>
      </c>
      <c r="V31" s="8">
        <v>486522.58579546609</v>
      </c>
      <c r="W31" s="8">
        <v>404414.23580414709</v>
      </c>
      <c r="X31" s="8">
        <v>315326.67606356612</v>
      </c>
      <c r="Y31" s="8">
        <v>218666.67374503551</v>
      </c>
      <c r="Z31" s="8">
        <v>113790.5712294299</v>
      </c>
    </row>
    <row r="32" spans="3:26" x14ac:dyDescent="0.3">
      <c r="C32" t="s">
        <v>57</v>
      </c>
      <c r="D32" s="8">
        <v>-1696522.874228053</v>
      </c>
      <c r="E32" s="8">
        <v>-1677614.593676178</v>
      </c>
      <c r="F32" s="8">
        <v>-1951086.1092773939</v>
      </c>
      <c r="G32" s="8">
        <v>-683409.01491631707</v>
      </c>
      <c r="H32" s="8">
        <v>7483988.9994650902</v>
      </c>
      <c r="I32" s="8">
        <v>18731594.276043441</v>
      </c>
      <c r="J32" s="8">
        <v>21267865.42847459</v>
      </c>
      <c r="K32" s="8">
        <v>23823296.655067518</v>
      </c>
      <c r="L32" s="8">
        <v>26409350.849660411</v>
      </c>
      <c r="M32" s="8">
        <v>29050649.365451109</v>
      </c>
      <c r="N32" s="8">
        <v>31955244.112824511</v>
      </c>
      <c r="O32" s="8">
        <v>35052456.531240687</v>
      </c>
      <c r="P32" s="8">
        <v>37983450.716423132</v>
      </c>
      <c r="Q32" s="8">
        <v>40562923.67090828</v>
      </c>
      <c r="R32" s="8">
        <v>43698286.426722892</v>
      </c>
      <c r="S32" s="8">
        <v>47308856.58438351</v>
      </c>
      <c r="T32" s="8">
        <v>51055721.779903293</v>
      </c>
      <c r="U32" s="8">
        <v>55054756.777927123</v>
      </c>
      <c r="V32" s="8">
        <v>58719965.324461333</v>
      </c>
      <c r="W32" s="8">
        <v>62951499.697977811</v>
      </c>
      <c r="X32" s="8">
        <v>67643740.309416577</v>
      </c>
      <c r="Y32" s="8">
        <v>73533807.624700829</v>
      </c>
      <c r="Z32" s="8">
        <v>101441905.74071629</v>
      </c>
    </row>
    <row r="33" spans="3:26" x14ac:dyDescent="0.3">
      <c r="C33" t="s">
        <v>58</v>
      </c>
      <c r="D33" s="8">
        <v>0</v>
      </c>
      <c r="E33" s="8">
        <v>0</v>
      </c>
      <c r="F33" s="8">
        <v>0</v>
      </c>
      <c r="G33" s="8">
        <v>1145737.3842554139</v>
      </c>
      <c r="H33" s="8">
        <v>2493332.3227548641</v>
      </c>
      <c r="I33" s="8">
        <v>4018347.9953312008</v>
      </c>
      <c r="J33" s="8">
        <v>4274015.6220163759</v>
      </c>
      <c r="K33" s="8">
        <v>4540537.8255837345</v>
      </c>
      <c r="L33" s="8">
        <v>4818429.6042418107</v>
      </c>
      <c r="M33" s="8">
        <v>5108320.691617433</v>
      </c>
      <c r="N33" s="8">
        <v>5412233.1695235409</v>
      </c>
      <c r="O33" s="8">
        <v>5730115.8517660964</v>
      </c>
      <c r="P33" s="8">
        <v>6059774.1942198873</v>
      </c>
      <c r="Q33" s="8">
        <v>6400333.6040710416</v>
      </c>
      <c r="R33" s="8">
        <v>6759133.951996401</v>
      </c>
      <c r="S33" s="8">
        <v>7136124.1920328122</v>
      </c>
      <c r="T33" s="8">
        <v>7529337.0361629883</v>
      </c>
      <c r="U33" s="8">
        <v>7940237.3045603586</v>
      </c>
      <c r="V33" s="8">
        <v>8365047.7357180398</v>
      </c>
      <c r="W33" s="8">
        <v>8811159.9042445347</v>
      </c>
      <c r="X33" s="8">
        <v>9278445.6147145815</v>
      </c>
      <c r="Y33" s="8">
        <v>9773121.5644043013</v>
      </c>
      <c r="Z33" s="8">
        <v>10452052.770687491</v>
      </c>
    </row>
    <row r="34" spans="3:26" x14ac:dyDescent="0.3">
      <c r="C34" t="s">
        <v>59</v>
      </c>
      <c r="D34" s="8">
        <v>0</v>
      </c>
      <c r="E34" s="8">
        <v>0</v>
      </c>
      <c r="F34" s="8">
        <v>0</v>
      </c>
      <c r="G34" s="8">
        <v>0</v>
      </c>
      <c r="H34" s="8">
        <v>1048037.902109147</v>
      </c>
      <c r="I34" s="8">
        <v>3089781.7189495689</v>
      </c>
      <c r="J34" s="8">
        <v>3568708.459356226</v>
      </c>
      <c r="K34" s="8">
        <v>4049379.3541915952</v>
      </c>
      <c r="L34" s="8">
        <v>4534093.461537906</v>
      </c>
      <c r="M34" s="8">
        <v>5027889.0215050727</v>
      </c>
      <c r="N34" s="8">
        <v>5574032.2980932044</v>
      </c>
      <c r="O34" s="8">
        <v>6157691.5426896643</v>
      </c>
      <c r="P34" s="8">
        <v>6703972.0696626808</v>
      </c>
      <c r="Q34" s="8">
        <v>7174143.9140358185</v>
      </c>
      <c r="R34" s="8">
        <v>7757222.0196925635</v>
      </c>
      <c r="S34" s="8">
        <v>8436273.802393645</v>
      </c>
      <c r="T34" s="8">
        <v>9140540.7961854618</v>
      </c>
      <c r="U34" s="8">
        <v>9894049.0894070193</v>
      </c>
      <c r="V34" s="8">
        <v>10574532.69363609</v>
      </c>
      <c r="W34" s="8">
        <v>11369471.35668399</v>
      </c>
      <c r="X34" s="8">
        <v>12256711.88588742</v>
      </c>
      <c r="Y34" s="8">
        <v>13389744.07266227</v>
      </c>
      <c r="Z34" s="8">
        <v>19107869.123706061</v>
      </c>
    </row>
    <row r="35" spans="3:26" x14ac:dyDescent="0.3">
      <c r="C35" t="s">
        <v>60</v>
      </c>
      <c r="D35" s="8">
        <v>0</v>
      </c>
      <c r="E35" s="8">
        <v>0</v>
      </c>
      <c r="F35" s="8">
        <v>0</v>
      </c>
      <c r="G35" s="8">
        <v>1145737.3842554139</v>
      </c>
      <c r="H35" s="8">
        <v>3541370.2248640121</v>
      </c>
      <c r="I35" s="8">
        <v>7108129.7142807711</v>
      </c>
      <c r="J35" s="8">
        <v>7842724.0813726019</v>
      </c>
      <c r="K35" s="8">
        <v>8589917.1797753293</v>
      </c>
      <c r="L35" s="8">
        <v>9352523.0657797158</v>
      </c>
      <c r="M35" s="8">
        <v>10136209.713122509</v>
      </c>
      <c r="N35" s="8">
        <v>10986265.467616741</v>
      </c>
      <c r="O35" s="8">
        <v>11887807.394455761</v>
      </c>
      <c r="P35" s="8">
        <v>12763746.26388257</v>
      </c>
      <c r="Q35" s="8">
        <v>13574477.518106859</v>
      </c>
      <c r="R35" s="8">
        <v>14516355.97168896</v>
      </c>
      <c r="S35" s="8">
        <v>15572397.994426459</v>
      </c>
      <c r="T35" s="8">
        <v>16669877.832348449</v>
      </c>
      <c r="U35" s="8">
        <v>17834286.393967379</v>
      </c>
      <c r="V35" s="8">
        <v>18939580.429354131</v>
      </c>
      <c r="W35" s="8">
        <v>20180631.260928519</v>
      </c>
      <c r="X35" s="8">
        <v>21535157.500601999</v>
      </c>
      <c r="Y35" s="8">
        <v>23162865.637066569</v>
      </c>
      <c r="Z35" s="8">
        <v>29559921.894393548</v>
      </c>
    </row>
    <row r="36" spans="3:26" x14ac:dyDescent="0.3">
      <c r="C36" s="5" t="s">
        <v>61</v>
      </c>
      <c r="D36" s="7">
        <v>-1696522.874228053</v>
      </c>
      <c r="E36" s="7">
        <v>-1677614.593676178</v>
      </c>
      <c r="F36" s="7">
        <v>-1951086.1092773939</v>
      </c>
      <c r="G36" s="7">
        <v>-1829146.399171731</v>
      </c>
      <c r="H36" s="7">
        <v>3942618.7746010781</v>
      </c>
      <c r="I36" s="7">
        <v>11623464.56176267</v>
      </c>
      <c r="J36" s="7">
        <v>13425141.34710199</v>
      </c>
      <c r="K36" s="7">
        <v>15233379.475292191</v>
      </c>
      <c r="L36" s="7">
        <v>17056827.783880699</v>
      </c>
      <c r="M36" s="7">
        <v>18914439.65232861</v>
      </c>
      <c r="N36" s="7">
        <v>20968978.64520777</v>
      </c>
      <c r="O36" s="7">
        <v>23164649.13678493</v>
      </c>
      <c r="P36" s="7">
        <v>25219704.452540562</v>
      </c>
      <c r="Q36" s="7">
        <v>26988446.152801421</v>
      </c>
      <c r="R36" s="7">
        <v>29181930.455033928</v>
      </c>
      <c r="S36" s="7">
        <v>31736458.589957051</v>
      </c>
      <c r="T36" s="7">
        <v>34385843.947554827</v>
      </c>
      <c r="U36" s="7">
        <v>37220470.38395974</v>
      </c>
      <c r="V36" s="7">
        <v>39780384.895107202</v>
      </c>
      <c r="W36" s="7">
        <v>42770868.437049277</v>
      </c>
      <c r="X36" s="7">
        <v>46108582.808814578</v>
      </c>
      <c r="Y36" s="7">
        <v>50370941.987634256</v>
      </c>
      <c r="Z36" s="7">
        <v>71881983.84632279</v>
      </c>
    </row>
    <row r="37" spans="3:26" x14ac:dyDescent="0.3">
      <c r="C37" t="s">
        <v>62</v>
      </c>
      <c r="D37" s="8">
        <v>0</v>
      </c>
      <c r="E37" s="8">
        <v>0</v>
      </c>
      <c r="F37" s="8">
        <v>0</v>
      </c>
      <c r="G37" s="8">
        <v>1522482.300147983</v>
      </c>
      <c r="H37" s="8">
        <v>2664899.7682808251</v>
      </c>
      <c r="I37" s="8">
        <v>2257771.0844410611</v>
      </c>
      <c r="J37" s="8">
        <v>1939936.714147384</v>
      </c>
      <c r="K37" s="8">
        <v>1687701.072723313</v>
      </c>
      <c r="L37" s="8">
        <v>1579986.2068853469</v>
      </c>
      <c r="M37" s="8">
        <v>1511754.177966381</v>
      </c>
      <c r="N37" s="8">
        <v>1308743.0974699771</v>
      </c>
      <c r="O37" s="8">
        <v>1135307.6487331339</v>
      </c>
      <c r="P37" s="8">
        <v>1260242.4087350389</v>
      </c>
      <c r="Q37" s="8">
        <v>1633098.044156512</v>
      </c>
      <c r="R37" s="8">
        <v>1771504.162913477</v>
      </c>
      <c r="S37" s="8">
        <v>1591523.1309787659</v>
      </c>
      <c r="T37" s="8">
        <v>1461245.5826792079</v>
      </c>
      <c r="U37" s="8">
        <v>1420207.4273053049</v>
      </c>
      <c r="V37" s="8">
        <v>1493389.949229476</v>
      </c>
      <c r="W37" s="8">
        <v>1396761.822532156</v>
      </c>
      <c r="X37" s="8">
        <v>1092479.865176457</v>
      </c>
      <c r="Y37" s="8">
        <v>907511.77033896931</v>
      </c>
      <c r="Z37" s="8">
        <v>1573804.4379608389</v>
      </c>
    </row>
    <row r="38" spans="3:26" x14ac:dyDescent="0.3">
      <c r="C38" s="5" t="s">
        <v>63</v>
      </c>
      <c r="D38" s="7">
        <v>-1696522.874228053</v>
      </c>
      <c r="E38" s="7">
        <v>-1677614.593676178</v>
      </c>
      <c r="F38" s="7">
        <v>-1951086.1092773939</v>
      </c>
      <c r="G38" s="7">
        <v>-306664.09902374732</v>
      </c>
      <c r="H38" s="7">
        <v>6607518.5428819032</v>
      </c>
      <c r="I38" s="7">
        <v>13881235.64620373</v>
      </c>
      <c r="J38" s="7">
        <v>15365078.061249381</v>
      </c>
      <c r="K38" s="7">
        <v>16921080.548015509</v>
      </c>
      <c r="L38" s="7">
        <v>18636813.990766041</v>
      </c>
      <c r="M38" s="7">
        <v>20426193.830294989</v>
      </c>
      <c r="N38" s="7">
        <v>22277721.742677748</v>
      </c>
      <c r="O38" s="7">
        <v>24299956.785518061</v>
      </c>
      <c r="P38" s="7">
        <v>26479946.861275598</v>
      </c>
      <c r="Q38" s="7">
        <v>28621544.196957931</v>
      </c>
      <c r="R38" s="7">
        <v>30953434.6179474</v>
      </c>
      <c r="S38" s="7">
        <v>33327981.720935822</v>
      </c>
      <c r="T38" s="7">
        <v>35847089.530234039</v>
      </c>
      <c r="U38" s="7">
        <v>38640677.811265036</v>
      </c>
      <c r="V38" s="7">
        <v>41273774.844336681</v>
      </c>
      <c r="W38" s="7">
        <v>44167630.259581439</v>
      </c>
      <c r="X38" s="7">
        <v>47201062.673991032</v>
      </c>
      <c r="Y38" s="7">
        <v>51278453.757973216</v>
      </c>
      <c r="Z38" s="7">
        <v>73455788.284283623</v>
      </c>
    </row>
    <row r="39" spans="3:26" x14ac:dyDescent="0.3">
      <c r="C39" t="s">
        <v>64</v>
      </c>
      <c r="D39" s="8">
        <v>0</v>
      </c>
      <c r="E39" s="8">
        <v>-15335366.99504273</v>
      </c>
      <c r="F39" s="8">
        <v>-2989743.6893203892</v>
      </c>
      <c r="G39" s="8">
        <v>0</v>
      </c>
      <c r="H39" s="8">
        <v>0</v>
      </c>
      <c r="I39" s="8">
        <v>0</v>
      </c>
      <c r="J39" s="8">
        <v>0</v>
      </c>
      <c r="K39" s="8">
        <v>0</v>
      </c>
      <c r="L39" s="8">
        <v>0</v>
      </c>
      <c r="M39" s="8">
        <v>0</v>
      </c>
      <c r="N39" s="8">
        <v>0</v>
      </c>
      <c r="O39" s="8">
        <v>-881709.97974822251</v>
      </c>
      <c r="P39" s="8">
        <v>0</v>
      </c>
      <c r="Q39" s="8">
        <v>0</v>
      </c>
      <c r="R39" s="8">
        <v>-7786.315522825008</v>
      </c>
      <c r="S39" s="8">
        <v>0</v>
      </c>
      <c r="T39" s="8">
        <v>0</v>
      </c>
      <c r="U39" s="8">
        <v>-2380530.3474639491</v>
      </c>
      <c r="V39" s="8">
        <v>0</v>
      </c>
      <c r="W39" s="8">
        <v>0</v>
      </c>
      <c r="X39" s="8">
        <v>0</v>
      </c>
      <c r="Y39" s="8">
        <v>-12049236.579135761</v>
      </c>
      <c r="Z39" s="8">
        <v>-2630259.079615653</v>
      </c>
    </row>
    <row r="40" spans="3:26" x14ac:dyDescent="0.3">
      <c r="C40" t="s">
        <v>65</v>
      </c>
      <c r="D40" s="8">
        <v>-1607946.975777115</v>
      </c>
      <c r="E40" s="8">
        <v>-6303147.3277405966</v>
      </c>
      <c r="F40" s="8">
        <v>0</v>
      </c>
      <c r="G40" s="8">
        <v>0</v>
      </c>
      <c r="H40" s="8">
        <v>0</v>
      </c>
      <c r="I40" s="8">
        <v>0</v>
      </c>
      <c r="J40" s="8">
        <v>0</v>
      </c>
      <c r="K40" s="8">
        <v>0</v>
      </c>
      <c r="L40" s="8">
        <v>0</v>
      </c>
      <c r="M40" s="8">
        <v>0</v>
      </c>
      <c r="N40" s="8">
        <v>0</v>
      </c>
      <c r="O40" s="8">
        <v>0</v>
      </c>
      <c r="P40" s="8">
        <v>0</v>
      </c>
      <c r="Q40" s="8">
        <v>0</v>
      </c>
      <c r="R40" s="8">
        <v>0</v>
      </c>
      <c r="S40" s="8">
        <v>0</v>
      </c>
      <c r="T40" s="8">
        <v>-201202.33554628541</v>
      </c>
      <c r="U40" s="8">
        <v>0</v>
      </c>
      <c r="V40" s="8">
        <v>0</v>
      </c>
      <c r="W40" s="8">
        <v>0</v>
      </c>
      <c r="X40" s="8">
        <v>-581967.65132288379</v>
      </c>
      <c r="Y40" s="8">
        <v>-255364.9591859857</v>
      </c>
      <c r="Z40" s="8">
        <v>0</v>
      </c>
    </row>
    <row r="41" spans="3:26" x14ac:dyDescent="0.3">
      <c r="C41" t="s">
        <v>66</v>
      </c>
      <c r="D41" s="8">
        <v>0</v>
      </c>
      <c r="E41" s="8">
        <v>0</v>
      </c>
      <c r="F41" s="8">
        <v>-1758272.233009709</v>
      </c>
      <c r="G41" s="8">
        <v>0</v>
      </c>
      <c r="H41" s="8">
        <v>0</v>
      </c>
      <c r="I41" s="8">
        <v>0</v>
      </c>
      <c r="J41" s="8">
        <v>0</v>
      </c>
      <c r="K41" s="8">
        <v>0</v>
      </c>
      <c r="L41" s="8">
        <v>0</v>
      </c>
      <c r="M41" s="8">
        <v>0</v>
      </c>
      <c r="N41" s="8">
        <v>0</v>
      </c>
      <c r="O41" s="8">
        <v>0</v>
      </c>
      <c r="P41" s="8">
        <v>0</v>
      </c>
      <c r="Q41" s="8">
        <v>0</v>
      </c>
      <c r="R41" s="8">
        <v>0</v>
      </c>
      <c r="S41" s="8">
        <v>0</v>
      </c>
      <c r="T41" s="8">
        <v>0</v>
      </c>
      <c r="U41" s="8">
        <v>0</v>
      </c>
      <c r="V41" s="8">
        <v>0</v>
      </c>
      <c r="W41" s="8">
        <v>0</v>
      </c>
      <c r="X41" s="8">
        <v>0</v>
      </c>
      <c r="Y41" s="8">
        <v>0</v>
      </c>
      <c r="Z41" s="8">
        <v>-3175635.2336461139</v>
      </c>
    </row>
    <row r="42" spans="3:26" x14ac:dyDescent="0.3">
      <c r="C42" t="s">
        <v>67</v>
      </c>
      <c r="D42" s="8">
        <v>0</v>
      </c>
      <c r="E42" s="8">
        <v>0</v>
      </c>
      <c r="F42" s="8">
        <v>-1467669.9029126221</v>
      </c>
      <c r="G42" s="8">
        <v>0</v>
      </c>
      <c r="H42" s="8">
        <v>0</v>
      </c>
      <c r="I42" s="8">
        <v>0</v>
      </c>
      <c r="J42" s="8">
        <v>0</v>
      </c>
      <c r="K42" s="8">
        <v>0</v>
      </c>
      <c r="L42" s="8">
        <v>0</v>
      </c>
      <c r="M42" s="8">
        <v>0</v>
      </c>
      <c r="N42" s="8">
        <v>0</v>
      </c>
      <c r="O42" s="8">
        <v>0</v>
      </c>
      <c r="P42" s="8">
        <v>-1972425.62199467</v>
      </c>
      <c r="Q42" s="8">
        <v>0</v>
      </c>
      <c r="R42" s="8">
        <v>0</v>
      </c>
      <c r="S42" s="8">
        <v>0</v>
      </c>
      <c r="T42" s="8">
        <v>0</v>
      </c>
      <c r="U42" s="8">
        <v>0</v>
      </c>
      <c r="V42" s="8">
        <v>0</v>
      </c>
      <c r="W42" s="8">
        <v>0</v>
      </c>
      <c r="X42" s="8">
        <v>0</v>
      </c>
      <c r="Y42" s="8">
        <v>0</v>
      </c>
      <c r="Z42" s="8">
        <v>-2650775.1004366539</v>
      </c>
    </row>
    <row r="43" spans="3:26" x14ac:dyDescent="0.3">
      <c r="C43" t="s">
        <v>68</v>
      </c>
      <c r="D43" s="8">
        <v>0</v>
      </c>
      <c r="E43" s="8">
        <v>0</v>
      </c>
      <c r="F43" s="8">
        <v>-6715876.8319265191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0</v>
      </c>
      <c r="R43" s="8">
        <v>0</v>
      </c>
      <c r="S43" s="8">
        <v>0</v>
      </c>
      <c r="T43" s="8">
        <v>0</v>
      </c>
      <c r="U43" s="8">
        <v>0</v>
      </c>
      <c r="V43" s="8">
        <v>0</v>
      </c>
      <c r="W43" s="8">
        <v>0</v>
      </c>
      <c r="X43" s="8">
        <v>0</v>
      </c>
      <c r="Y43" s="8">
        <v>0</v>
      </c>
      <c r="Z43" s="8">
        <v>0</v>
      </c>
    </row>
    <row r="44" spans="3:26" x14ac:dyDescent="0.3">
      <c r="C44" t="s">
        <v>69</v>
      </c>
      <c r="D44" s="8">
        <v>-1607946.975777115</v>
      </c>
      <c r="E44" s="8">
        <v>-21638514.322783321</v>
      </c>
      <c r="F44" s="8">
        <v>-12931562.65716924</v>
      </c>
      <c r="G44" s="8">
        <v>0</v>
      </c>
      <c r="H44" s="8">
        <v>0</v>
      </c>
      <c r="I44" s="8">
        <v>0</v>
      </c>
      <c r="J44" s="8">
        <v>0</v>
      </c>
      <c r="K44" s="8">
        <v>0</v>
      </c>
      <c r="L44" s="8">
        <v>0</v>
      </c>
      <c r="M44" s="8">
        <v>0</v>
      </c>
      <c r="N44" s="8">
        <v>0</v>
      </c>
      <c r="O44" s="8">
        <v>-881709.97974822251</v>
      </c>
      <c r="P44" s="8">
        <v>-9337962.4029454589</v>
      </c>
      <c r="Q44" s="8">
        <v>0</v>
      </c>
      <c r="R44" s="8">
        <v>-7786.315522825008</v>
      </c>
      <c r="S44" s="8">
        <v>0</v>
      </c>
      <c r="T44" s="8">
        <v>-201202.33554628541</v>
      </c>
      <c r="U44" s="8">
        <v>-2380530.3474639491</v>
      </c>
      <c r="V44" s="8">
        <v>0</v>
      </c>
      <c r="W44" s="8">
        <v>0</v>
      </c>
      <c r="X44" s="8">
        <v>-581967.65132288379</v>
      </c>
      <c r="Y44" s="8">
        <v>-12304601.538321741</v>
      </c>
      <c r="Z44" s="8">
        <v>-15822206.19464921</v>
      </c>
    </row>
    <row r="45" spans="3:26" x14ac:dyDescent="0.3">
      <c r="C45" s="5" t="s">
        <v>70</v>
      </c>
      <c r="D45" s="7">
        <v>-3304469.850005168</v>
      </c>
      <c r="E45" s="7">
        <v>-23316128.916459501</v>
      </c>
      <c r="F45" s="7">
        <v>-14882648.76644663</v>
      </c>
      <c r="G45" s="7">
        <v>-306664.09902374732</v>
      </c>
      <c r="H45" s="7">
        <v>6607518.5428819032</v>
      </c>
      <c r="I45" s="7">
        <v>13881235.64620373</v>
      </c>
      <c r="J45" s="7">
        <v>15365078.061249381</v>
      </c>
      <c r="K45" s="7">
        <v>16921080.548015509</v>
      </c>
      <c r="L45" s="7">
        <v>18636813.990766041</v>
      </c>
      <c r="M45" s="7">
        <v>20426193.830294989</v>
      </c>
      <c r="N45" s="7">
        <v>22277721.742677748</v>
      </c>
      <c r="O45" s="7">
        <v>23418246.805769838</v>
      </c>
      <c r="P45" s="7">
        <v>17141984.45833014</v>
      </c>
      <c r="Q45" s="7">
        <v>28621544.196957931</v>
      </c>
      <c r="R45" s="7">
        <v>30945648.30242458</v>
      </c>
      <c r="S45" s="7">
        <v>33327981.720935822</v>
      </c>
      <c r="T45" s="7">
        <v>35645887.194687746</v>
      </c>
      <c r="U45" s="7">
        <v>36260147.463801093</v>
      </c>
      <c r="V45" s="7">
        <v>41273774.844336681</v>
      </c>
      <c r="W45" s="7">
        <v>44167630.259581439</v>
      </c>
      <c r="X45" s="7">
        <v>46619095.022668153</v>
      </c>
      <c r="Y45" s="7">
        <v>38973852.219651483</v>
      </c>
      <c r="Z45" s="7">
        <v>57633582.089634418</v>
      </c>
    </row>
    <row r="46" spans="3:26" x14ac:dyDescent="0.3">
      <c r="C46" t="s">
        <v>71</v>
      </c>
      <c r="D46" s="8">
        <v>0</v>
      </c>
      <c r="E46" s="8">
        <v>0</v>
      </c>
      <c r="F46" s="8">
        <v>0</v>
      </c>
      <c r="G46" s="8">
        <v>0</v>
      </c>
      <c r="H46" s="8">
        <v>-1182785.632380323</v>
      </c>
      <c r="I46" s="8">
        <v>-3487039.3685288001</v>
      </c>
      <c r="J46" s="8">
        <v>-4027542.4041305981</v>
      </c>
      <c r="K46" s="8">
        <v>-4570013.8425876573</v>
      </c>
      <c r="L46" s="8">
        <v>-5117048.3351642089</v>
      </c>
      <c r="M46" s="8">
        <v>-5674331.8956985818</v>
      </c>
      <c r="N46" s="8">
        <v>-6290693.5935623311</v>
      </c>
      <c r="O46" s="8">
        <v>-6949394.7410354773</v>
      </c>
      <c r="P46" s="8">
        <v>-7565911.3357621683</v>
      </c>
      <c r="Q46" s="8">
        <v>-8096533.8458404243</v>
      </c>
      <c r="R46" s="8">
        <v>-8754579.1365101784</v>
      </c>
      <c r="S46" s="8">
        <v>-9520937.5769871157</v>
      </c>
      <c r="T46" s="8">
        <v>-10315753.18426645</v>
      </c>
      <c r="U46" s="8">
        <v>-11166141.115187921</v>
      </c>
      <c r="V46" s="8">
        <v>-11934115.46853216</v>
      </c>
      <c r="W46" s="8">
        <v>-12831260.531114791</v>
      </c>
      <c r="X46" s="8">
        <v>-13832574.842644369</v>
      </c>
      <c r="Y46" s="8">
        <v>-15111282.596290279</v>
      </c>
      <c r="Z46" s="8">
        <v>-21564595.153896831</v>
      </c>
    </row>
    <row r="47" spans="3:26" x14ac:dyDescent="0.3">
      <c r="C47" s="5" t="s">
        <v>72</v>
      </c>
      <c r="D47" s="7">
        <v>-3304469.850005168</v>
      </c>
      <c r="E47" s="7">
        <v>-23316128.916459501</v>
      </c>
      <c r="F47" s="7">
        <v>-14882648.76644663</v>
      </c>
      <c r="G47" s="7">
        <v>-306664.09902374732</v>
      </c>
      <c r="H47" s="7">
        <v>5424732.9105015798</v>
      </c>
      <c r="I47" s="7">
        <v>10394196.27767493</v>
      </c>
      <c r="J47" s="7">
        <v>11337535.657118781</v>
      </c>
      <c r="K47" s="7">
        <v>12351066.70542785</v>
      </c>
      <c r="L47" s="7">
        <v>13519765.65560184</v>
      </c>
      <c r="M47" s="7">
        <v>14751861.93459641</v>
      </c>
      <c r="N47" s="7">
        <v>15987028.149115421</v>
      </c>
      <c r="O47" s="7">
        <v>16468852.06473436</v>
      </c>
      <c r="P47" s="7">
        <v>9576073.122567974</v>
      </c>
      <c r="Q47" s="7">
        <v>20525010.351117499</v>
      </c>
      <c r="R47" s="7">
        <v>22191069.165914401</v>
      </c>
      <c r="S47" s="7">
        <v>23807044.1439487</v>
      </c>
      <c r="T47" s="7">
        <v>25330134.01042131</v>
      </c>
      <c r="U47" s="7">
        <v>25094006.348613169</v>
      </c>
      <c r="V47" s="7">
        <v>29339659.375804521</v>
      </c>
      <c r="W47" s="7">
        <v>31336369.728466649</v>
      </c>
      <c r="X47" s="7">
        <v>32786520.180023771</v>
      </c>
      <c r="Y47" s="7">
        <v>23862569.623361211</v>
      </c>
      <c r="Z47" s="7">
        <v>36068986.93573758</v>
      </c>
    </row>
    <row r="49" spans="3:6" x14ac:dyDescent="0.3">
      <c r="C49" s="8">
        <f>SUM(D44:F44)*0.6</f>
        <v>-21706814.373437807</v>
      </c>
      <c r="D49" s="8">
        <f>SUM(D39:F42)</f>
        <v>-29462147.123803165</v>
      </c>
      <c r="E49" s="8">
        <f>I28+I23</f>
        <v>-28639845.771082066</v>
      </c>
    </row>
    <row r="50" spans="3:6" x14ac:dyDescent="0.3">
      <c r="F50" s="8"/>
    </row>
  </sheetData>
  <hyperlinks>
    <hyperlink ref="B2" location="'Home Sheet'!B2" display="BACK TO HOME SHEET" xr:uid="{D45FF897-9B94-4F90-8E0D-68B0D33AC256}"/>
  </hyperlink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Z11"/>
  <sheetViews>
    <sheetView workbookViewId="0">
      <selection activeCell="B2" sqref="B2"/>
    </sheetView>
  </sheetViews>
  <sheetFormatPr defaultRowHeight="14.4" x14ac:dyDescent="0.3"/>
  <cols>
    <col min="2" max="2" width="19.5546875" bestFit="1" customWidth="1"/>
    <col min="3" max="3" width="23.88671875" bestFit="1" customWidth="1"/>
    <col min="4" max="4" width="12.77734375" bestFit="1" customWidth="1"/>
    <col min="5" max="11" width="13.33203125" bestFit="1" customWidth="1"/>
    <col min="12" max="12" width="12.77734375" bestFit="1" customWidth="1"/>
    <col min="13" max="21" width="12.5546875" bestFit="1" customWidth="1"/>
    <col min="22" max="26" width="13.6640625" bestFit="1" customWidth="1"/>
  </cols>
  <sheetData>
    <row r="2" spans="2:26" x14ac:dyDescent="0.3">
      <c r="B2" s="2" t="s">
        <v>372</v>
      </c>
    </row>
    <row r="3" spans="2:26" x14ac:dyDescent="0.3">
      <c r="C3" s="3" t="s">
        <v>6</v>
      </c>
      <c r="D3" s="3" t="s">
        <v>7</v>
      </c>
      <c r="E3" s="3" t="s">
        <v>8</v>
      </c>
      <c r="F3" s="3" t="s">
        <v>9</v>
      </c>
      <c r="G3" s="3" t="s">
        <v>10</v>
      </c>
      <c r="H3" s="3" t="s">
        <v>11</v>
      </c>
      <c r="I3" s="3" t="s">
        <v>12</v>
      </c>
      <c r="J3" s="3" t="s">
        <v>13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3" t="s">
        <v>19</v>
      </c>
      <c r="Q3" s="3" t="s">
        <v>20</v>
      </c>
      <c r="R3" s="3" t="s">
        <v>21</v>
      </c>
      <c r="S3" s="3" t="s">
        <v>22</v>
      </c>
      <c r="T3" s="3" t="s">
        <v>23</v>
      </c>
      <c r="U3" s="3" t="s">
        <v>24</v>
      </c>
      <c r="V3" s="3" t="s">
        <v>25</v>
      </c>
      <c r="W3" s="3" t="s">
        <v>26</v>
      </c>
      <c r="X3" s="3" t="s">
        <v>27</v>
      </c>
      <c r="Y3" s="3" t="s">
        <v>28</v>
      </c>
      <c r="Z3" s="3" t="s">
        <v>29</v>
      </c>
    </row>
    <row r="4" spans="2:26" x14ac:dyDescent="0.3">
      <c r="C4" t="s">
        <v>73</v>
      </c>
      <c r="D4" s="8">
        <v>466470.05973324418</v>
      </c>
      <c r="E4" s="8">
        <v>466470.05973324418</v>
      </c>
      <c r="F4" s="8">
        <v>760457.05973324412</v>
      </c>
      <c r="G4" s="8">
        <v>6009857.5265490916</v>
      </c>
      <c r="H4" s="8">
        <v>6168101.5405535679</v>
      </c>
      <c r="I4" s="8">
        <v>6331092.8749781772</v>
      </c>
      <c r="J4" s="8">
        <v>6498973.9494355274</v>
      </c>
      <c r="K4" s="8">
        <v>6700391.4561265949</v>
      </c>
      <c r="L4" s="8">
        <v>6849996.4880183954</v>
      </c>
      <c r="M4" s="8">
        <v>7033444.6708669504</v>
      </c>
      <c r="N4" s="8">
        <v>7222396.2992009623</v>
      </c>
      <c r="O4" s="8">
        <v>7417016.4763849927</v>
      </c>
      <c r="P4" s="8">
        <v>7645975.2588845463</v>
      </c>
      <c r="Q4" s="8">
        <v>7823947.804859085</v>
      </c>
      <c r="R4" s="8">
        <v>8036614.5272128601</v>
      </c>
      <c r="S4" s="8">
        <v>8255661.2512372499</v>
      </c>
      <c r="T4" s="8">
        <v>8481279.3769823704</v>
      </c>
      <c r="U4" s="8">
        <v>8742166.0464998428</v>
      </c>
      <c r="V4" s="8">
        <v>8953024.3161028419</v>
      </c>
      <c r="W4" s="8">
        <v>9199563.3337939288</v>
      </c>
      <c r="X4" s="8">
        <v>9453498.5220157504</v>
      </c>
      <c r="Y4" s="8">
        <v>9715051.7658842262</v>
      </c>
      <c r="Z4" s="8">
        <v>10012951.607068749</v>
      </c>
    </row>
    <row r="5" spans="2:26" x14ac:dyDescent="0.3">
      <c r="C5" t="s">
        <v>74</v>
      </c>
      <c r="D5" s="8">
        <v>0</v>
      </c>
      <c r="E5" s="8">
        <v>0</v>
      </c>
      <c r="F5" s="8">
        <v>0</v>
      </c>
      <c r="G5" s="8">
        <v>6961062.4392477712</v>
      </c>
      <c r="H5" s="8">
        <v>14389555.443850409</v>
      </c>
      <c r="I5" s="8">
        <v>22308752.896103889</v>
      </c>
      <c r="J5" s="8">
        <v>23057211.910402648</v>
      </c>
      <c r="K5" s="8">
        <v>23830500.587952849</v>
      </c>
      <c r="L5" s="8">
        <v>24629435.0954367</v>
      </c>
      <c r="M5" s="8">
        <v>25454858.222840421</v>
      </c>
      <c r="N5" s="8">
        <v>26307640.246302482</v>
      </c>
      <c r="O5" s="8">
        <v>27188679.81877169</v>
      </c>
      <c r="P5" s="8">
        <v>28098904.88936739</v>
      </c>
      <c r="Q5" s="8">
        <v>29039273.652361941</v>
      </c>
      <c r="R5" s="8">
        <v>30010775.52673573</v>
      </c>
      <c r="S5" s="8">
        <v>31014432.16728482</v>
      </c>
      <c r="T5" s="8">
        <v>32051298.508292802</v>
      </c>
      <c r="U5" s="8">
        <v>33122463.840810701</v>
      </c>
      <c r="V5" s="8">
        <v>34229052.924622208</v>
      </c>
      <c r="W5" s="8">
        <v>35372227.13600567</v>
      </c>
      <c r="X5" s="8">
        <v>36553185.652439997</v>
      </c>
      <c r="Y5" s="8">
        <v>37773166.675437957</v>
      </c>
      <c r="Z5" s="8">
        <v>39033448.692728616</v>
      </c>
    </row>
    <row r="6" spans="2:26" x14ac:dyDescent="0.3">
      <c r="C6" t="s">
        <v>75</v>
      </c>
      <c r="D6" s="8">
        <v>0</v>
      </c>
      <c r="E6" s="8">
        <v>0</v>
      </c>
      <c r="F6" s="8">
        <v>0</v>
      </c>
      <c r="G6" s="8">
        <v>14978363</v>
      </c>
      <c r="H6" s="8">
        <v>31850764.16</v>
      </c>
      <c r="I6" s="8">
        <v>50747225.334299996</v>
      </c>
      <c r="J6" s="8">
        <v>53853570.642641999</v>
      </c>
      <c r="K6" s="8">
        <v>57100624.166683637</v>
      </c>
      <c r="L6" s="8">
        <v>60494032.688589416</v>
      </c>
      <c r="M6" s="8">
        <v>64039655.160059527</v>
      </c>
      <c r="N6" s="8">
        <v>67743570.350398108</v>
      </c>
      <c r="O6" s="8">
        <v>71612084.762512937</v>
      </c>
      <c r="P6" s="8">
        <v>75651740.826039329</v>
      </c>
      <c r="Q6" s="8">
        <v>79869325.37709102</v>
      </c>
      <c r="R6" s="8">
        <v>84271878.434462383</v>
      </c>
      <c r="S6" s="8">
        <v>88866702.282436639</v>
      </c>
      <c r="T6" s="8">
        <v>93661370.870698348</v>
      </c>
      <c r="U6" s="8">
        <v>98663739.542201549</v>
      </c>
      <c r="V6" s="8">
        <v>103881955.10021131</v>
      </c>
      <c r="W6" s="8">
        <v>109324466.22611371</v>
      </c>
      <c r="X6" s="8">
        <v>115000034.2599801</v>
      </c>
      <c r="Y6" s="8">
        <v>120917744.3562748</v>
      </c>
      <c r="Z6" s="8">
        <v>127087017.0275134</v>
      </c>
    </row>
    <row r="7" spans="2:26" x14ac:dyDescent="0.3">
      <c r="C7" t="s">
        <v>76</v>
      </c>
      <c r="D7" s="8">
        <v>0</v>
      </c>
      <c r="E7" s="8">
        <v>0</v>
      </c>
      <c r="F7" s="8">
        <v>0</v>
      </c>
      <c r="G7" s="8">
        <v>1145737.3842554139</v>
      </c>
      <c r="H7" s="8">
        <v>3541370.2248640121</v>
      </c>
      <c r="I7" s="8">
        <v>7108129.7142807711</v>
      </c>
      <c r="J7" s="8">
        <v>7842724.0813726019</v>
      </c>
      <c r="K7" s="8">
        <v>8589917.1797753293</v>
      </c>
      <c r="L7" s="8">
        <v>9352523.0657797158</v>
      </c>
      <c r="M7" s="8">
        <v>10136209.713122509</v>
      </c>
      <c r="N7" s="8">
        <v>10986265.467616741</v>
      </c>
      <c r="O7" s="8">
        <v>11887807.394455761</v>
      </c>
      <c r="P7" s="8">
        <v>12763746.26388257</v>
      </c>
      <c r="Q7" s="8">
        <v>13574477.518106859</v>
      </c>
      <c r="R7" s="8">
        <v>14516355.97168896</v>
      </c>
      <c r="S7" s="8">
        <v>15572397.994426459</v>
      </c>
      <c r="T7" s="8">
        <v>16669877.832348449</v>
      </c>
      <c r="U7" s="8">
        <v>17834286.393967379</v>
      </c>
      <c r="V7" s="8">
        <v>18939580.429354131</v>
      </c>
      <c r="W7" s="8">
        <v>20180631.260928519</v>
      </c>
      <c r="X7" s="8">
        <v>21535157.500601999</v>
      </c>
      <c r="Y7" s="8">
        <v>23162865.637066569</v>
      </c>
      <c r="Z7" s="8">
        <v>29559921.894393548</v>
      </c>
    </row>
    <row r="8" spans="2:26" x14ac:dyDescent="0.3">
      <c r="C8" t="s">
        <v>77</v>
      </c>
      <c r="D8" s="8">
        <v>1452503.173928631</v>
      </c>
      <c r="E8" s="8">
        <v>1452503.173928631</v>
      </c>
      <c r="F8" s="8">
        <v>1452503.173928631</v>
      </c>
      <c r="G8" s="8">
        <v>1452503.173928631</v>
      </c>
      <c r="H8" s="8">
        <v>1452503.173928631</v>
      </c>
      <c r="I8" s="8">
        <v>1452503.173928631</v>
      </c>
      <c r="J8" s="8">
        <v>1452503.173928631</v>
      </c>
      <c r="K8" s="8">
        <v>1452503.173928631</v>
      </c>
      <c r="L8" s="8">
        <v>1452503.173928631</v>
      </c>
      <c r="M8" s="8">
        <v>1452503.173928631</v>
      </c>
      <c r="N8" s="8">
        <v>1452503.173928631</v>
      </c>
      <c r="O8" s="8">
        <v>1452503.173928631</v>
      </c>
      <c r="P8" s="8">
        <v>1452503.173928631</v>
      </c>
      <c r="Q8" s="8">
        <v>1452503.173928631</v>
      </c>
      <c r="R8" s="8">
        <v>1452503.173928631</v>
      </c>
      <c r="S8" s="8">
        <v>1452503.173928631</v>
      </c>
      <c r="T8" s="8">
        <v>1452503.173928631</v>
      </c>
      <c r="U8" s="8">
        <v>1452503.173928631</v>
      </c>
      <c r="V8" s="8">
        <v>1452503.173928631</v>
      </c>
      <c r="W8" s="8">
        <v>1452503.173928631</v>
      </c>
      <c r="X8" s="8">
        <v>1452503.173928631</v>
      </c>
      <c r="Y8" s="8">
        <v>1452503.173928631</v>
      </c>
      <c r="Z8" s="8">
        <v>1452503.173928631</v>
      </c>
    </row>
    <row r="9" spans="2:26" x14ac:dyDescent="0.3">
      <c r="C9" t="s">
        <v>78</v>
      </c>
      <c r="D9" s="8">
        <v>-3304469.850005168</v>
      </c>
      <c r="E9" s="8">
        <v>-23316128.916459501</v>
      </c>
      <c r="F9" s="8">
        <v>-14882648.76644663</v>
      </c>
      <c r="G9" s="8">
        <v>-306664.09902374732</v>
      </c>
      <c r="H9" s="8">
        <v>6607518.5428819032</v>
      </c>
      <c r="I9" s="8">
        <v>13881235.64620373</v>
      </c>
      <c r="J9" s="8">
        <v>15365078.061249381</v>
      </c>
      <c r="K9" s="8">
        <v>16921080.548015509</v>
      </c>
      <c r="L9" s="8">
        <v>18636813.990766041</v>
      </c>
      <c r="M9" s="8">
        <v>20426193.830294989</v>
      </c>
      <c r="N9" s="8">
        <v>22277721.742677748</v>
      </c>
      <c r="O9" s="8">
        <v>23418246.805769838</v>
      </c>
      <c r="P9" s="8">
        <v>17141984.45833014</v>
      </c>
      <c r="Q9" s="8">
        <v>28621544.196957931</v>
      </c>
      <c r="R9" s="8">
        <v>30945648.30242458</v>
      </c>
      <c r="S9" s="8">
        <v>33327981.720935822</v>
      </c>
      <c r="T9" s="8">
        <v>35645887.194687746</v>
      </c>
      <c r="U9" s="8">
        <v>36260147.463801093</v>
      </c>
      <c r="V9" s="8">
        <v>41273774.844336681</v>
      </c>
      <c r="W9" s="8">
        <v>44167630.259581439</v>
      </c>
      <c r="X9" s="8">
        <v>46619095.022668153</v>
      </c>
      <c r="Y9" s="8">
        <v>38973852.219651483</v>
      </c>
      <c r="Z9" s="8">
        <v>57633582.089634418</v>
      </c>
    </row>
    <row r="10" spans="2:26" x14ac:dyDescent="0.3">
      <c r="C10" t="s">
        <v>79</v>
      </c>
      <c r="D10" s="8">
        <v>-4218803.2641007248</v>
      </c>
      <c r="E10" s="8">
        <v>-26345120.40176829</v>
      </c>
      <c r="F10" s="8">
        <v>-14882648.76644663</v>
      </c>
      <c r="G10" s="8">
        <v>-271405.84509940859</v>
      </c>
      <c r="H10" s="8">
        <v>5175483.2926435387</v>
      </c>
      <c r="I10" s="8">
        <v>9622699.1368728727</v>
      </c>
      <c r="J10" s="8">
        <v>9426702.7270690296</v>
      </c>
      <c r="K10" s="8">
        <v>9187754.7442673445</v>
      </c>
      <c r="L10" s="8">
        <v>8955899.919032814</v>
      </c>
      <c r="M10" s="8">
        <v>8687229.0025327317</v>
      </c>
      <c r="N10" s="8">
        <v>8385343.4751812536</v>
      </c>
      <c r="O10" s="8">
        <v>7801187.575001644</v>
      </c>
      <c r="P10" s="8">
        <v>5053865.7224691212</v>
      </c>
      <c r="Q10" s="8">
        <v>7468130.928617185</v>
      </c>
      <c r="R10" s="8">
        <v>7146192.4485041192</v>
      </c>
      <c r="S10" s="8">
        <v>6811462.9204256153</v>
      </c>
      <c r="T10" s="8">
        <v>6447584.9213761911</v>
      </c>
      <c r="U10" s="8">
        <v>5804615.6540053552</v>
      </c>
      <c r="V10" s="8">
        <v>5847555.5157139702</v>
      </c>
      <c r="W10" s="8">
        <v>5538096.5344559802</v>
      </c>
      <c r="X10" s="8">
        <v>5173405.5180500541</v>
      </c>
      <c r="Y10" s="8">
        <v>3827738.6513904859</v>
      </c>
      <c r="Z10" s="8">
        <v>5009574.2358812951</v>
      </c>
    </row>
    <row r="11" spans="2:26" x14ac:dyDescent="0.3">
      <c r="C11" t="s">
        <v>80</v>
      </c>
      <c r="D11" s="8">
        <v>-4218803.2641007248</v>
      </c>
      <c r="E11" s="8">
        <v>-30563923.665869009</v>
      </c>
      <c r="F11" s="8">
        <v>-45446572.432315648</v>
      </c>
      <c r="G11" s="8">
        <v>-45717978.27741506</v>
      </c>
      <c r="H11" s="8">
        <v>-40542494.98477152</v>
      </c>
      <c r="I11" s="8">
        <v>-30919795.847898651</v>
      </c>
      <c r="J11" s="8">
        <v>-21493093.120829619</v>
      </c>
      <c r="K11" s="8">
        <v>-12305338.376562269</v>
      </c>
      <c r="L11" s="8">
        <v>-3349438.457529461</v>
      </c>
      <c r="M11" s="8">
        <v>5337790.5450032707</v>
      </c>
      <c r="N11" s="8">
        <v>13723134.020184521</v>
      </c>
      <c r="O11" s="8">
        <v>21524321.59518617</v>
      </c>
      <c r="P11" s="8">
        <v>26578187.317655291</v>
      </c>
      <c r="Q11" s="8">
        <v>34046318.246272467</v>
      </c>
      <c r="R11" s="8">
        <v>41192510.694776587</v>
      </c>
      <c r="S11" s="8">
        <v>48003973.615202211</v>
      </c>
      <c r="T11" s="8">
        <v>54451558.536578402</v>
      </c>
      <c r="U11" s="8">
        <v>60256174.190583758</v>
      </c>
      <c r="V11" s="8">
        <v>66103729.706297733</v>
      </c>
      <c r="W11" s="8">
        <v>71641826.24075371</v>
      </c>
      <c r="X11" s="8">
        <v>76815231.75880377</v>
      </c>
      <c r="Y11" s="8">
        <v>80642970.410194263</v>
      </c>
      <c r="Z11" s="8">
        <v>85652544.646075562</v>
      </c>
    </row>
  </sheetData>
  <hyperlinks>
    <hyperlink ref="B2" location="'Home Sheet'!B2" display="BACK TO HOME SHEET" xr:uid="{B7694255-B05D-4178-9E03-9F32D701FF12}"/>
  </hyperlink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N4"/>
  <sheetViews>
    <sheetView tabSelected="1" topLeftCell="B1" workbookViewId="0">
      <selection activeCell="C4" sqref="C4:N4"/>
    </sheetView>
  </sheetViews>
  <sheetFormatPr defaultRowHeight="14.4" x14ac:dyDescent="0.3"/>
  <cols>
    <col min="2" max="2" width="19.5546875" bestFit="1" customWidth="1"/>
    <col min="3" max="3" width="16.21875" customWidth="1"/>
    <col min="4" max="4" width="17.5546875" customWidth="1"/>
    <col min="5" max="6" width="12" bestFit="1" customWidth="1"/>
    <col min="7" max="7" width="18.88671875" customWidth="1"/>
    <col min="8" max="8" width="17.5546875" customWidth="1"/>
    <col min="9" max="9" width="9.109375" customWidth="1"/>
    <col min="10" max="10" width="17.77734375" customWidth="1"/>
    <col min="11" max="11" width="14.44140625" customWidth="1"/>
    <col min="12" max="12" width="17.88671875" customWidth="1"/>
    <col min="13" max="13" width="13.109375" customWidth="1"/>
    <col min="14" max="14" width="13.21875" customWidth="1"/>
  </cols>
  <sheetData>
    <row r="2" spans="2:14" x14ac:dyDescent="0.3">
      <c r="B2" s="2" t="s">
        <v>372</v>
      </c>
    </row>
    <row r="3" spans="2:14" x14ac:dyDescent="0.3">
      <c r="C3" s="3" t="s">
        <v>81</v>
      </c>
      <c r="D3" s="3" t="s">
        <v>82</v>
      </c>
      <c r="E3" s="3" t="s">
        <v>83</v>
      </c>
      <c r="F3" s="3" t="s">
        <v>84</v>
      </c>
      <c r="G3" s="3" t="s">
        <v>85</v>
      </c>
      <c r="H3" s="3" t="s">
        <v>86</v>
      </c>
      <c r="I3" s="3" t="s">
        <v>87</v>
      </c>
      <c r="J3" s="3" t="s">
        <v>88</v>
      </c>
      <c r="K3" s="3" t="s">
        <v>89</v>
      </c>
      <c r="L3" s="3" t="s">
        <v>90</v>
      </c>
      <c r="M3" s="3" t="s">
        <v>91</v>
      </c>
      <c r="N3" s="3" t="s">
        <v>92</v>
      </c>
    </row>
    <row r="4" spans="2:14" x14ac:dyDescent="0.3">
      <c r="C4" s="4">
        <v>40</v>
      </c>
      <c r="D4" s="4">
        <v>60</v>
      </c>
      <c r="E4" s="4">
        <v>7.0491568218627592</v>
      </c>
      <c r="F4" s="4">
        <v>12.99097074030389</v>
      </c>
      <c r="G4" s="4">
        <v>9.0491568218627592</v>
      </c>
      <c r="H4" s="4">
        <v>2</v>
      </c>
      <c r="I4" s="4">
        <v>0.97</v>
      </c>
      <c r="J4" s="4">
        <v>8.0652613697712656</v>
      </c>
      <c r="K4" s="4">
        <v>8.5</v>
      </c>
      <c r="L4" s="4">
        <v>2.5</v>
      </c>
      <c r="M4" s="4">
        <v>8.2373828554342943</v>
      </c>
      <c r="N4" s="4">
        <v>3.614712881164484</v>
      </c>
    </row>
  </sheetData>
  <hyperlinks>
    <hyperlink ref="B2" location="'Home Sheet'!B2" display="BACK TO HOME SHEET" xr:uid="{4E4DA837-4E8C-40CE-B614-0CB414726C85}"/>
  </hyperlinks>
  <pageMargins left="0.75" right="0.75" top="1" bottom="1" header="0.5" footer="0.5"/>
  <pageSetup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K112"/>
  <sheetViews>
    <sheetView workbookViewId="0">
      <selection activeCell="B2" sqref="B2"/>
    </sheetView>
  </sheetViews>
  <sheetFormatPr defaultRowHeight="14.4" x14ac:dyDescent="0.3"/>
  <cols>
    <col min="2" max="2" width="19.5546875" bestFit="1" customWidth="1"/>
    <col min="3" max="3" width="12.88671875" bestFit="1" customWidth="1"/>
    <col min="4" max="4" width="21.109375" customWidth="1"/>
    <col min="5" max="5" width="19.44140625" customWidth="1"/>
    <col min="6" max="6" width="21.44140625" customWidth="1"/>
    <col min="7" max="7" width="12.6640625" bestFit="1" customWidth="1"/>
    <col min="8" max="8" width="11.33203125" customWidth="1"/>
    <col min="9" max="9" width="16.109375" customWidth="1"/>
    <col min="10" max="10" width="11" customWidth="1"/>
    <col min="11" max="11" width="13.6640625" customWidth="1"/>
  </cols>
  <sheetData>
    <row r="2" spans="2:11" x14ac:dyDescent="0.3">
      <c r="B2" s="2" t="s">
        <v>372</v>
      </c>
    </row>
    <row r="3" spans="2:11" x14ac:dyDescent="0.3">
      <c r="C3" s="3" t="s">
        <v>93</v>
      </c>
      <c r="D3" s="3" t="s">
        <v>94</v>
      </c>
      <c r="E3" s="3" t="s">
        <v>95</v>
      </c>
      <c r="F3" s="3" t="s">
        <v>96</v>
      </c>
      <c r="G3" s="3" t="s">
        <v>97</v>
      </c>
      <c r="H3" s="3" t="s">
        <v>98</v>
      </c>
      <c r="I3" s="3" t="s">
        <v>99</v>
      </c>
      <c r="J3" s="3" t="s">
        <v>100</v>
      </c>
      <c r="K3" s="3" t="s">
        <v>101</v>
      </c>
    </row>
    <row r="4" spans="2:11" x14ac:dyDescent="0.3">
      <c r="C4" t="s">
        <v>102</v>
      </c>
      <c r="D4" s="8">
        <v>23051.223510445769</v>
      </c>
      <c r="E4" s="8">
        <v>118629.3364916365</v>
      </c>
      <c r="F4" s="8">
        <v>11542.930483827429</v>
      </c>
      <c r="G4" s="8">
        <v>0</v>
      </c>
      <c r="H4" s="8">
        <v>0</v>
      </c>
      <c r="I4" s="8">
        <v>25</v>
      </c>
      <c r="J4" s="8">
        <v>-1</v>
      </c>
      <c r="K4" s="8">
        <v>5</v>
      </c>
    </row>
    <row r="5" spans="2:11" x14ac:dyDescent="0.3">
      <c r="C5" t="s">
        <v>103</v>
      </c>
      <c r="D5" s="8">
        <v>23051.223510445769</v>
      </c>
      <c r="E5" s="8">
        <v>118629.3364916365</v>
      </c>
      <c r="F5" s="8">
        <v>11542.930483827429</v>
      </c>
      <c r="G5" s="8">
        <v>0</v>
      </c>
      <c r="H5" s="8">
        <v>0</v>
      </c>
      <c r="I5" s="8">
        <v>25</v>
      </c>
      <c r="J5" s="8">
        <v>-1</v>
      </c>
      <c r="K5" s="8">
        <v>5</v>
      </c>
    </row>
    <row r="6" spans="2:11" x14ac:dyDescent="0.3">
      <c r="C6" t="s">
        <v>104</v>
      </c>
      <c r="D6" s="8">
        <v>25606.17394119241</v>
      </c>
      <c r="E6" s="8">
        <v>101211.6376291104</v>
      </c>
      <c r="F6" s="8">
        <v>7420.2714347836682</v>
      </c>
      <c r="G6" s="8">
        <v>0.75</v>
      </c>
      <c r="H6" s="8">
        <v>1</v>
      </c>
      <c r="I6" s="8">
        <v>25</v>
      </c>
      <c r="J6" s="8">
        <v>-1</v>
      </c>
      <c r="K6" s="8">
        <v>5</v>
      </c>
    </row>
    <row r="7" spans="2:11" x14ac:dyDescent="0.3">
      <c r="C7" t="s">
        <v>105</v>
      </c>
      <c r="D7" s="8">
        <v>24960.450441965451</v>
      </c>
      <c r="E7" s="8">
        <v>99522.249736234284</v>
      </c>
      <c r="F7" s="8">
        <v>7302.0142822823409</v>
      </c>
      <c r="G7" s="8">
        <v>0.8</v>
      </c>
      <c r="H7" s="8">
        <v>1</v>
      </c>
      <c r="I7" s="8">
        <v>25</v>
      </c>
      <c r="J7" s="8">
        <v>-1</v>
      </c>
      <c r="K7" s="8">
        <v>5</v>
      </c>
    </row>
    <row r="8" spans="2:11" x14ac:dyDescent="0.3">
      <c r="C8" t="s">
        <v>106</v>
      </c>
      <c r="D8" s="8">
        <v>26240.938903088481</v>
      </c>
      <c r="E8" s="8">
        <v>102053.48585320391</v>
      </c>
      <c r="F8" s="8">
        <v>7479.2008104702163</v>
      </c>
      <c r="G8" s="8">
        <v>0</v>
      </c>
      <c r="H8" s="8">
        <v>0</v>
      </c>
      <c r="I8" s="8">
        <v>25</v>
      </c>
      <c r="J8" s="8">
        <v>-1</v>
      </c>
      <c r="K8" s="8">
        <v>5</v>
      </c>
    </row>
    <row r="9" spans="2:11" x14ac:dyDescent="0.3">
      <c r="C9" t="s">
        <v>107</v>
      </c>
      <c r="D9" s="8">
        <v>24307.03126782403</v>
      </c>
      <c r="E9" s="8">
        <v>99522.249736234284</v>
      </c>
      <c r="F9" s="8">
        <v>7302.0142822823409</v>
      </c>
      <c r="G9" s="8">
        <v>0</v>
      </c>
      <c r="H9" s="8">
        <v>0</v>
      </c>
      <c r="I9" s="8">
        <v>25</v>
      </c>
      <c r="J9" s="8">
        <v>-1</v>
      </c>
      <c r="K9" s="8">
        <v>5</v>
      </c>
    </row>
    <row r="10" spans="2:11" x14ac:dyDescent="0.3">
      <c r="C10" t="s">
        <v>108</v>
      </c>
      <c r="D10" s="8">
        <v>23047.24960689959</v>
      </c>
      <c r="E10" s="8">
        <v>104541.7645038366</v>
      </c>
      <c r="F10" s="8">
        <v>7653.3803160145007</v>
      </c>
      <c r="G10" s="8">
        <v>0</v>
      </c>
      <c r="H10" s="8">
        <v>0</v>
      </c>
      <c r="I10" s="8">
        <v>25</v>
      </c>
      <c r="J10" s="8">
        <v>-1</v>
      </c>
      <c r="K10" s="8">
        <v>5</v>
      </c>
    </row>
    <row r="11" spans="2:11" x14ac:dyDescent="0.3">
      <c r="C11" t="s">
        <v>109</v>
      </c>
      <c r="D11" s="8">
        <v>29931.533623209431</v>
      </c>
      <c r="E11" s="8">
        <v>96960.846573599891</v>
      </c>
      <c r="F11" s="8">
        <v>7122.7160608979329</v>
      </c>
      <c r="G11" s="8">
        <v>0</v>
      </c>
      <c r="H11" s="8">
        <v>0</v>
      </c>
      <c r="I11" s="8">
        <v>25</v>
      </c>
      <c r="J11" s="8">
        <v>-1</v>
      </c>
      <c r="K11" s="8">
        <v>5</v>
      </c>
    </row>
    <row r="12" spans="2:11" x14ac:dyDescent="0.3">
      <c r="C12" t="s">
        <v>110</v>
      </c>
      <c r="D12" s="8">
        <v>20094.349809805339</v>
      </c>
      <c r="E12" s="8">
        <v>115697.193026636</v>
      </c>
      <c r="F12" s="8">
        <v>8098.8035118645184</v>
      </c>
      <c r="G12" s="8">
        <v>0</v>
      </c>
      <c r="H12" s="8">
        <v>0</v>
      </c>
      <c r="I12" s="8">
        <v>25</v>
      </c>
      <c r="J12" s="8">
        <v>-1</v>
      </c>
      <c r="K12" s="8">
        <v>5</v>
      </c>
    </row>
    <row r="13" spans="2:11" x14ac:dyDescent="0.3">
      <c r="C13" t="s">
        <v>111</v>
      </c>
      <c r="D13" s="8">
        <v>25391.416741168541</v>
      </c>
      <c r="E13" s="8">
        <v>150256.29878851131</v>
      </c>
      <c r="F13" s="8">
        <v>10517.940915195801</v>
      </c>
      <c r="G13" s="8">
        <v>0</v>
      </c>
      <c r="H13" s="8">
        <v>0</v>
      </c>
      <c r="I13" s="8">
        <v>25</v>
      </c>
      <c r="J13" s="8">
        <v>-1</v>
      </c>
      <c r="K13" s="8">
        <v>5</v>
      </c>
    </row>
    <row r="14" spans="2:11" x14ac:dyDescent="0.3">
      <c r="C14" t="s">
        <v>112</v>
      </c>
      <c r="D14" s="8">
        <v>24960.450441965451</v>
      </c>
      <c r="E14" s="8">
        <v>100873.6360452228</v>
      </c>
      <c r="F14" s="8">
        <v>7061.1545231655973</v>
      </c>
      <c r="G14" s="8">
        <v>0</v>
      </c>
      <c r="H14" s="8">
        <v>0</v>
      </c>
      <c r="I14" s="8">
        <v>25</v>
      </c>
      <c r="J14" s="8">
        <v>-1</v>
      </c>
      <c r="K14" s="8">
        <v>5</v>
      </c>
    </row>
    <row r="15" spans="2:11" x14ac:dyDescent="0.3">
      <c r="C15" t="s">
        <v>113</v>
      </c>
      <c r="D15" s="8">
        <v>19923.01471626604</v>
      </c>
      <c r="E15" s="8">
        <v>78098.217687762895</v>
      </c>
      <c r="F15" s="8">
        <v>3904.910884388145</v>
      </c>
      <c r="G15" s="8">
        <v>0</v>
      </c>
      <c r="H15" s="8">
        <v>0</v>
      </c>
      <c r="I15" s="8">
        <v>25</v>
      </c>
      <c r="J15" s="8">
        <v>-1</v>
      </c>
      <c r="K15" s="8">
        <v>5</v>
      </c>
    </row>
    <row r="16" spans="2:11" x14ac:dyDescent="0.3">
      <c r="C16" t="s">
        <v>114</v>
      </c>
      <c r="D16" s="8">
        <v>30652</v>
      </c>
      <c r="E16" s="8">
        <v>107895</v>
      </c>
      <c r="F16" s="8">
        <v>4315</v>
      </c>
      <c r="G16" s="8">
        <v>0</v>
      </c>
      <c r="H16" s="8">
        <v>0</v>
      </c>
      <c r="I16" s="8">
        <v>30</v>
      </c>
      <c r="J16" s="8">
        <v>-1</v>
      </c>
      <c r="K16" s="8">
        <v>5</v>
      </c>
    </row>
    <row r="17" spans="3:11" x14ac:dyDescent="0.3">
      <c r="C17" t="s">
        <v>115</v>
      </c>
      <c r="D17" s="8">
        <v>30652</v>
      </c>
      <c r="E17" s="8">
        <v>107895</v>
      </c>
      <c r="F17" s="8">
        <v>4315</v>
      </c>
      <c r="G17" s="8">
        <v>0</v>
      </c>
      <c r="H17" s="8">
        <v>0</v>
      </c>
      <c r="I17" s="8">
        <v>30</v>
      </c>
      <c r="J17" s="8">
        <v>-1</v>
      </c>
      <c r="K17" s="8">
        <v>5</v>
      </c>
    </row>
    <row r="18" spans="3:11" x14ac:dyDescent="0.3">
      <c r="C18" t="s">
        <v>116</v>
      </c>
      <c r="D18" s="8">
        <v>23962</v>
      </c>
      <c r="E18" s="8">
        <v>84347</v>
      </c>
      <c r="F18" s="8">
        <v>3373</v>
      </c>
      <c r="G18" s="8">
        <v>0</v>
      </c>
      <c r="H18" s="8">
        <v>0</v>
      </c>
      <c r="I18" s="8">
        <v>30</v>
      </c>
      <c r="J18" s="8">
        <v>-1</v>
      </c>
      <c r="K18" s="8">
        <v>5</v>
      </c>
    </row>
    <row r="19" spans="3:11" x14ac:dyDescent="0.3">
      <c r="C19" t="s">
        <v>117</v>
      </c>
      <c r="D19" s="8">
        <v>254993</v>
      </c>
      <c r="E19" s="8">
        <v>897577</v>
      </c>
      <c r="F19" s="8">
        <v>35903</v>
      </c>
      <c r="G19" s="8">
        <v>0</v>
      </c>
      <c r="H19" s="8">
        <v>0</v>
      </c>
      <c r="I19" s="8">
        <v>30</v>
      </c>
      <c r="J19" s="8">
        <v>-1</v>
      </c>
      <c r="K19" s="8">
        <v>5</v>
      </c>
    </row>
    <row r="20" spans="3:11" x14ac:dyDescent="0.3">
      <c r="C20" t="s">
        <v>118</v>
      </c>
      <c r="D20" s="8">
        <v>254993</v>
      </c>
      <c r="E20" s="8">
        <v>897577</v>
      </c>
      <c r="F20" s="8">
        <v>35903</v>
      </c>
      <c r="G20" s="8">
        <v>0</v>
      </c>
      <c r="H20" s="8">
        <v>0</v>
      </c>
      <c r="I20" s="8">
        <v>30</v>
      </c>
      <c r="J20" s="8">
        <v>-1</v>
      </c>
      <c r="K20" s="8">
        <v>5</v>
      </c>
    </row>
    <row r="21" spans="3:11" x14ac:dyDescent="0.3">
      <c r="C21" t="s">
        <v>119</v>
      </c>
      <c r="D21" s="8">
        <v>101699.7159090909</v>
      </c>
      <c r="E21" s="8">
        <v>357983</v>
      </c>
      <c r="F21" s="8">
        <v>14316</v>
      </c>
      <c r="G21" s="8">
        <v>0</v>
      </c>
      <c r="H21" s="8">
        <v>0</v>
      </c>
      <c r="I21" s="8">
        <v>25</v>
      </c>
      <c r="J21" s="8">
        <v>-1</v>
      </c>
      <c r="K21" s="8">
        <v>5</v>
      </c>
    </row>
    <row r="22" spans="3:11" x14ac:dyDescent="0.3">
      <c r="C22" t="s">
        <v>120</v>
      </c>
      <c r="D22" s="8">
        <v>101699.7159090909</v>
      </c>
      <c r="E22" s="8">
        <v>357983</v>
      </c>
      <c r="F22" s="8">
        <v>14316</v>
      </c>
      <c r="G22" s="8">
        <v>0</v>
      </c>
      <c r="H22" s="8">
        <v>0</v>
      </c>
      <c r="I22" s="8">
        <v>25</v>
      </c>
      <c r="J22" s="8">
        <v>-1</v>
      </c>
      <c r="K22" s="8">
        <v>5</v>
      </c>
    </row>
    <row r="23" spans="3:11" x14ac:dyDescent="0.3">
      <c r="C23" t="s">
        <v>121</v>
      </c>
      <c r="D23" s="8">
        <v>101699.7159090909</v>
      </c>
      <c r="E23" s="8">
        <v>357983</v>
      </c>
      <c r="F23" s="8">
        <v>14316</v>
      </c>
      <c r="G23" s="8">
        <v>0</v>
      </c>
      <c r="H23" s="8">
        <v>0</v>
      </c>
      <c r="I23" s="8">
        <v>25</v>
      </c>
      <c r="J23" s="8">
        <v>-1</v>
      </c>
      <c r="K23" s="8">
        <v>5</v>
      </c>
    </row>
    <row r="24" spans="3:11" x14ac:dyDescent="0.3">
      <c r="C24" t="s">
        <v>122</v>
      </c>
      <c r="D24" s="8">
        <v>101699.7159090909</v>
      </c>
      <c r="E24" s="8">
        <v>357983</v>
      </c>
      <c r="F24" s="8">
        <v>14316</v>
      </c>
      <c r="G24" s="8">
        <v>0</v>
      </c>
      <c r="H24" s="8">
        <v>0</v>
      </c>
      <c r="I24" s="8">
        <v>25</v>
      </c>
      <c r="J24" s="8">
        <v>-1</v>
      </c>
      <c r="K24" s="8">
        <v>5</v>
      </c>
    </row>
    <row r="25" spans="3:11" x14ac:dyDescent="0.3">
      <c r="C25" t="s">
        <v>123</v>
      </c>
      <c r="D25" s="8">
        <v>103804.2613636364</v>
      </c>
      <c r="E25" s="8">
        <v>365391</v>
      </c>
      <c r="F25" s="8">
        <v>14615</v>
      </c>
      <c r="G25" s="8">
        <v>0</v>
      </c>
      <c r="H25" s="8">
        <v>0</v>
      </c>
      <c r="I25" s="8">
        <v>25</v>
      </c>
      <c r="J25" s="8">
        <v>-1</v>
      </c>
      <c r="K25" s="8">
        <v>5</v>
      </c>
    </row>
    <row r="26" spans="3:11" x14ac:dyDescent="0.3">
      <c r="C26" t="s">
        <v>124</v>
      </c>
      <c r="D26" s="8">
        <v>103804.2613636364</v>
      </c>
      <c r="E26" s="8">
        <v>365391</v>
      </c>
      <c r="F26" s="8">
        <v>14615</v>
      </c>
      <c r="G26" s="8">
        <v>0</v>
      </c>
      <c r="H26" s="8">
        <v>0</v>
      </c>
      <c r="I26" s="8">
        <v>25</v>
      </c>
      <c r="J26" s="8">
        <v>-1</v>
      </c>
      <c r="K26" s="8">
        <v>5</v>
      </c>
    </row>
    <row r="27" spans="3:11" x14ac:dyDescent="0.3">
      <c r="C27" t="s">
        <v>125</v>
      </c>
      <c r="D27" s="8">
        <v>103804.2613636364</v>
      </c>
      <c r="E27" s="8">
        <v>365391</v>
      </c>
      <c r="F27" s="8">
        <v>14615</v>
      </c>
      <c r="G27" s="8">
        <v>0</v>
      </c>
      <c r="H27" s="8">
        <v>0</v>
      </c>
      <c r="I27" s="8">
        <v>25</v>
      </c>
      <c r="J27" s="8">
        <v>-1</v>
      </c>
      <c r="K27" s="8">
        <v>5</v>
      </c>
    </row>
    <row r="28" spans="3:11" x14ac:dyDescent="0.3">
      <c r="C28" t="s">
        <v>126</v>
      </c>
      <c r="D28" s="8">
        <v>103804.2613636364</v>
      </c>
      <c r="E28" s="8">
        <v>365391</v>
      </c>
      <c r="F28" s="8">
        <v>14615</v>
      </c>
      <c r="G28" s="8">
        <v>0</v>
      </c>
      <c r="H28" s="8">
        <v>0</v>
      </c>
      <c r="I28" s="8">
        <v>25</v>
      </c>
      <c r="J28" s="8">
        <v>-1</v>
      </c>
      <c r="K28" s="8">
        <v>5</v>
      </c>
    </row>
    <row r="29" spans="3:11" x14ac:dyDescent="0.3">
      <c r="C29" t="s">
        <v>127</v>
      </c>
      <c r="D29" s="8">
        <v>92063.352272727279</v>
      </c>
      <c r="E29" s="8">
        <v>324063</v>
      </c>
      <c r="F29" s="8">
        <v>12962</v>
      </c>
      <c r="G29" s="8">
        <v>0</v>
      </c>
      <c r="H29" s="8">
        <v>0</v>
      </c>
      <c r="I29" s="8">
        <v>25</v>
      </c>
      <c r="J29" s="8">
        <v>-1</v>
      </c>
      <c r="K29" s="8">
        <v>5</v>
      </c>
    </row>
    <row r="30" spans="3:11" x14ac:dyDescent="0.3">
      <c r="C30" t="s">
        <v>128</v>
      </c>
      <c r="D30" s="8">
        <v>92063.352272727279</v>
      </c>
      <c r="E30" s="8">
        <v>324063</v>
      </c>
      <c r="F30" s="8">
        <v>12962</v>
      </c>
      <c r="G30" s="8">
        <v>0</v>
      </c>
      <c r="H30" s="8">
        <v>0</v>
      </c>
      <c r="I30" s="8">
        <v>25</v>
      </c>
      <c r="J30" s="8">
        <v>-1</v>
      </c>
      <c r="K30" s="8">
        <v>5</v>
      </c>
    </row>
    <row r="31" spans="3:11" x14ac:dyDescent="0.3">
      <c r="C31" t="s">
        <v>129</v>
      </c>
      <c r="D31" s="8">
        <v>47305</v>
      </c>
      <c r="E31" s="8">
        <v>166513</v>
      </c>
      <c r="F31" s="8">
        <v>6660</v>
      </c>
      <c r="G31" s="8">
        <v>0</v>
      </c>
      <c r="H31" s="8">
        <v>0</v>
      </c>
      <c r="I31" s="8">
        <v>30</v>
      </c>
      <c r="J31" s="8">
        <v>-1</v>
      </c>
      <c r="K31" s="8">
        <v>5</v>
      </c>
    </row>
    <row r="32" spans="3:11" x14ac:dyDescent="0.3">
      <c r="C32" t="s">
        <v>130</v>
      </c>
      <c r="D32" s="8">
        <v>47305</v>
      </c>
      <c r="E32" s="8">
        <v>166513</v>
      </c>
      <c r="F32" s="8">
        <v>6660</v>
      </c>
      <c r="G32" s="8">
        <v>0</v>
      </c>
      <c r="H32" s="8">
        <v>0</v>
      </c>
      <c r="I32" s="8">
        <v>30</v>
      </c>
      <c r="J32" s="8">
        <v>-1</v>
      </c>
      <c r="K32" s="8">
        <v>5</v>
      </c>
    </row>
    <row r="33" spans="3:11" x14ac:dyDescent="0.3">
      <c r="C33" t="s">
        <v>131</v>
      </c>
      <c r="D33" s="8">
        <v>47305</v>
      </c>
      <c r="E33" s="8">
        <v>166513</v>
      </c>
      <c r="F33" s="8">
        <v>6660</v>
      </c>
      <c r="G33" s="8">
        <v>0</v>
      </c>
      <c r="H33" s="8">
        <v>0</v>
      </c>
      <c r="I33" s="8">
        <v>30</v>
      </c>
      <c r="J33" s="8">
        <v>-1</v>
      </c>
      <c r="K33" s="8">
        <v>5</v>
      </c>
    </row>
    <row r="34" spans="3:11" x14ac:dyDescent="0.3">
      <c r="C34" t="s">
        <v>132</v>
      </c>
      <c r="D34" s="8">
        <v>47305</v>
      </c>
      <c r="E34" s="8">
        <v>166513</v>
      </c>
      <c r="F34" s="8">
        <v>6660</v>
      </c>
      <c r="G34" s="8">
        <v>0</v>
      </c>
      <c r="H34" s="8">
        <v>0</v>
      </c>
      <c r="I34" s="8">
        <v>30</v>
      </c>
      <c r="J34" s="8">
        <v>-1</v>
      </c>
      <c r="K34" s="8">
        <v>5</v>
      </c>
    </row>
    <row r="35" spans="3:11" x14ac:dyDescent="0.3">
      <c r="C35" t="s">
        <v>133</v>
      </c>
      <c r="D35" s="8">
        <v>43039.204545454537</v>
      </c>
      <c r="E35" s="8">
        <v>151498</v>
      </c>
      <c r="F35" s="8">
        <v>6059</v>
      </c>
      <c r="G35" s="8">
        <v>0</v>
      </c>
      <c r="H35" s="8">
        <v>0</v>
      </c>
      <c r="I35" s="8">
        <v>20</v>
      </c>
      <c r="J35" s="8">
        <v>-1</v>
      </c>
      <c r="K35" s="8">
        <v>4</v>
      </c>
    </row>
    <row r="36" spans="3:11" x14ac:dyDescent="0.3">
      <c r="C36" t="s">
        <v>134</v>
      </c>
      <c r="D36" s="8">
        <v>26686</v>
      </c>
      <c r="E36" s="8">
        <v>93938</v>
      </c>
      <c r="F36" s="8">
        <v>4460</v>
      </c>
      <c r="G36" s="8">
        <v>1.204</v>
      </c>
      <c r="H36" s="8">
        <v>1</v>
      </c>
      <c r="I36" s="8">
        <v>20</v>
      </c>
      <c r="J36" s="8">
        <v>-1</v>
      </c>
      <c r="K36" s="8">
        <v>4</v>
      </c>
    </row>
    <row r="37" spans="3:11" x14ac:dyDescent="0.3">
      <c r="C37" t="s">
        <v>135</v>
      </c>
      <c r="D37" s="8">
        <v>27251</v>
      </c>
      <c r="E37" s="8">
        <v>101374</v>
      </c>
      <c r="F37" s="8">
        <v>4054</v>
      </c>
      <c r="G37" s="8">
        <v>1.5269999999999999</v>
      </c>
      <c r="H37" s="8">
        <v>1</v>
      </c>
      <c r="I37" s="8">
        <v>20</v>
      </c>
      <c r="J37" s="8">
        <v>-1</v>
      </c>
      <c r="K37" s="8">
        <v>4</v>
      </c>
    </row>
    <row r="38" spans="3:11" x14ac:dyDescent="0.3">
      <c r="C38" t="s">
        <v>136</v>
      </c>
      <c r="D38" s="8">
        <v>36894.602272727272</v>
      </c>
      <c r="E38" s="8">
        <v>91280</v>
      </c>
      <c r="F38" s="8">
        <v>3651</v>
      </c>
      <c r="G38" s="8">
        <v>0</v>
      </c>
      <c r="H38" s="8">
        <v>0</v>
      </c>
      <c r="I38" s="8">
        <v>20</v>
      </c>
      <c r="J38" s="8">
        <v>-1</v>
      </c>
      <c r="K38" s="8">
        <v>4</v>
      </c>
    </row>
    <row r="39" spans="3:11" x14ac:dyDescent="0.3">
      <c r="C39" t="s">
        <v>137</v>
      </c>
      <c r="D39" s="8">
        <v>27350</v>
      </c>
      <c r="E39" s="8">
        <v>96272</v>
      </c>
      <c r="F39" s="8">
        <v>3850</v>
      </c>
      <c r="G39" s="8">
        <v>0</v>
      </c>
      <c r="H39" s="8">
        <v>0</v>
      </c>
      <c r="I39" s="8">
        <v>30</v>
      </c>
      <c r="J39" s="8">
        <v>-1</v>
      </c>
      <c r="K39" s="8">
        <v>5</v>
      </c>
    </row>
    <row r="40" spans="3:11" x14ac:dyDescent="0.3">
      <c r="C40" t="s">
        <v>138</v>
      </c>
      <c r="D40" s="8">
        <v>14933</v>
      </c>
      <c r="E40" s="8">
        <v>52719</v>
      </c>
      <c r="F40" s="8">
        <v>2108</v>
      </c>
      <c r="G40" s="8">
        <v>0</v>
      </c>
      <c r="H40" s="8">
        <v>0</v>
      </c>
      <c r="I40" s="8">
        <v>30</v>
      </c>
      <c r="J40" s="8">
        <v>-1</v>
      </c>
      <c r="K40" s="8">
        <v>5</v>
      </c>
    </row>
    <row r="41" spans="3:11" x14ac:dyDescent="0.3">
      <c r="C41" t="s">
        <v>139</v>
      </c>
      <c r="D41" s="8">
        <v>14977.2</v>
      </c>
      <c r="E41" s="8">
        <v>52719</v>
      </c>
      <c r="F41" s="8">
        <v>2108</v>
      </c>
      <c r="G41" s="8">
        <v>0</v>
      </c>
      <c r="H41" s="8">
        <v>0</v>
      </c>
      <c r="I41" s="8">
        <v>30</v>
      </c>
      <c r="J41" s="8">
        <v>-1</v>
      </c>
      <c r="K41" s="8">
        <v>5</v>
      </c>
    </row>
    <row r="42" spans="3:11" x14ac:dyDescent="0.3">
      <c r="C42" t="s">
        <v>140</v>
      </c>
      <c r="D42" s="8">
        <v>2479.829545454545</v>
      </c>
      <c r="E42" s="8">
        <v>8729</v>
      </c>
      <c r="F42" s="8">
        <v>349.16</v>
      </c>
      <c r="G42" s="8">
        <v>0</v>
      </c>
      <c r="H42" s="8">
        <v>0</v>
      </c>
      <c r="I42" s="8">
        <v>20</v>
      </c>
      <c r="J42" s="8">
        <v>-1</v>
      </c>
      <c r="K42" s="8">
        <v>4</v>
      </c>
    </row>
    <row r="43" spans="3:11" x14ac:dyDescent="0.3">
      <c r="C43" t="s">
        <v>141</v>
      </c>
      <c r="D43" s="8">
        <v>47784</v>
      </c>
      <c r="E43" s="8">
        <v>187309</v>
      </c>
      <c r="F43" s="8">
        <v>7169.27</v>
      </c>
      <c r="G43" s="8">
        <v>16148</v>
      </c>
      <c r="H43" s="8">
        <v>2</v>
      </c>
      <c r="I43" s="8">
        <v>10</v>
      </c>
      <c r="J43" s="8">
        <v>-1</v>
      </c>
      <c r="K43" s="8">
        <v>2</v>
      </c>
    </row>
    <row r="44" spans="3:11" x14ac:dyDescent="0.3">
      <c r="C44" t="s">
        <v>142</v>
      </c>
      <c r="D44" s="8">
        <v>400167</v>
      </c>
      <c r="E44" s="8">
        <v>1568655</v>
      </c>
      <c r="F44" s="8">
        <v>47059.65</v>
      </c>
      <c r="G44" s="8">
        <v>33760.765550239237</v>
      </c>
      <c r="H44" s="8">
        <v>2</v>
      </c>
      <c r="I44" s="8">
        <v>20</v>
      </c>
      <c r="J44" s="8">
        <v>-1</v>
      </c>
      <c r="K44" s="8">
        <v>4</v>
      </c>
    </row>
    <row r="45" spans="3:11" x14ac:dyDescent="0.3">
      <c r="C45" t="s">
        <v>143</v>
      </c>
      <c r="D45" s="8">
        <v>177272</v>
      </c>
      <c r="E45" s="8">
        <v>694888</v>
      </c>
      <c r="F45" s="8">
        <v>20846.64</v>
      </c>
      <c r="G45" s="8">
        <v>27043.062200956942</v>
      </c>
      <c r="H45" s="8">
        <v>2</v>
      </c>
      <c r="I45" s="8">
        <v>20</v>
      </c>
      <c r="J45" s="8">
        <v>-1</v>
      </c>
      <c r="K45" s="8">
        <v>4</v>
      </c>
    </row>
    <row r="46" spans="3:11" x14ac:dyDescent="0.3">
      <c r="C46" t="s">
        <v>144</v>
      </c>
      <c r="D46" s="8">
        <v>42835</v>
      </c>
      <c r="E46" s="8">
        <v>167906</v>
      </c>
      <c r="F46" s="8">
        <v>15655.18</v>
      </c>
      <c r="G46" s="8">
        <v>-112</v>
      </c>
      <c r="H46" s="8">
        <v>4</v>
      </c>
      <c r="I46" s="8">
        <v>10</v>
      </c>
      <c r="J46" s="8">
        <v>-1</v>
      </c>
      <c r="K46" s="8">
        <v>2</v>
      </c>
    </row>
    <row r="47" spans="3:11" x14ac:dyDescent="0.3">
      <c r="C47" t="s">
        <v>145</v>
      </c>
      <c r="D47" s="8">
        <v>52500</v>
      </c>
      <c r="E47" s="8">
        <v>149148</v>
      </c>
      <c r="F47" s="8">
        <v>21000</v>
      </c>
      <c r="G47" s="8">
        <v>159.35</v>
      </c>
      <c r="H47" s="8">
        <v>1</v>
      </c>
      <c r="I47" s="8">
        <v>20</v>
      </c>
      <c r="J47" s="8">
        <v>-1</v>
      </c>
      <c r="K47" s="8">
        <v>4</v>
      </c>
    </row>
    <row r="48" spans="3:11" x14ac:dyDescent="0.3">
      <c r="C48" t="s">
        <v>146</v>
      </c>
      <c r="D48" s="8">
        <v>28809</v>
      </c>
      <c r="E48" s="8">
        <v>101410</v>
      </c>
      <c r="F48" s="8">
        <v>4056</v>
      </c>
      <c r="G48" s="8">
        <v>2.4</v>
      </c>
      <c r="H48" s="8">
        <v>1</v>
      </c>
      <c r="I48" s="8">
        <v>10</v>
      </c>
      <c r="J48" s="8">
        <v>-1</v>
      </c>
      <c r="K48" s="8">
        <v>2</v>
      </c>
    </row>
    <row r="49" spans="3:11" x14ac:dyDescent="0.3">
      <c r="C49" t="s">
        <v>140</v>
      </c>
      <c r="D49" s="8">
        <v>8792</v>
      </c>
      <c r="E49" s="8">
        <v>30726</v>
      </c>
      <c r="F49" s="8">
        <v>1229</v>
      </c>
      <c r="G49" s="8">
        <v>0</v>
      </c>
      <c r="H49" s="8">
        <v>1</v>
      </c>
      <c r="I49" s="8">
        <v>10</v>
      </c>
      <c r="J49" s="8">
        <v>-1</v>
      </c>
      <c r="K49" s="8">
        <v>2</v>
      </c>
    </row>
    <row r="50" spans="3:11" x14ac:dyDescent="0.3">
      <c r="C50" t="s">
        <v>147</v>
      </c>
      <c r="D50" s="8">
        <v>15000</v>
      </c>
      <c r="E50" s="8">
        <v>52174</v>
      </c>
      <c r="F50" s="8">
        <v>2086</v>
      </c>
      <c r="G50" s="8">
        <v>0</v>
      </c>
      <c r="H50" s="8">
        <v>0</v>
      </c>
      <c r="I50" s="8">
        <v>10</v>
      </c>
      <c r="J50" s="8">
        <v>-1</v>
      </c>
      <c r="K50" s="8">
        <v>2</v>
      </c>
    </row>
    <row r="51" spans="3:11" x14ac:dyDescent="0.3">
      <c r="C51" t="s">
        <v>148</v>
      </c>
      <c r="D51" s="8">
        <v>15000</v>
      </c>
      <c r="E51" s="8">
        <v>52174</v>
      </c>
      <c r="F51" s="8">
        <v>2086</v>
      </c>
      <c r="G51" s="8">
        <v>0</v>
      </c>
      <c r="H51" s="8">
        <v>0</v>
      </c>
      <c r="I51" s="8">
        <v>10</v>
      </c>
      <c r="J51" s="8">
        <v>-1</v>
      </c>
      <c r="K51" s="8">
        <v>2</v>
      </c>
    </row>
    <row r="52" spans="3:11" x14ac:dyDescent="0.3">
      <c r="C52" t="s">
        <v>149</v>
      </c>
      <c r="D52" s="8">
        <v>15000</v>
      </c>
      <c r="E52" s="8">
        <v>52164</v>
      </c>
      <c r="F52" s="8">
        <v>2086</v>
      </c>
      <c r="G52" s="8">
        <v>0</v>
      </c>
      <c r="H52" s="8">
        <v>0</v>
      </c>
      <c r="I52" s="8">
        <v>10</v>
      </c>
      <c r="J52" s="8">
        <v>-1</v>
      </c>
      <c r="K52" s="8">
        <v>2</v>
      </c>
    </row>
    <row r="53" spans="3:11" x14ac:dyDescent="0.3">
      <c r="C53" t="s">
        <v>150</v>
      </c>
      <c r="D53" s="8">
        <v>15000</v>
      </c>
      <c r="E53" s="8">
        <v>52167</v>
      </c>
      <c r="F53" s="8">
        <v>2086</v>
      </c>
      <c r="G53" s="8">
        <v>0</v>
      </c>
      <c r="H53" s="8">
        <v>0</v>
      </c>
      <c r="I53" s="8">
        <v>10</v>
      </c>
      <c r="J53" s="8">
        <v>-1</v>
      </c>
      <c r="K53" s="8">
        <v>2</v>
      </c>
    </row>
    <row r="54" spans="3:11" x14ac:dyDescent="0.3">
      <c r="C54" t="s">
        <v>151</v>
      </c>
      <c r="D54" s="8">
        <v>560376</v>
      </c>
      <c r="E54" s="8">
        <v>823753</v>
      </c>
      <c r="F54" s="8">
        <v>32950.120000000003</v>
      </c>
      <c r="G54" s="8">
        <v>75.804195804195814</v>
      </c>
      <c r="H54" s="8">
        <v>3</v>
      </c>
      <c r="I54" s="8">
        <v>30</v>
      </c>
      <c r="J54" s="8">
        <v>-1</v>
      </c>
      <c r="K54" s="8">
        <v>5</v>
      </c>
    </row>
    <row r="55" spans="3:11" x14ac:dyDescent="0.3">
      <c r="C55" t="s">
        <v>152</v>
      </c>
      <c r="D55" s="8">
        <v>42663.249406235758</v>
      </c>
      <c r="E55" s="8">
        <v>62714.976627166558</v>
      </c>
      <c r="F55" s="8">
        <v>4266.3249406235764</v>
      </c>
      <c r="G55" s="8">
        <v>260.86223778555541</v>
      </c>
      <c r="H55" s="8">
        <v>5</v>
      </c>
      <c r="I55" s="8">
        <v>20</v>
      </c>
      <c r="J55" s="8">
        <v>-1</v>
      </c>
      <c r="K55" s="8">
        <v>4</v>
      </c>
    </row>
    <row r="56" spans="3:11" x14ac:dyDescent="0.3">
      <c r="C56" t="s">
        <v>153</v>
      </c>
      <c r="D56" s="8">
        <v>42663.249406235758</v>
      </c>
      <c r="E56" s="8">
        <v>62714.976627166558</v>
      </c>
      <c r="F56" s="8">
        <v>4266.3249406235764</v>
      </c>
      <c r="G56" s="8">
        <v>0</v>
      </c>
      <c r="H56" s="8">
        <v>0</v>
      </c>
      <c r="I56" s="8">
        <v>20</v>
      </c>
      <c r="J56" s="8">
        <v>-1</v>
      </c>
      <c r="K56" s="8">
        <v>4</v>
      </c>
    </row>
    <row r="57" spans="3:11" x14ac:dyDescent="0.3">
      <c r="C57" t="s">
        <v>154</v>
      </c>
      <c r="D57" s="8">
        <v>42430.107858595278</v>
      </c>
      <c r="E57" s="8">
        <v>62372.258552135063</v>
      </c>
      <c r="F57" s="8">
        <v>4243.0107858595284</v>
      </c>
      <c r="G57" s="8">
        <v>0</v>
      </c>
      <c r="H57" s="8">
        <v>0</v>
      </c>
      <c r="I57" s="8">
        <v>20</v>
      </c>
      <c r="J57" s="8">
        <v>-1</v>
      </c>
      <c r="K57" s="8">
        <v>4</v>
      </c>
    </row>
    <row r="58" spans="3:11" x14ac:dyDescent="0.3">
      <c r="C58" t="s">
        <v>155</v>
      </c>
      <c r="D58" s="8">
        <v>42202.486760122098</v>
      </c>
      <c r="E58" s="8">
        <v>62037.655537379491</v>
      </c>
      <c r="F58" s="8">
        <v>4220.248676012211</v>
      </c>
      <c r="G58" s="8">
        <v>-119.013742062104</v>
      </c>
      <c r="H58" s="8">
        <v>4</v>
      </c>
      <c r="I58" s="8">
        <v>20</v>
      </c>
      <c r="J58" s="8">
        <v>-1</v>
      </c>
      <c r="K58" s="8">
        <v>4</v>
      </c>
    </row>
    <row r="59" spans="3:11" x14ac:dyDescent="0.3">
      <c r="C59" t="s">
        <v>156</v>
      </c>
      <c r="D59" s="8">
        <v>42202.486760122098</v>
      </c>
      <c r="E59" s="8">
        <v>62037.655537379491</v>
      </c>
      <c r="F59" s="8">
        <v>4220.248676012211</v>
      </c>
      <c r="G59" s="8">
        <v>27920.979493976589</v>
      </c>
      <c r="H59" s="8">
        <v>2</v>
      </c>
      <c r="I59" s="8">
        <v>20</v>
      </c>
      <c r="J59" s="8">
        <v>-1</v>
      </c>
      <c r="K59" s="8">
        <v>4</v>
      </c>
    </row>
    <row r="60" spans="3:11" x14ac:dyDescent="0.3">
      <c r="C60" t="s">
        <v>157</v>
      </c>
      <c r="D60" s="8">
        <v>42663.249406235758</v>
      </c>
      <c r="E60" s="8">
        <v>62714.976627166558</v>
      </c>
      <c r="F60" s="8">
        <v>4266.3249406235764</v>
      </c>
      <c r="G60" s="8">
        <v>23253.588516746411</v>
      </c>
      <c r="H60" s="8">
        <v>2</v>
      </c>
      <c r="I60" s="8">
        <v>20</v>
      </c>
      <c r="J60" s="8">
        <v>-1</v>
      </c>
      <c r="K60" s="8">
        <v>4</v>
      </c>
    </row>
    <row r="61" spans="3:11" x14ac:dyDescent="0.3">
      <c r="C61" t="s">
        <v>158</v>
      </c>
      <c r="D61" s="8">
        <v>44337.160909174832</v>
      </c>
      <c r="E61" s="8">
        <v>65175.626536486991</v>
      </c>
      <c r="F61" s="8">
        <v>4433.7160909174827</v>
      </c>
      <c r="G61" s="8">
        <v>163</v>
      </c>
      <c r="H61" s="8">
        <v>5</v>
      </c>
      <c r="I61" s="8">
        <v>20</v>
      </c>
      <c r="J61" s="8">
        <v>-1</v>
      </c>
      <c r="K61" s="8">
        <v>4</v>
      </c>
    </row>
    <row r="62" spans="3:11" x14ac:dyDescent="0.3">
      <c r="C62" t="s">
        <v>159</v>
      </c>
      <c r="D62" s="8">
        <v>42202.486760122098</v>
      </c>
      <c r="E62" s="8">
        <v>62037.655537379491</v>
      </c>
      <c r="F62" s="8">
        <v>4220.248676012211</v>
      </c>
      <c r="G62" s="8">
        <v>9.3672579003157868</v>
      </c>
      <c r="H62" s="8">
        <v>4</v>
      </c>
      <c r="I62" s="8">
        <v>20</v>
      </c>
      <c r="J62" s="8">
        <v>-1</v>
      </c>
      <c r="K62" s="8">
        <v>4</v>
      </c>
    </row>
    <row r="63" spans="3:11" x14ac:dyDescent="0.3">
      <c r="C63" t="s">
        <v>160</v>
      </c>
      <c r="D63" s="8">
        <v>42663.249406235758</v>
      </c>
      <c r="E63" s="8">
        <v>62714.976627166558</v>
      </c>
      <c r="F63" s="8">
        <v>4266.3249406235764</v>
      </c>
      <c r="G63" s="8">
        <v>6501.7971838134636</v>
      </c>
      <c r="H63" s="8">
        <v>2</v>
      </c>
      <c r="I63" s="8">
        <v>20</v>
      </c>
      <c r="J63" s="8">
        <v>-1</v>
      </c>
      <c r="K63" s="8">
        <v>4</v>
      </c>
    </row>
    <row r="64" spans="3:11" x14ac:dyDescent="0.3">
      <c r="C64" t="s">
        <v>161</v>
      </c>
      <c r="D64" s="8">
        <v>42663.249406235758</v>
      </c>
      <c r="E64" s="8">
        <v>62714.976627166558</v>
      </c>
      <c r="F64" s="8">
        <v>4266.3249406235764</v>
      </c>
      <c r="G64" s="8">
        <v>8240.7261160325033</v>
      </c>
      <c r="H64" s="8">
        <v>2</v>
      </c>
      <c r="I64" s="8">
        <v>20</v>
      </c>
      <c r="J64" s="8">
        <v>-1</v>
      </c>
      <c r="K64" s="8">
        <v>4</v>
      </c>
    </row>
    <row r="65" spans="3:11" x14ac:dyDescent="0.3">
      <c r="C65" t="s">
        <v>162</v>
      </c>
      <c r="D65" s="8">
        <v>42663.249406235758</v>
      </c>
      <c r="E65" s="8">
        <v>62714.976627166558</v>
      </c>
      <c r="F65" s="8">
        <v>4266.3249406235764</v>
      </c>
      <c r="G65" s="8">
        <v>5324.4892791885486</v>
      </c>
      <c r="H65" s="8">
        <v>2</v>
      </c>
      <c r="I65" s="8">
        <v>20</v>
      </c>
      <c r="J65" s="8">
        <v>-1</v>
      </c>
      <c r="K65" s="8">
        <v>4</v>
      </c>
    </row>
    <row r="66" spans="3:11" x14ac:dyDescent="0.3">
      <c r="C66" t="s">
        <v>163</v>
      </c>
      <c r="D66" s="8">
        <v>42663.249406235758</v>
      </c>
      <c r="E66" s="8">
        <v>62714.976627166558</v>
      </c>
      <c r="F66" s="8">
        <v>4266.3249406235764</v>
      </c>
      <c r="G66" s="8">
        <v>9715.6455299265508</v>
      </c>
      <c r="H66" s="8">
        <v>2</v>
      </c>
      <c r="I66" s="8">
        <v>20</v>
      </c>
      <c r="J66" s="8">
        <v>-1</v>
      </c>
      <c r="K66" s="8">
        <v>4</v>
      </c>
    </row>
    <row r="67" spans="3:11" x14ac:dyDescent="0.3">
      <c r="C67" t="s">
        <v>164</v>
      </c>
      <c r="D67" s="8">
        <v>42663.249406235758</v>
      </c>
      <c r="E67" s="8">
        <v>62714.976627166558</v>
      </c>
      <c r="F67" s="8">
        <v>4266.3249406235764</v>
      </c>
      <c r="G67" s="8">
        <v>20845.402314445131</v>
      </c>
      <c r="H67" s="8">
        <v>2</v>
      </c>
      <c r="I67" s="8">
        <v>20</v>
      </c>
      <c r="J67" s="8">
        <v>-1</v>
      </c>
      <c r="K67" s="8">
        <v>4</v>
      </c>
    </row>
    <row r="68" spans="3:11" x14ac:dyDescent="0.3">
      <c r="C68" t="s">
        <v>165</v>
      </c>
      <c r="D68" s="8">
        <v>44337.160909174832</v>
      </c>
      <c r="E68" s="8">
        <v>65175.626536486991</v>
      </c>
      <c r="F68" s="8">
        <v>4433.7160909174827</v>
      </c>
      <c r="G68" s="8">
        <v>59.462665618414</v>
      </c>
      <c r="H68" s="8">
        <v>5</v>
      </c>
      <c r="I68" s="8">
        <v>20</v>
      </c>
      <c r="J68" s="8">
        <v>-1</v>
      </c>
      <c r="K68" s="8">
        <v>4</v>
      </c>
    </row>
    <row r="69" spans="3:11" x14ac:dyDescent="0.3">
      <c r="C69" t="s">
        <v>166</v>
      </c>
      <c r="D69" s="8">
        <v>42202.486760122098</v>
      </c>
      <c r="E69" s="8">
        <v>62037.655537379491</v>
      </c>
      <c r="F69" s="8">
        <v>4220.248676012211</v>
      </c>
      <c r="G69" s="8">
        <v>6144.6095400943996</v>
      </c>
      <c r="H69" s="8">
        <v>2</v>
      </c>
      <c r="I69" s="8">
        <v>20</v>
      </c>
      <c r="J69" s="8">
        <v>-1</v>
      </c>
      <c r="K69" s="8">
        <v>4</v>
      </c>
    </row>
    <row r="70" spans="3:11" x14ac:dyDescent="0.3">
      <c r="C70" t="s">
        <v>167</v>
      </c>
      <c r="D70" s="8">
        <v>45031.562584516112</v>
      </c>
      <c r="E70" s="8">
        <v>66196.396999238685</v>
      </c>
      <c r="F70" s="8">
        <v>4503.1562584516114</v>
      </c>
      <c r="G70" s="8">
        <v>100.8839498485932</v>
      </c>
      <c r="H70" s="8">
        <v>4</v>
      </c>
      <c r="I70" s="8">
        <v>20</v>
      </c>
      <c r="J70" s="8">
        <v>-1</v>
      </c>
      <c r="K70" s="8">
        <v>4</v>
      </c>
    </row>
    <row r="71" spans="3:11" x14ac:dyDescent="0.3">
      <c r="C71" t="s">
        <v>168</v>
      </c>
      <c r="D71" s="8">
        <v>42202.486760122098</v>
      </c>
      <c r="E71" s="8">
        <v>62037.655537379491</v>
      </c>
      <c r="F71" s="8">
        <v>4220.248676012211</v>
      </c>
      <c r="G71" s="8">
        <v>49.587062200933943</v>
      </c>
      <c r="H71" s="8">
        <v>5</v>
      </c>
      <c r="I71" s="8">
        <v>20</v>
      </c>
      <c r="J71" s="8">
        <v>-1</v>
      </c>
      <c r="K71" s="8">
        <v>4</v>
      </c>
    </row>
    <row r="72" spans="3:11" x14ac:dyDescent="0.3">
      <c r="C72" t="s">
        <v>169</v>
      </c>
      <c r="D72" s="8">
        <v>42202.486760122098</v>
      </c>
      <c r="E72" s="8">
        <v>62037.655537379491</v>
      </c>
      <c r="F72" s="8">
        <v>4220.248676012211</v>
      </c>
      <c r="G72" s="8">
        <v>9.0794227136598114</v>
      </c>
      <c r="H72" s="8">
        <v>5</v>
      </c>
      <c r="I72" s="8">
        <v>20</v>
      </c>
      <c r="J72" s="8">
        <v>-1</v>
      </c>
      <c r="K72" s="8">
        <v>4</v>
      </c>
    </row>
    <row r="73" spans="3:11" x14ac:dyDescent="0.3">
      <c r="C73" t="s">
        <v>170</v>
      </c>
      <c r="D73" s="8">
        <v>42202.486760122098</v>
      </c>
      <c r="E73" s="8">
        <v>62037.655537379491</v>
      </c>
      <c r="F73" s="8">
        <v>4220.248676012211</v>
      </c>
      <c r="G73" s="8">
        <v>5511.1687870966616</v>
      </c>
      <c r="H73" s="8">
        <v>2</v>
      </c>
      <c r="I73" s="8">
        <v>20</v>
      </c>
      <c r="J73" s="8">
        <v>-1</v>
      </c>
      <c r="K73" s="8">
        <v>4</v>
      </c>
    </row>
    <row r="74" spans="3:11" x14ac:dyDescent="0.3">
      <c r="C74" t="s">
        <v>171</v>
      </c>
      <c r="D74" s="8">
        <v>42202.486760122098</v>
      </c>
      <c r="E74" s="8">
        <v>62037.655537379491</v>
      </c>
      <c r="F74" s="8">
        <v>4220.248676012211</v>
      </c>
      <c r="G74" s="8">
        <v>5585.9984943099435</v>
      </c>
      <c r="H74" s="8">
        <v>2</v>
      </c>
      <c r="I74" s="8">
        <v>20</v>
      </c>
      <c r="J74" s="8">
        <v>-1</v>
      </c>
      <c r="K74" s="8">
        <v>4</v>
      </c>
    </row>
    <row r="75" spans="3:11" x14ac:dyDescent="0.3">
      <c r="C75" t="s">
        <v>172</v>
      </c>
      <c r="D75" s="8">
        <v>44337.160909174832</v>
      </c>
      <c r="E75" s="8">
        <v>65175.626536486991</v>
      </c>
      <c r="F75" s="8">
        <v>4433.7160909174827</v>
      </c>
      <c r="G75" s="8">
        <v>2.684885925664624</v>
      </c>
      <c r="H75" s="8">
        <v>5</v>
      </c>
      <c r="I75" s="8">
        <v>20</v>
      </c>
      <c r="J75" s="8">
        <v>-1</v>
      </c>
      <c r="K75" s="8">
        <v>4</v>
      </c>
    </row>
    <row r="76" spans="3:11" x14ac:dyDescent="0.3">
      <c r="C76" t="s">
        <v>173</v>
      </c>
      <c r="D76" s="8">
        <v>45000</v>
      </c>
      <c r="E76" s="8">
        <v>577210</v>
      </c>
      <c r="F76" s="8">
        <v>4500</v>
      </c>
      <c r="G76" s="8">
        <v>676.67</v>
      </c>
      <c r="H76" s="8">
        <v>1</v>
      </c>
      <c r="I76" s="8">
        <v>25</v>
      </c>
      <c r="J76" s="8">
        <v>-1</v>
      </c>
      <c r="K76" s="8">
        <v>5</v>
      </c>
    </row>
    <row r="77" spans="3:11" x14ac:dyDescent="0.3">
      <c r="C77" t="s">
        <v>174</v>
      </c>
      <c r="D77" s="8">
        <v>12059</v>
      </c>
      <c r="E77" s="8">
        <v>48235</v>
      </c>
      <c r="F77" s="8">
        <v>1447</v>
      </c>
      <c r="G77" s="8">
        <v>0.75</v>
      </c>
      <c r="H77" s="8">
        <v>1</v>
      </c>
      <c r="I77" s="8">
        <v>15</v>
      </c>
      <c r="J77" s="8">
        <v>0</v>
      </c>
      <c r="K77" s="8">
        <v>2</v>
      </c>
    </row>
    <row r="78" spans="3:11" x14ac:dyDescent="0.3">
      <c r="C78" t="s">
        <v>175</v>
      </c>
      <c r="D78" s="8">
        <v>12059</v>
      </c>
      <c r="E78" s="8">
        <v>48235</v>
      </c>
      <c r="F78" s="8">
        <v>1447</v>
      </c>
      <c r="G78" s="8">
        <v>0.75</v>
      </c>
      <c r="H78" s="8">
        <v>1</v>
      </c>
      <c r="I78" s="8">
        <v>15</v>
      </c>
      <c r="J78" s="8">
        <v>0</v>
      </c>
      <c r="K78" s="8">
        <v>2</v>
      </c>
    </row>
    <row r="79" spans="3:11" x14ac:dyDescent="0.3">
      <c r="C79" t="s">
        <v>176</v>
      </c>
      <c r="D79" s="8">
        <v>12059</v>
      </c>
      <c r="E79" s="8">
        <v>48235</v>
      </c>
      <c r="F79" s="8">
        <v>1447</v>
      </c>
      <c r="G79" s="8">
        <v>0.75</v>
      </c>
      <c r="H79" s="8">
        <v>1</v>
      </c>
      <c r="I79" s="8">
        <v>15</v>
      </c>
      <c r="J79" s="8">
        <v>0</v>
      </c>
      <c r="K79" s="8">
        <v>2</v>
      </c>
    </row>
    <row r="80" spans="3:11" x14ac:dyDescent="0.3">
      <c r="C80" t="s">
        <v>177</v>
      </c>
      <c r="D80" s="8">
        <v>12113</v>
      </c>
      <c r="E80" s="8">
        <v>48452</v>
      </c>
      <c r="F80" s="8">
        <v>1454</v>
      </c>
      <c r="G80" s="8">
        <v>1.5</v>
      </c>
      <c r="H80" s="8">
        <v>1</v>
      </c>
      <c r="I80" s="8">
        <v>15</v>
      </c>
      <c r="J80" s="8">
        <v>0</v>
      </c>
      <c r="K80" s="8">
        <v>2</v>
      </c>
    </row>
    <row r="81" spans="3:11" x14ac:dyDescent="0.3">
      <c r="C81" t="s">
        <v>178</v>
      </c>
      <c r="D81" s="8">
        <v>12113</v>
      </c>
      <c r="E81" s="8">
        <v>48452</v>
      </c>
      <c r="F81" s="8">
        <v>1454</v>
      </c>
      <c r="G81" s="8">
        <v>0.75</v>
      </c>
      <c r="H81" s="8">
        <v>1</v>
      </c>
      <c r="I81" s="8">
        <v>15</v>
      </c>
      <c r="J81" s="8">
        <v>0</v>
      </c>
      <c r="K81" s="8">
        <v>2</v>
      </c>
    </row>
    <row r="82" spans="3:11" x14ac:dyDescent="0.3">
      <c r="C82" t="s">
        <v>179</v>
      </c>
      <c r="D82" s="8">
        <v>12140</v>
      </c>
      <c r="E82" s="8">
        <v>48561</v>
      </c>
      <c r="F82" s="8">
        <v>1457</v>
      </c>
      <c r="G82" s="8">
        <v>0.75</v>
      </c>
      <c r="H82" s="8">
        <v>1</v>
      </c>
      <c r="I82" s="8">
        <v>15</v>
      </c>
      <c r="J82" s="8">
        <v>0</v>
      </c>
      <c r="K82" s="8">
        <v>2</v>
      </c>
    </row>
    <row r="83" spans="3:11" x14ac:dyDescent="0.3">
      <c r="C83" t="s">
        <v>180</v>
      </c>
      <c r="D83" s="8">
        <v>12067</v>
      </c>
      <c r="E83" s="8">
        <v>48266</v>
      </c>
      <c r="F83" s="8">
        <v>1448</v>
      </c>
      <c r="G83" s="8">
        <v>1.5</v>
      </c>
      <c r="H83" s="8">
        <v>1</v>
      </c>
      <c r="I83" s="8">
        <v>15</v>
      </c>
      <c r="J83" s="8">
        <v>0</v>
      </c>
      <c r="K83" s="8">
        <v>2</v>
      </c>
    </row>
    <row r="84" spans="3:11" x14ac:dyDescent="0.3">
      <c r="C84" t="s">
        <v>181</v>
      </c>
      <c r="D84" s="8">
        <v>12058</v>
      </c>
      <c r="E84" s="8">
        <v>48232</v>
      </c>
      <c r="F84" s="8">
        <v>1447</v>
      </c>
      <c r="G84" s="8">
        <v>0.75</v>
      </c>
      <c r="H84" s="8">
        <v>1</v>
      </c>
      <c r="I84" s="8">
        <v>15</v>
      </c>
      <c r="J84" s="8">
        <v>0</v>
      </c>
      <c r="K84" s="8">
        <v>2</v>
      </c>
    </row>
    <row r="85" spans="3:11" x14ac:dyDescent="0.3">
      <c r="C85" t="s">
        <v>182</v>
      </c>
      <c r="D85" s="8">
        <v>12118</v>
      </c>
      <c r="E85" s="8">
        <v>48473</v>
      </c>
      <c r="F85" s="8">
        <v>1454</v>
      </c>
      <c r="G85" s="8">
        <v>0.75</v>
      </c>
      <c r="H85" s="8">
        <v>1</v>
      </c>
      <c r="I85" s="8">
        <v>15</v>
      </c>
      <c r="J85" s="8">
        <v>0</v>
      </c>
      <c r="K85" s="8">
        <v>2</v>
      </c>
    </row>
    <row r="86" spans="3:11" x14ac:dyDescent="0.3">
      <c r="C86" t="s">
        <v>183</v>
      </c>
      <c r="D86" s="8">
        <v>12078</v>
      </c>
      <c r="E86" s="8">
        <v>48310</v>
      </c>
      <c r="F86" s="8">
        <v>1449</v>
      </c>
      <c r="G86" s="8">
        <v>0.75</v>
      </c>
      <c r="H86" s="8">
        <v>1</v>
      </c>
      <c r="I86" s="8">
        <v>15</v>
      </c>
      <c r="J86" s="8">
        <v>0</v>
      </c>
      <c r="K86" s="8">
        <v>2</v>
      </c>
    </row>
    <row r="87" spans="3:11" x14ac:dyDescent="0.3">
      <c r="C87" t="s">
        <v>184</v>
      </c>
      <c r="D87" s="8">
        <v>12059</v>
      </c>
      <c r="E87" s="8">
        <v>48234</v>
      </c>
      <c r="F87" s="8">
        <v>1447</v>
      </c>
      <c r="G87" s="8">
        <v>0.75</v>
      </c>
      <c r="H87" s="8">
        <v>1</v>
      </c>
      <c r="I87" s="8">
        <v>15</v>
      </c>
      <c r="J87" s="8">
        <v>0</v>
      </c>
      <c r="K87" s="8">
        <v>2</v>
      </c>
    </row>
    <row r="88" spans="3:11" x14ac:dyDescent="0.3">
      <c r="C88" t="s">
        <v>185</v>
      </c>
      <c r="D88" s="8">
        <v>12059</v>
      </c>
      <c r="E88" s="8">
        <v>48234</v>
      </c>
      <c r="F88" s="8">
        <v>1447</v>
      </c>
      <c r="G88" s="8">
        <v>0.75</v>
      </c>
      <c r="H88" s="8">
        <v>1</v>
      </c>
      <c r="I88" s="8">
        <v>15</v>
      </c>
      <c r="J88" s="8">
        <v>0</v>
      </c>
      <c r="K88" s="8">
        <v>2</v>
      </c>
    </row>
    <row r="89" spans="3:11" x14ac:dyDescent="0.3">
      <c r="C89" t="s">
        <v>186</v>
      </c>
      <c r="D89" s="8">
        <v>12059</v>
      </c>
      <c r="E89" s="8">
        <v>48234</v>
      </c>
      <c r="F89" s="8">
        <v>1447</v>
      </c>
      <c r="G89" s="8">
        <v>0.75</v>
      </c>
      <c r="H89" s="8">
        <v>1</v>
      </c>
      <c r="I89" s="8">
        <v>15</v>
      </c>
      <c r="J89" s="8">
        <v>0</v>
      </c>
      <c r="K89" s="8">
        <v>2</v>
      </c>
    </row>
    <row r="90" spans="3:11" x14ac:dyDescent="0.3">
      <c r="C90" t="s">
        <v>187</v>
      </c>
      <c r="D90" s="8">
        <v>12083</v>
      </c>
      <c r="E90" s="8">
        <v>48331</v>
      </c>
      <c r="F90" s="8">
        <v>1450</v>
      </c>
      <c r="G90" s="8">
        <v>0.75</v>
      </c>
      <c r="H90" s="8">
        <v>1</v>
      </c>
      <c r="I90" s="8">
        <v>15</v>
      </c>
      <c r="J90" s="8">
        <v>0</v>
      </c>
      <c r="K90" s="8">
        <v>2</v>
      </c>
    </row>
    <row r="91" spans="3:11" x14ac:dyDescent="0.3">
      <c r="C91" t="s">
        <v>188</v>
      </c>
      <c r="D91" s="8">
        <v>12059</v>
      </c>
      <c r="E91" s="8">
        <v>48234</v>
      </c>
      <c r="F91" s="8">
        <v>1447</v>
      </c>
      <c r="G91" s="8">
        <v>0.75</v>
      </c>
      <c r="H91" s="8">
        <v>1</v>
      </c>
      <c r="I91" s="8">
        <v>15</v>
      </c>
      <c r="J91" s="8">
        <v>0</v>
      </c>
      <c r="K91" s="8">
        <v>2</v>
      </c>
    </row>
    <row r="92" spans="3:11" x14ac:dyDescent="0.3">
      <c r="C92" t="s">
        <v>189</v>
      </c>
      <c r="D92" s="8">
        <v>12100</v>
      </c>
      <c r="E92" s="8">
        <v>48398</v>
      </c>
      <c r="F92" s="8">
        <v>1452</v>
      </c>
      <c r="G92" s="8">
        <v>0.75</v>
      </c>
      <c r="H92" s="8">
        <v>1</v>
      </c>
      <c r="I92" s="8">
        <v>15</v>
      </c>
      <c r="J92" s="8">
        <v>0</v>
      </c>
      <c r="K92" s="8">
        <v>2</v>
      </c>
    </row>
    <row r="93" spans="3:11" x14ac:dyDescent="0.3">
      <c r="C93" t="s">
        <v>190</v>
      </c>
      <c r="D93" s="8">
        <v>12045</v>
      </c>
      <c r="E93" s="8">
        <v>48179</v>
      </c>
      <c r="F93" s="8">
        <v>1445</v>
      </c>
      <c r="G93" s="8">
        <v>0.75</v>
      </c>
      <c r="H93" s="8">
        <v>1</v>
      </c>
      <c r="I93" s="8">
        <v>15</v>
      </c>
      <c r="J93" s="8">
        <v>0</v>
      </c>
      <c r="K93" s="8">
        <v>2</v>
      </c>
    </row>
    <row r="94" spans="3:11" x14ac:dyDescent="0.3">
      <c r="C94" t="s">
        <v>191</v>
      </c>
      <c r="D94" s="8">
        <v>12066</v>
      </c>
      <c r="E94" s="8">
        <v>48266</v>
      </c>
      <c r="F94" s="8">
        <v>1448</v>
      </c>
      <c r="G94" s="8">
        <v>0.75</v>
      </c>
      <c r="H94" s="8">
        <v>1</v>
      </c>
      <c r="I94" s="8">
        <v>15</v>
      </c>
      <c r="J94" s="8">
        <v>0</v>
      </c>
      <c r="K94" s="8">
        <v>2</v>
      </c>
    </row>
    <row r="95" spans="3:11" x14ac:dyDescent="0.3">
      <c r="C95" t="s">
        <v>192</v>
      </c>
      <c r="D95" s="8">
        <v>12059</v>
      </c>
      <c r="E95" s="8">
        <v>48234</v>
      </c>
      <c r="F95" s="8">
        <v>1447</v>
      </c>
      <c r="G95" s="8">
        <v>0.75</v>
      </c>
      <c r="H95" s="8">
        <v>1</v>
      </c>
      <c r="I95" s="8">
        <v>15</v>
      </c>
      <c r="J95" s="8">
        <v>0</v>
      </c>
      <c r="K95" s="8">
        <v>2</v>
      </c>
    </row>
    <row r="96" spans="3:11" x14ac:dyDescent="0.3">
      <c r="C96" t="s">
        <v>193</v>
      </c>
      <c r="D96" s="8">
        <v>12059</v>
      </c>
      <c r="E96" s="8">
        <v>48234</v>
      </c>
      <c r="F96" s="8">
        <v>1447</v>
      </c>
      <c r="G96" s="8">
        <v>0.75</v>
      </c>
      <c r="H96" s="8">
        <v>1</v>
      </c>
      <c r="I96" s="8">
        <v>15</v>
      </c>
      <c r="J96" s="8">
        <v>0</v>
      </c>
      <c r="K96" s="8">
        <v>2</v>
      </c>
    </row>
    <row r="97" spans="3:11" x14ac:dyDescent="0.3">
      <c r="C97" t="s">
        <v>194</v>
      </c>
      <c r="D97" s="8">
        <v>12059</v>
      </c>
      <c r="E97" s="8">
        <v>48234</v>
      </c>
      <c r="F97" s="8">
        <v>1447</v>
      </c>
      <c r="G97" s="8">
        <v>0.75</v>
      </c>
      <c r="H97" s="8">
        <v>1</v>
      </c>
      <c r="I97" s="8">
        <v>15</v>
      </c>
      <c r="J97" s="8">
        <v>0</v>
      </c>
      <c r="K97" s="8">
        <v>2</v>
      </c>
    </row>
    <row r="98" spans="3:11" x14ac:dyDescent="0.3">
      <c r="C98" t="s">
        <v>195</v>
      </c>
      <c r="D98" s="8">
        <v>12059</v>
      </c>
      <c r="E98" s="8">
        <v>48234</v>
      </c>
      <c r="F98" s="8">
        <v>1447</v>
      </c>
      <c r="G98" s="8">
        <v>0.75</v>
      </c>
      <c r="H98" s="8">
        <v>1</v>
      </c>
      <c r="I98" s="8">
        <v>15</v>
      </c>
      <c r="J98" s="8">
        <v>0</v>
      </c>
      <c r="K98" s="8">
        <v>2</v>
      </c>
    </row>
    <row r="99" spans="3:11" x14ac:dyDescent="0.3">
      <c r="C99" t="s">
        <v>196</v>
      </c>
      <c r="D99" s="8">
        <v>12059</v>
      </c>
      <c r="E99" s="8">
        <v>48234</v>
      </c>
      <c r="F99" s="8">
        <v>1447</v>
      </c>
      <c r="G99" s="8">
        <v>0.75</v>
      </c>
      <c r="H99" s="8">
        <v>1</v>
      </c>
      <c r="I99" s="8">
        <v>15</v>
      </c>
      <c r="J99" s="8">
        <v>0</v>
      </c>
      <c r="K99" s="8">
        <v>2</v>
      </c>
    </row>
    <row r="100" spans="3:11" x14ac:dyDescent="0.3">
      <c r="C100" t="s">
        <v>197</v>
      </c>
      <c r="D100" s="8">
        <v>12059</v>
      </c>
      <c r="E100" s="8">
        <v>48234</v>
      </c>
      <c r="F100" s="8">
        <v>1447</v>
      </c>
      <c r="G100" s="8">
        <v>0.75</v>
      </c>
      <c r="H100" s="8">
        <v>1</v>
      </c>
      <c r="I100" s="8">
        <v>15</v>
      </c>
      <c r="J100" s="8">
        <v>0</v>
      </c>
      <c r="K100" s="8">
        <v>2</v>
      </c>
    </row>
    <row r="101" spans="3:11" x14ac:dyDescent="0.3">
      <c r="C101" t="s">
        <v>198</v>
      </c>
      <c r="D101" s="8">
        <v>12059</v>
      </c>
      <c r="E101" s="8">
        <v>48234</v>
      </c>
      <c r="F101" s="8">
        <v>1447</v>
      </c>
      <c r="G101" s="8">
        <v>0.75</v>
      </c>
      <c r="H101" s="8">
        <v>1</v>
      </c>
      <c r="I101" s="8">
        <v>15</v>
      </c>
      <c r="J101" s="8">
        <v>0</v>
      </c>
      <c r="K101" s="8">
        <v>2</v>
      </c>
    </row>
    <row r="102" spans="3:11" x14ac:dyDescent="0.3">
      <c r="C102" t="s">
        <v>199</v>
      </c>
      <c r="D102" s="8">
        <v>12059</v>
      </c>
      <c r="E102" s="8">
        <v>48234</v>
      </c>
      <c r="F102" s="8">
        <v>1447</v>
      </c>
      <c r="G102" s="8">
        <v>0.75</v>
      </c>
      <c r="H102" s="8">
        <v>1</v>
      </c>
      <c r="I102" s="8">
        <v>15</v>
      </c>
      <c r="J102" s="8">
        <v>0</v>
      </c>
      <c r="K102" s="8">
        <v>2</v>
      </c>
    </row>
    <row r="103" spans="3:11" x14ac:dyDescent="0.3">
      <c r="C103" t="s">
        <v>200</v>
      </c>
      <c r="D103" s="8">
        <v>12059</v>
      </c>
      <c r="E103" s="8">
        <v>48234</v>
      </c>
      <c r="F103" s="8">
        <v>1447</v>
      </c>
      <c r="G103" s="8">
        <v>0.75</v>
      </c>
      <c r="H103" s="8">
        <v>1</v>
      </c>
      <c r="I103" s="8">
        <v>15</v>
      </c>
      <c r="J103" s="8">
        <v>0</v>
      </c>
      <c r="K103" s="8">
        <v>2</v>
      </c>
    </row>
    <row r="104" spans="3:11" x14ac:dyDescent="0.3">
      <c r="C104" t="s">
        <v>201</v>
      </c>
      <c r="D104" s="8">
        <v>12059</v>
      </c>
      <c r="E104" s="8">
        <v>48234</v>
      </c>
      <c r="F104" s="8">
        <v>1447</v>
      </c>
      <c r="G104" s="8">
        <v>0.75</v>
      </c>
      <c r="H104" s="8">
        <v>1</v>
      </c>
      <c r="I104" s="8">
        <v>15</v>
      </c>
      <c r="J104" s="8">
        <v>0</v>
      </c>
      <c r="K104" s="8">
        <v>2</v>
      </c>
    </row>
    <row r="105" spans="3:11" x14ac:dyDescent="0.3">
      <c r="C105" t="s">
        <v>202</v>
      </c>
      <c r="D105" s="8">
        <v>12059</v>
      </c>
      <c r="E105" s="8">
        <v>48234</v>
      </c>
      <c r="F105" s="8">
        <v>1447</v>
      </c>
      <c r="G105" s="8">
        <v>0.75</v>
      </c>
      <c r="H105" s="8">
        <v>1</v>
      </c>
      <c r="I105" s="8">
        <v>15</v>
      </c>
      <c r="J105" s="8">
        <v>0</v>
      </c>
      <c r="K105" s="8">
        <v>2</v>
      </c>
    </row>
    <row r="106" spans="3:11" x14ac:dyDescent="0.3">
      <c r="C106" t="s">
        <v>203</v>
      </c>
      <c r="D106" s="8">
        <v>12059</v>
      </c>
      <c r="E106" s="8">
        <v>48234</v>
      </c>
      <c r="F106" s="8">
        <v>1447</v>
      </c>
      <c r="G106" s="8">
        <v>0.75</v>
      </c>
      <c r="H106" s="8">
        <v>1</v>
      </c>
      <c r="I106" s="8">
        <v>15</v>
      </c>
      <c r="J106" s="8">
        <v>0</v>
      </c>
      <c r="K106" s="8">
        <v>2</v>
      </c>
    </row>
    <row r="107" spans="3:11" x14ac:dyDescent="0.3">
      <c r="C107" t="s">
        <v>204</v>
      </c>
      <c r="D107" s="8">
        <v>19017</v>
      </c>
      <c r="E107" s="8">
        <v>76067</v>
      </c>
      <c r="F107" s="8">
        <v>2282</v>
      </c>
      <c r="G107" s="8">
        <v>223.7</v>
      </c>
      <c r="H107" s="8">
        <v>1</v>
      </c>
      <c r="I107" s="8">
        <v>15</v>
      </c>
      <c r="J107" s="8">
        <v>0</v>
      </c>
      <c r="K107" s="8">
        <v>2</v>
      </c>
    </row>
    <row r="108" spans="3:11" x14ac:dyDescent="0.3">
      <c r="C108" t="s">
        <v>205</v>
      </c>
      <c r="D108" s="8">
        <v>250000</v>
      </c>
      <c r="E108" s="8">
        <v>1500000</v>
      </c>
      <c r="F108" s="8">
        <v>45000</v>
      </c>
      <c r="G108" s="8">
        <v>181</v>
      </c>
      <c r="H108" s="8">
        <v>1</v>
      </c>
      <c r="I108" s="8">
        <v>20</v>
      </c>
      <c r="J108" s="8">
        <v>0</v>
      </c>
      <c r="K108" s="8">
        <v>4</v>
      </c>
    </row>
    <row r="109" spans="3:11" x14ac:dyDescent="0.3">
      <c r="C109" t="s">
        <v>206</v>
      </c>
      <c r="D109" s="8">
        <v>35000</v>
      </c>
      <c r="E109" s="8">
        <v>43750</v>
      </c>
      <c r="F109" s="8">
        <v>1312.5</v>
      </c>
      <c r="G109" s="8">
        <v>75</v>
      </c>
      <c r="H109" s="8">
        <v>1</v>
      </c>
      <c r="I109" s="8">
        <v>15</v>
      </c>
      <c r="J109" s="8">
        <v>0</v>
      </c>
      <c r="K109" s="8">
        <v>2</v>
      </c>
    </row>
    <row r="110" spans="3:11" x14ac:dyDescent="0.3">
      <c r="C110" t="s">
        <v>207</v>
      </c>
      <c r="D110" s="8">
        <v>4500</v>
      </c>
      <c r="E110" s="8">
        <v>5625</v>
      </c>
      <c r="F110" s="8">
        <v>169</v>
      </c>
      <c r="G110" s="8">
        <v>1</v>
      </c>
      <c r="H110" s="8">
        <v>1</v>
      </c>
      <c r="I110" s="8">
        <v>15</v>
      </c>
      <c r="J110" s="8">
        <v>0</v>
      </c>
      <c r="K110" s="8">
        <v>2</v>
      </c>
    </row>
    <row r="111" spans="3:11" x14ac:dyDescent="0.3">
      <c r="C111" t="s">
        <v>208</v>
      </c>
      <c r="D111" s="8">
        <v>4500</v>
      </c>
      <c r="E111" s="8">
        <v>5625</v>
      </c>
      <c r="F111" s="8">
        <v>169</v>
      </c>
      <c r="G111" s="8">
        <v>1</v>
      </c>
      <c r="H111" s="8">
        <v>1</v>
      </c>
      <c r="I111" s="8">
        <v>12</v>
      </c>
      <c r="J111" s="8">
        <v>0</v>
      </c>
      <c r="K111" s="8">
        <v>2</v>
      </c>
    </row>
    <row r="112" spans="3:11" x14ac:dyDescent="0.3">
      <c r="C112" t="s">
        <v>209</v>
      </c>
      <c r="D112" s="8">
        <v>1000000</v>
      </c>
      <c r="E112" s="8">
        <v>2200000</v>
      </c>
      <c r="F112" s="8">
        <v>80000</v>
      </c>
      <c r="G112" s="8">
        <v>0</v>
      </c>
      <c r="H112" s="8">
        <v>0</v>
      </c>
      <c r="I112" s="8">
        <v>20</v>
      </c>
      <c r="J112" s="8">
        <v>-1</v>
      </c>
      <c r="K112" s="8">
        <v>4</v>
      </c>
    </row>
  </sheetData>
  <hyperlinks>
    <hyperlink ref="B2" location="'Home Sheet'!B2" display="BACK TO HOME SHEET" xr:uid="{B7B5F238-53CD-47D4-8097-DB3E60A19AB8}"/>
  </hyperlinks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I11"/>
  <sheetViews>
    <sheetView workbookViewId="0">
      <selection activeCell="B2" sqref="B2"/>
    </sheetView>
  </sheetViews>
  <sheetFormatPr defaultRowHeight="14.4" x14ac:dyDescent="0.3"/>
  <cols>
    <col min="2" max="2" width="19.5546875" bestFit="1" customWidth="1"/>
    <col min="3" max="3" width="17.33203125" bestFit="1" customWidth="1"/>
    <col min="4" max="4" width="17.44140625" customWidth="1"/>
    <col min="5" max="5" width="21.109375" customWidth="1"/>
    <col min="6" max="6" width="23.6640625" customWidth="1"/>
    <col min="7" max="7" width="16.109375" customWidth="1"/>
    <col min="8" max="8" width="17.109375" customWidth="1"/>
    <col min="9" max="9" width="13.6640625" customWidth="1"/>
  </cols>
  <sheetData>
    <row r="2" spans="2:9" x14ac:dyDescent="0.3">
      <c r="B2" s="2" t="s">
        <v>372</v>
      </c>
    </row>
    <row r="3" spans="2:9" x14ac:dyDescent="0.3">
      <c r="C3" s="3" t="s">
        <v>93</v>
      </c>
      <c r="D3" s="3" t="s">
        <v>210</v>
      </c>
      <c r="E3" s="3" t="s">
        <v>94</v>
      </c>
      <c r="F3" s="3" t="s">
        <v>211</v>
      </c>
      <c r="G3" s="3" t="s">
        <v>99</v>
      </c>
      <c r="H3" s="3" t="s">
        <v>212</v>
      </c>
      <c r="I3" s="3" t="s">
        <v>101</v>
      </c>
    </row>
    <row r="4" spans="2:9" x14ac:dyDescent="0.3">
      <c r="C4" t="s">
        <v>213</v>
      </c>
      <c r="D4">
        <v>0</v>
      </c>
      <c r="E4">
        <v>725000</v>
      </c>
      <c r="F4">
        <v>13050</v>
      </c>
      <c r="G4">
        <v>0</v>
      </c>
      <c r="H4">
        <v>-2</v>
      </c>
      <c r="I4">
        <v>7</v>
      </c>
    </row>
    <row r="5" spans="2:9" x14ac:dyDescent="0.3">
      <c r="C5" t="s">
        <v>214</v>
      </c>
      <c r="D5">
        <v>1</v>
      </c>
      <c r="E5">
        <v>67600</v>
      </c>
      <c r="F5">
        <v>8000</v>
      </c>
      <c r="G5">
        <v>20</v>
      </c>
      <c r="H5">
        <v>-2</v>
      </c>
      <c r="I5">
        <v>4</v>
      </c>
    </row>
    <row r="6" spans="2:9" x14ac:dyDescent="0.3">
      <c r="C6" t="s">
        <v>215</v>
      </c>
      <c r="D6">
        <v>1</v>
      </c>
      <c r="E6">
        <v>612720</v>
      </c>
      <c r="F6">
        <v>5000</v>
      </c>
      <c r="G6">
        <v>30</v>
      </c>
      <c r="H6">
        <v>-2</v>
      </c>
      <c r="I6">
        <v>5</v>
      </c>
    </row>
    <row r="7" spans="2:9" x14ac:dyDescent="0.3">
      <c r="C7" t="s">
        <v>216</v>
      </c>
      <c r="D7">
        <v>1</v>
      </c>
      <c r="E7">
        <v>79500</v>
      </c>
      <c r="F7">
        <v>25000</v>
      </c>
      <c r="G7">
        <v>20</v>
      </c>
      <c r="H7">
        <v>-2</v>
      </c>
      <c r="I7">
        <v>4</v>
      </c>
    </row>
    <row r="8" spans="2:9" x14ac:dyDescent="0.3">
      <c r="C8" t="s">
        <v>217</v>
      </c>
      <c r="D8">
        <v>1</v>
      </c>
      <c r="E8">
        <v>205000</v>
      </c>
      <c r="F8">
        <v>12000</v>
      </c>
      <c r="G8">
        <v>20</v>
      </c>
      <c r="H8">
        <v>-2</v>
      </c>
      <c r="I8">
        <v>4</v>
      </c>
    </row>
    <row r="9" spans="2:9" x14ac:dyDescent="0.3">
      <c r="C9" t="s">
        <v>218</v>
      </c>
      <c r="D9">
        <v>1</v>
      </c>
      <c r="E9">
        <v>6400000</v>
      </c>
      <c r="F9">
        <v>38000</v>
      </c>
      <c r="G9">
        <v>39</v>
      </c>
      <c r="H9">
        <v>-1</v>
      </c>
      <c r="I9">
        <v>6</v>
      </c>
    </row>
    <row r="10" spans="2:9" x14ac:dyDescent="0.3">
      <c r="C10" t="s">
        <v>219</v>
      </c>
      <c r="D10">
        <v>1</v>
      </c>
      <c r="E10">
        <v>150000</v>
      </c>
      <c r="F10">
        <v>0</v>
      </c>
      <c r="G10">
        <v>20</v>
      </c>
      <c r="H10">
        <v>-1</v>
      </c>
      <c r="I10">
        <v>4</v>
      </c>
    </row>
    <row r="11" spans="2:9" x14ac:dyDescent="0.3">
      <c r="C11" t="s">
        <v>220</v>
      </c>
      <c r="D11">
        <v>1</v>
      </c>
      <c r="E11">
        <v>137009</v>
      </c>
      <c r="F11">
        <v>0</v>
      </c>
      <c r="G11">
        <v>15</v>
      </c>
      <c r="H11">
        <v>-1</v>
      </c>
      <c r="I11">
        <v>2</v>
      </c>
    </row>
  </sheetData>
  <hyperlinks>
    <hyperlink ref="B2" location="'Home Sheet'!B2" display="BACK TO HOME SHEET" xr:uid="{6D6DDF10-6544-4E0F-99DE-9654F3AE8536}"/>
  </hyperlink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I5"/>
  <sheetViews>
    <sheetView workbookViewId="0">
      <selection activeCell="B2" sqref="B2"/>
    </sheetView>
  </sheetViews>
  <sheetFormatPr defaultRowHeight="14.4" x14ac:dyDescent="0.3"/>
  <cols>
    <col min="2" max="2" width="19.5546875" bestFit="1" customWidth="1"/>
    <col min="3" max="3" width="20.77734375" bestFit="1" customWidth="1"/>
    <col min="4" max="4" width="21.109375" customWidth="1"/>
    <col min="5" max="5" width="19.44140625" customWidth="1"/>
    <col min="6" max="6" width="21.44140625" customWidth="1"/>
    <col min="7" max="7" width="16.109375" customWidth="1"/>
    <col min="8" max="8" width="11" customWidth="1"/>
    <col min="9" max="9" width="13.6640625" customWidth="1"/>
  </cols>
  <sheetData>
    <row r="2" spans="2:9" x14ac:dyDescent="0.3">
      <c r="B2" s="2" t="s">
        <v>372</v>
      </c>
    </row>
    <row r="3" spans="2:9" x14ac:dyDescent="0.3">
      <c r="C3" s="3" t="s">
        <v>93</v>
      </c>
      <c r="D3" s="3" t="s">
        <v>94</v>
      </c>
      <c r="E3" s="3" t="s">
        <v>95</v>
      </c>
      <c r="F3" s="3" t="s">
        <v>96</v>
      </c>
      <c r="G3" s="3" t="s">
        <v>99</v>
      </c>
      <c r="H3" s="3" t="s">
        <v>100</v>
      </c>
      <c r="I3" s="3" t="s">
        <v>101</v>
      </c>
    </row>
    <row r="4" spans="2:9" x14ac:dyDescent="0.3">
      <c r="C4" t="s">
        <v>221</v>
      </c>
      <c r="D4" s="8">
        <v>239633</v>
      </c>
      <c r="E4" s="8">
        <v>1437795.9</v>
      </c>
      <c r="F4" s="8">
        <v>43133.876999999993</v>
      </c>
      <c r="G4" s="8">
        <v>20</v>
      </c>
      <c r="H4" s="8">
        <v>0</v>
      </c>
      <c r="I4" s="8">
        <v>4</v>
      </c>
    </row>
    <row r="5" spans="2:9" x14ac:dyDescent="0.3">
      <c r="C5" t="s">
        <v>222</v>
      </c>
      <c r="D5" s="8">
        <v>62204</v>
      </c>
      <c r="E5" s="8">
        <v>373224.5</v>
      </c>
      <c r="F5" s="8">
        <v>11196.735000000001</v>
      </c>
      <c r="G5" s="8">
        <v>20</v>
      </c>
      <c r="H5" s="8">
        <v>0</v>
      </c>
      <c r="I5" s="8">
        <v>4</v>
      </c>
    </row>
  </sheetData>
  <hyperlinks>
    <hyperlink ref="B2" location="'Home Sheet'!B2" display="BACK TO HOME SHEET" xr:uid="{C89D799C-B47B-478F-8AED-CB9594C7497D}"/>
  </hyperlinks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2:J16"/>
  <sheetViews>
    <sheetView workbookViewId="0">
      <selection activeCell="B2" sqref="B2"/>
    </sheetView>
  </sheetViews>
  <sheetFormatPr defaultRowHeight="14.4" x14ac:dyDescent="0.3"/>
  <cols>
    <col min="2" max="2" width="19.5546875" bestFit="1" customWidth="1"/>
    <col min="3" max="3" width="18" bestFit="1" customWidth="1"/>
    <col min="4" max="4" width="21.109375" customWidth="1"/>
    <col min="5" max="5" width="23.88671875" customWidth="1"/>
    <col min="6" max="6" width="16.33203125" customWidth="1"/>
    <col min="7" max="7" width="16.21875" customWidth="1"/>
    <col min="8" max="8" width="16.109375" customWidth="1"/>
    <col min="9" max="9" width="11" customWidth="1"/>
    <col min="10" max="10" width="13.6640625" customWidth="1"/>
  </cols>
  <sheetData>
    <row r="2" spans="2:10" x14ac:dyDescent="0.3">
      <c r="B2" s="2" t="s">
        <v>372</v>
      </c>
    </row>
    <row r="3" spans="2:10" x14ac:dyDescent="0.3">
      <c r="C3" s="3" t="s">
        <v>93</v>
      </c>
      <c r="D3" s="3" t="s">
        <v>94</v>
      </c>
      <c r="E3" s="3" t="s">
        <v>223</v>
      </c>
      <c r="F3" s="3" t="s">
        <v>224</v>
      </c>
      <c r="G3" s="3" t="s">
        <v>225</v>
      </c>
      <c r="H3" s="3" t="s">
        <v>99</v>
      </c>
      <c r="I3" s="3" t="s">
        <v>100</v>
      </c>
      <c r="J3" s="3" t="s">
        <v>101</v>
      </c>
    </row>
    <row r="4" spans="2:10" x14ac:dyDescent="0.3">
      <c r="C4" t="s">
        <v>226</v>
      </c>
      <c r="D4">
        <v>720000</v>
      </c>
      <c r="E4">
        <v>720000</v>
      </c>
      <c r="F4">
        <v>8000</v>
      </c>
      <c r="G4">
        <v>90</v>
      </c>
      <c r="H4">
        <v>10</v>
      </c>
      <c r="I4">
        <v>0</v>
      </c>
      <c r="J4">
        <v>2</v>
      </c>
    </row>
    <row r="5" spans="2:10" x14ac:dyDescent="0.3">
      <c r="C5" t="s">
        <v>227</v>
      </c>
      <c r="D5">
        <v>37800</v>
      </c>
      <c r="E5">
        <v>37800</v>
      </c>
      <c r="F5">
        <v>1400</v>
      </c>
      <c r="G5">
        <v>27</v>
      </c>
      <c r="H5">
        <v>10</v>
      </c>
      <c r="I5">
        <v>0</v>
      </c>
      <c r="J5">
        <v>2</v>
      </c>
    </row>
    <row r="6" spans="2:10" x14ac:dyDescent="0.3">
      <c r="C6" t="s">
        <v>228</v>
      </c>
      <c r="D6">
        <v>6400</v>
      </c>
      <c r="E6">
        <v>6400</v>
      </c>
      <c r="F6">
        <v>1600</v>
      </c>
      <c r="G6">
        <v>4</v>
      </c>
      <c r="H6">
        <v>10</v>
      </c>
      <c r="I6">
        <v>0</v>
      </c>
      <c r="J6">
        <v>2</v>
      </c>
    </row>
    <row r="7" spans="2:10" x14ac:dyDescent="0.3">
      <c r="C7" t="s">
        <v>229</v>
      </c>
      <c r="D7">
        <v>31500</v>
      </c>
      <c r="E7">
        <v>31500</v>
      </c>
      <c r="F7">
        <v>3500</v>
      </c>
      <c r="G7">
        <v>9</v>
      </c>
      <c r="H7">
        <v>10</v>
      </c>
      <c r="I7">
        <v>0</v>
      </c>
      <c r="J7">
        <v>2</v>
      </c>
    </row>
    <row r="8" spans="2:10" x14ac:dyDescent="0.3">
      <c r="C8" t="s">
        <v>230</v>
      </c>
      <c r="D8">
        <v>0</v>
      </c>
      <c r="E8">
        <v>0</v>
      </c>
      <c r="F8">
        <v>1500</v>
      </c>
      <c r="G8">
        <v>0</v>
      </c>
      <c r="H8">
        <v>10</v>
      </c>
      <c r="I8">
        <v>0</v>
      </c>
      <c r="J8">
        <v>2</v>
      </c>
    </row>
    <row r="9" spans="2:10" x14ac:dyDescent="0.3">
      <c r="C9" t="s">
        <v>231</v>
      </c>
      <c r="D9">
        <v>38000</v>
      </c>
      <c r="E9">
        <v>38000</v>
      </c>
      <c r="F9">
        <v>1900</v>
      </c>
      <c r="G9">
        <v>20</v>
      </c>
      <c r="H9">
        <v>10</v>
      </c>
      <c r="I9">
        <v>0</v>
      </c>
      <c r="J9">
        <v>2</v>
      </c>
    </row>
    <row r="10" spans="2:10" x14ac:dyDescent="0.3">
      <c r="C10" t="s">
        <v>232</v>
      </c>
      <c r="D10">
        <v>40000</v>
      </c>
      <c r="E10">
        <v>40000</v>
      </c>
      <c r="F10">
        <v>20000</v>
      </c>
      <c r="G10">
        <v>2</v>
      </c>
      <c r="H10">
        <v>10</v>
      </c>
      <c r="I10">
        <v>0</v>
      </c>
      <c r="J10">
        <v>2</v>
      </c>
    </row>
    <row r="11" spans="2:10" x14ac:dyDescent="0.3">
      <c r="C11" t="s">
        <v>233</v>
      </c>
      <c r="D11">
        <v>0</v>
      </c>
      <c r="E11">
        <v>0</v>
      </c>
      <c r="F11">
        <v>1300</v>
      </c>
      <c r="G11">
        <v>0</v>
      </c>
      <c r="H11">
        <v>10</v>
      </c>
      <c r="I11">
        <v>0</v>
      </c>
      <c r="J11">
        <v>2</v>
      </c>
    </row>
    <row r="12" spans="2:10" x14ac:dyDescent="0.3">
      <c r="C12" t="s">
        <v>234</v>
      </c>
      <c r="D12">
        <v>56000</v>
      </c>
      <c r="E12">
        <v>56000</v>
      </c>
      <c r="F12">
        <v>2000</v>
      </c>
      <c r="G12">
        <v>28</v>
      </c>
      <c r="H12">
        <v>10</v>
      </c>
      <c r="I12">
        <v>0</v>
      </c>
      <c r="J12">
        <v>2</v>
      </c>
    </row>
    <row r="13" spans="2:10" x14ac:dyDescent="0.3">
      <c r="C13" t="s">
        <v>235</v>
      </c>
      <c r="D13">
        <v>324000</v>
      </c>
      <c r="E13">
        <v>324000</v>
      </c>
      <c r="F13">
        <v>6000</v>
      </c>
      <c r="G13">
        <v>54</v>
      </c>
      <c r="H13">
        <v>10</v>
      </c>
      <c r="I13">
        <v>0</v>
      </c>
      <c r="J13">
        <v>2</v>
      </c>
    </row>
    <row r="14" spans="2:10" x14ac:dyDescent="0.3">
      <c r="C14" t="s">
        <v>236</v>
      </c>
      <c r="D14">
        <v>72000</v>
      </c>
      <c r="E14">
        <v>72000</v>
      </c>
      <c r="F14">
        <v>9000</v>
      </c>
      <c r="G14">
        <v>8</v>
      </c>
      <c r="H14">
        <v>10</v>
      </c>
      <c r="I14">
        <v>0</v>
      </c>
      <c r="J14">
        <v>2</v>
      </c>
    </row>
    <row r="15" spans="2:10" x14ac:dyDescent="0.3">
      <c r="C15" t="s">
        <v>237</v>
      </c>
      <c r="D15">
        <v>182000</v>
      </c>
      <c r="E15">
        <v>182000</v>
      </c>
      <c r="F15">
        <v>14000</v>
      </c>
      <c r="G15">
        <v>13</v>
      </c>
      <c r="H15">
        <v>10</v>
      </c>
      <c r="I15">
        <v>0</v>
      </c>
      <c r="J15">
        <v>2</v>
      </c>
    </row>
    <row r="16" spans="2:10" x14ac:dyDescent="0.3">
      <c r="C16" t="s">
        <v>238</v>
      </c>
      <c r="D16">
        <v>4000</v>
      </c>
      <c r="E16">
        <v>4000</v>
      </c>
      <c r="F16">
        <v>500</v>
      </c>
      <c r="G16">
        <v>8</v>
      </c>
      <c r="H16">
        <v>10</v>
      </c>
      <c r="I16">
        <v>0</v>
      </c>
      <c r="J16">
        <v>2</v>
      </c>
    </row>
  </sheetData>
  <hyperlinks>
    <hyperlink ref="B2" location="'Home Sheet'!B2" display="BACK TO HOME SHEET" xr:uid="{B6068B7C-59A9-48DC-8417-B974BE5FE8EF}"/>
  </hyperlinks>
  <pageMargins left="0.75" right="0.75" top="1" bottom="1" header="0.5" footer="0.5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2:F11"/>
  <sheetViews>
    <sheetView workbookViewId="0">
      <selection activeCell="B2" sqref="B2"/>
    </sheetView>
  </sheetViews>
  <sheetFormatPr defaultRowHeight="14.4" x14ac:dyDescent="0.3"/>
  <cols>
    <col min="2" max="2" width="19.5546875" bestFit="1" customWidth="1"/>
    <col min="3" max="3" width="11" bestFit="1" customWidth="1"/>
    <col min="4" max="4" width="15.5546875" customWidth="1"/>
    <col min="5" max="5" width="23.33203125" customWidth="1"/>
    <col min="6" max="6" width="21" customWidth="1"/>
  </cols>
  <sheetData>
    <row r="2" spans="2:6" x14ac:dyDescent="0.3">
      <c r="B2" s="2" t="s">
        <v>372</v>
      </c>
    </row>
    <row r="3" spans="2:6" x14ac:dyDescent="0.3">
      <c r="C3" s="3" t="s">
        <v>93</v>
      </c>
      <c r="D3" s="3" t="s">
        <v>239</v>
      </c>
      <c r="E3" s="3" t="s">
        <v>240</v>
      </c>
      <c r="F3" s="3" t="s">
        <v>241</v>
      </c>
    </row>
    <row r="4" spans="2:6" x14ac:dyDescent="0.3">
      <c r="C4" t="s">
        <v>242</v>
      </c>
      <c r="D4" s="8">
        <v>2205</v>
      </c>
      <c r="E4" s="8">
        <v>1093.68</v>
      </c>
      <c r="F4" s="8">
        <v>2411564.4</v>
      </c>
    </row>
    <row r="5" spans="2:6" x14ac:dyDescent="0.3">
      <c r="C5" t="s">
        <v>243</v>
      </c>
      <c r="D5" s="8">
        <v>1102</v>
      </c>
      <c r="E5" s="8">
        <v>750.96</v>
      </c>
      <c r="F5" s="8">
        <v>827557.92</v>
      </c>
    </row>
    <row r="6" spans="2:6" x14ac:dyDescent="0.3">
      <c r="C6" t="s">
        <v>244</v>
      </c>
      <c r="D6" s="8">
        <v>882</v>
      </c>
      <c r="E6" s="8">
        <v>2957.64</v>
      </c>
      <c r="F6" s="8">
        <v>2608638.48</v>
      </c>
    </row>
    <row r="7" spans="2:6" x14ac:dyDescent="0.3">
      <c r="C7" t="s">
        <v>245</v>
      </c>
      <c r="D7" s="8">
        <v>1102</v>
      </c>
      <c r="E7" s="8">
        <v>609</v>
      </c>
      <c r="F7" s="8">
        <v>671118</v>
      </c>
    </row>
    <row r="8" spans="2:6" x14ac:dyDescent="0.3">
      <c r="C8" t="s">
        <v>246</v>
      </c>
      <c r="D8" s="8">
        <v>4960</v>
      </c>
      <c r="E8" s="8">
        <v>166.32</v>
      </c>
      <c r="F8" s="8">
        <v>824947.19999999995</v>
      </c>
    </row>
    <row r="9" spans="2:6" x14ac:dyDescent="0.3">
      <c r="C9" t="s">
        <v>247</v>
      </c>
      <c r="D9" s="8">
        <v>1896</v>
      </c>
      <c r="E9" s="8">
        <v>5.04</v>
      </c>
      <c r="F9" s="8">
        <v>9555.84</v>
      </c>
    </row>
    <row r="10" spans="2:6" x14ac:dyDescent="0.3">
      <c r="C10" t="s">
        <v>248</v>
      </c>
      <c r="D10" s="8">
        <v>1607</v>
      </c>
      <c r="E10" s="8">
        <v>103.37</v>
      </c>
      <c r="F10" s="8">
        <v>166115.59</v>
      </c>
    </row>
    <row r="11" spans="2:6" x14ac:dyDescent="0.3">
      <c r="C11" t="s">
        <v>249</v>
      </c>
      <c r="D11" s="8">
        <v>0</v>
      </c>
      <c r="E11" s="8">
        <v>5686.0099999999993</v>
      </c>
      <c r="F11" s="8">
        <v>7519497.4300000006</v>
      </c>
    </row>
  </sheetData>
  <hyperlinks>
    <hyperlink ref="B2" location="'Home Sheet'!B2" display="BACK TO HOME SHEET" xr:uid="{A4D7C62C-FCDA-4080-968B-FFC74E2A2D9C}"/>
  </hyperlinks>
  <pageMargins left="0.75" right="0.75" top="1" bottom="1" header="0.5" footer="0.5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2:F7"/>
  <sheetViews>
    <sheetView workbookViewId="0">
      <selection activeCell="B2" sqref="B2"/>
    </sheetView>
  </sheetViews>
  <sheetFormatPr defaultRowHeight="14.4" x14ac:dyDescent="0.3"/>
  <cols>
    <col min="2" max="2" width="19.5546875" bestFit="1" customWidth="1"/>
    <col min="3" max="3" width="10.109375" bestFit="1" customWidth="1"/>
    <col min="4" max="4" width="22.44140625" customWidth="1"/>
    <col min="5" max="5" width="22.5546875" customWidth="1"/>
    <col min="6" max="6" width="19.109375" customWidth="1"/>
  </cols>
  <sheetData>
    <row r="2" spans="2:6" x14ac:dyDescent="0.3">
      <c r="B2" s="2" t="s">
        <v>372</v>
      </c>
    </row>
    <row r="3" spans="2:6" x14ac:dyDescent="0.3">
      <c r="C3" s="3" t="s">
        <v>93</v>
      </c>
      <c r="D3" s="3" t="s">
        <v>250</v>
      </c>
      <c r="E3" s="3" t="s">
        <v>251</v>
      </c>
      <c r="F3" s="3" t="s">
        <v>252</v>
      </c>
    </row>
    <row r="4" spans="2:6" x14ac:dyDescent="0.3">
      <c r="C4" t="s">
        <v>38</v>
      </c>
      <c r="D4">
        <v>7.5</v>
      </c>
      <c r="E4">
        <v>10</v>
      </c>
      <c r="F4">
        <v>5280000</v>
      </c>
    </row>
    <row r="5" spans="2:6" x14ac:dyDescent="0.3">
      <c r="C5" t="s">
        <v>39</v>
      </c>
      <c r="D5">
        <v>9.5</v>
      </c>
      <c r="E5">
        <v>11.5</v>
      </c>
      <c r="F5">
        <v>2050000</v>
      </c>
    </row>
    <row r="6" spans="2:6" x14ac:dyDescent="0.3">
      <c r="C6" t="s">
        <v>40</v>
      </c>
      <c r="D6">
        <v>35</v>
      </c>
      <c r="E6">
        <v>65</v>
      </c>
      <c r="F6">
        <v>290000</v>
      </c>
    </row>
    <row r="7" spans="2:6" x14ac:dyDescent="0.3">
      <c r="C7" t="s">
        <v>41</v>
      </c>
      <c r="D7">
        <v>570</v>
      </c>
      <c r="E7">
        <v>570</v>
      </c>
      <c r="F7">
        <v>2000</v>
      </c>
    </row>
  </sheetData>
  <hyperlinks>
    <hyperlink ref="B2" location="'Home Sheet'!B2" display="BACK TO HOME SHEET" xr:uid="{7F0BD81F-F0A8-40D3-B04C-03EE941AF26D}"/>
  </hyperlinks>
  <pageMargins left="0.75" right="0.75" top="1" bottom="1" header="0.5" footer="0.5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2:Z32"/>
  <sheetViews>
    <sheetView workbookViewId="0">
      <selection activeCell="M16" sqref="M16"/>
    </sheetView>
  </sheetViews>
  <sheetFormatPr defaultRowHeight="14.4" x14ac:dyDescent="0.3"/>
  <cols>
    <col min="2" max="2" width="19.5546875" bestFit="1" customWidth="1"/>
    <col min="3" max="3" width="23" bestFit="1" customWidth="1"/>
    <col min="4" max="4" width="14.88671875" customWidth="1"/>
    <col min="5" max="5" width="17.88671875" customWidth="1"/>
    <col min="6" max="6" width="16.44140625" customWidth="1"/>
    <col min="7" max="7" width="22" customWidth="1"/>
    <col min="8" max="8" width="26" customWidth="1"/>
    <col min="9" max="9" width="21.109375" customWidth="1"/>
    <col min="10" max="10" width="21.88671875" customWidth="1"/>
    <col min="11" max="11" width="20.5546875" customWidth="1"/>
    <col min="12" max="12" width="19.77734375" customWidth="1"/>
    <col min="13" max="13" width="19.5546875" customWidth="1"/>
    <col min="14" max="14" width="24.88671875" customWidth="1"/>
    <col min="15" max="15" width="26" customWidth="1"/>
    <col min="16" max="16" width="25.77734375" customWidth="1"/>
    <col min="17" max="17" width="24.77734375" customWidth="1"/>
    <col min="18" max="18" width="22.44140625" customWidth="1"/>
    <col min="19" max="19" width="26.109375" customWidth="1"/>
    <col min="20" max="20" width="17.88671875" customWidth="1"/>
    <col min="21" max="21" width="18.6640625" customWidth="1"/>
    <col min="22" max="22" width="20.33203125" customWidth="1"/>
    <col min="23" max="23" width="24.44140625" customWidth="1"/>
    <col min="24" max="24" width="24.5546875" customWidth="1"/>
    <col min="25" max="25" width="25.5546875" customWidth="1"/>
    <col min="26" max="26" width="32.44140625" customWidth="1"/>
  </cols>
  <sheetData>
    <row r="2" spans="2:26" x14ac:dyDescent="0.3">
      <c r="B2" s="2" t="s">
        <v>372</v>
      </c>
    </row>
    <row r="3" spans="2:26" x14ac:dyDescent="0.3">
      <c r="C3" s="3" t="s">
        <v>253</v>
      </c>
      <c r="D3" s="3" t="s">
        <v>254</v>
      </c>
      <c r="E3" s="3" t="s">
        <v>255</v>
      </c>
      <c r="F3" s="3" t="s">
        <v>256</v>
      </c>
      <c r="G3" s="3" t="s">
        <v>257</v>
      </c>
      <c r="H3" s="3" t="s">
        <v>258</v>
      </c>
      <c r="I3" s="3" t="s">
        <v>259</v>
      </c>
      <c r="J3" s="3" t="s">
        <v>260</v>
      </c>
      <c r="K3" s="3" t="s">
        <v>261</v>
      </c>
      <c r="L3" s="3" t="s">
        <v>262</v>
      </c>
      <c r="M3" s="3" t="s">
        <v>263</v>
      </c>
      <c r="N3" s="3" t="s">
        <v>264</v>
      </c>
      <c r="O3" s="3" t="s">
        <v>265</v>
      </c>
      <c r="P3" s="3" t="s">
        <v>266</v>
      </c>
      <c r="Q3" s="3" t="s">
        <v>267</v>
      </c>
      <c r="R3" s="3" t="s">
        <v>268</v>
      </c>
      <c r="S3" s="3" t="s">
        <v>269</v>
      </c>
      <c r="T3" s="3" t="s">
        <v>270</v>
      </c>
      <c r="U3" s="3" t="s">
        <v>271</v>
      </c>
      <c r="V3" s="3" t="s">
        <v>272</v>
      </c>
      <c r="W3" s="3" t="s">
        <v>273</v>
      </c>
      <c r="X3" s="3" t="s">
        <v>274</v>
      </c>
      <c r="Y3" s="3" t="s">
        <v>275</v>
      </c>
      <c r="Z3" s="3" t="s">
        <v>276</v>
      </c>
    </row>
    <row r="4" spans="2:26" x14ac:dyDescent="0.3">
      <c r="C4" t="s">
        <v>277</v>
      </c>
      <c r="D4">
        <v>1</v>
      </c>
      <c r="E4">
        <v>200000</v>
      </c>
      <c r="F4" s="8">
        <v>91.575091575091577</v>
      </c>
      <c r="G4">
        <v>200000</v>
      </c>
      <c r="H4" s="8">
        <v>127678</v>
      </c>
      <c r="I4" s="8">
        <v>327678</v>
      </c>
      <c r="J4">
        <v>0</v>
      </c>
      <c r="K4" s="8">
        <v>0</v>
      </c>
      <c r="L4" s="8">
        <v>1000</v>
      </c>
      <c r="M4" s="8">
        <v>0</v>
      </c>
      <c r="N4" s="8">
        <v>14339</v>
      </c>
      <c r="O4" s="8">
        <v>5400</v>
      </c>
      <c r="P4" s="8">
        <v>2900</v>
      </c>
      <c r="Q4" s="8">
        <v>400</v>
      </c>
      <c r="R4" s="8">
        <v>28000</v>
      </c>
      <c r="S4" s="8">
        <v>51039</v>
      </c>
      <c r="T4" s="8">
        <v>600</v>
      </c>
      <c r="U4" s="8">
        <v>600</v>
      </c>
      <c r="V4" s="8">
        <v>800</v>
      </c>
      <c r="W4" s="8">
        <v>800</v>
      </c>
      <c r="X4" s="8">
        <v>2000</v>
      </c>
      <c r="Y4" s="8">
        <v>7000</v>
      </c>
      <c r="Z4" s="8">
        <v>12800</v>
      </c>
    </row>
    <row r="5" spans="2:26" x14ac:dyDescent="0.3">
      <c r="C5" t="s">
        <v>278</v>
      </c>
      <c r="D5">
        <v>1</v>
      </c>
      <c r="E5">
        <v>150000</v>
      </c>
      <c r="F5" s="8">
        <v>68.681318681318686</v>
      </c>
      <c r="G5">
        <v>150000</v>
      </c>
      <c r="H5" s="8">
        <v>97700</v>
      </c>
      <c r="I5" s="8">
        <v>247700</v>
      </c>
      <c r="J5">
        <v>0</v>
      </c>
      <c r="K5" s="8">
        <v>0</v>
      </c>
      <c r="L5" s="8">
        <v>1000</v>
      </c>
      <c r="M5" s="8">
        <v>0</v>
      </c>
      <c r="N5" s="8">
        <v>11475</v>
      </c>
      <c r="O5" s="8">
        <v>4050</v>
      </c>
      <c r="P5" s="8">
        <v>2175</v>
      </c>
      <c r="Q5" s="8">
        <v>300</v>
      </c>
      <c r="R5" s="8">
        <v>21000</v>
      </c>
      <c r="S5" s="8">
        <v>39000</v>
      </c>
      <c r="T5" s="8">
        <v>450</v>
      </c>
      <c r="U5" s="8">
        <v>450</v>
      </c>
      <c r="V5" s="8">
        <v>600</v>
      </c>
      <c r="W5" s="8">
        <v>600</v>
      </c>
      <c r="X5" s="8">
        <v>1500</v>
      </c>
      <c r="Y5" s="8">
        <v>5250</v>
      </c>
      <c r="Z5" s="8">
        <v>9850</v>
      </c>
    </row>
    <row r="6" spans="2:26" x14ac:dyDescent="0.3">
      <c r="C6" t="s">
        <v>279</v>
      </c>
      <c r="D6">
        <v>1</v>
      </c>
      <c r="E6">
        <v>150000</v>
      </c>
      <c r="F6" s="8">
        <v>68.681318681318686</v>
      </c>
      <c r="G6">
        <v>150000</v>
      </c>
      <c r="H6" s="8">
        <v>97700</v>
      </c>
      <c r="I6" s="8">
        <v>247700</v>
      </c>
      <c r="J6">
        <v>0</v>
      </c>
      <c r="K6" s="8">
        <v>0</v>
      </c>
      <c r="L6" s="8">
        <v>1000</v>
      </c>
      <c r="M6" s="8">
        <v>0</v>
      </c>
      <c r="N6" s="8">
        <v>11475</v>
      </c>
      <c r="O6" s="8">
        <v>4050</v>
      </c>
      <c r="P6" s="8">
        <v>2175</v>
      </c>
      <c r="Q6" s="8">
        <v>300</v>
      </c>
      <c r="R6" s="8">
        <v>21000</v>
      </c>
      <c r="S6" s="8">
        <v>39000</v>
      </c>
      <c r="T6" s="8">
        <v>450</v>
      </c>
      <c r="U6" s="8">
        <v>450</v>
      </c>
      <c r="V6" s="8">
        <v>600</v>
      </c>
      <c r="W6" s="8">
        <v>600</v>
      </c>
      <c r="X6" s="8">
        <v>1500</v>
      </c>
      <c r="Y6" s="8">
        <v>5250</v>
      </c>
      <c r="Z6" s="8">
        <v>9850</v>
      </c>
    </row>
    <row r="7" spans="2:26" x14ac:dyDescent="0.3">
      <c r="C7" t="s">
        <v>280</v>
      </c>
      <c r="D7">
        <v>4</v>
      </c>
      <c r="E7">
        <v>110000</v>
      </c>
      <c r="F7" s="8">
        <v>50.366300366300358</v>
      </c>
      <c r="G7">
        <v>440000</v>
      </c>
      <c r="H7" s="8">
        <v>298920</v>
      </c>
      <c r="I7" s="8">
        <v>738920</v>
      </c>
      <c r="J7">
        <v>1</v>
      </c>
      <c r="K7" s="8">
        <v>0</v>
      </c>
      <c r="L7" s="8">
        <v>4000</v>
      </c>
      <c r="M7" s="8">
        <v>10200</v>
      </c>
      <c r="N7" s="8">
        <v>33660</v>
      </c>
      <c r="O7" s="8">
        <v>11880</v>
      </c>
      <c r="P7" s="8">
        <v>6380</v>
      </c>
      <c r="Q7" s="8">
        <v>880</v>
      </c>
      <c r="R7" s="8">
        <v>61600.000000000007</v>
      </c>
      <c r="S7" s="8">
        <v>114400</v>
      </c>
      <c r="T7" s="8">
        <v>1320</v>
      </c>
      <c r="U7" s="8">
        <v>1320</v>
      </c>
      <c r="V7" s="8">
        <v>1760</v>
      </c>
      <c r="W7" s="8">
        <v>1760</v>
      </c>
      <c r="X7" s="8">
        <v>4400</v>
      </c>
      <c r="Y7" s="8">
        <v>15400</v>
      </c>
      <c r="Z7" s="8">
        <v>29960</v>
      </c>
    </row>
    <row r="8" spans="2:26" x14ac:dyDescent="0.3">
      <c r="C8" t="s">
        <v>281</v>
      </c>
      <c r="D8">
        <v>4</v>
      </c>
      <c r="E8">
        <v>80000</v>
      </c>
      <c r="F8" s="8">
        <v>36.630036630036628</v>
      </c>
      <c r="G8">
        <v>320000</v>
      </c>
      <c r="H8" s="8">
        <v>222360</v>
      </c>
      <c r="I8" s="8">
        <v>542360</v>
      </c>
      <c r="J8">
        <v>1</v>
      </c>
      <c r="K8" s="8">
        <v>0</v>
      </c>
      <c r="L8" s="8">
        <v>4000</v>
      </c>
      <c r="M8" s="8">
        <v>10200</v>
      </c>
      <c r="N8" s="8">
        <v>24480</v>
      </c>
      <c r="O8" s="8">
        <v>8640</v>
      </c>
      <c r="P8" s="8">
        <v>4640</v>
      </c>
      <c r="Q8" s="8">
        <v>640</v>
      </c>
      <c r="R8" s="8">
        <v>44800.000000000007</v>
      </c>
      <c r="S8" s="8">
        <v>83200</v>
      </c>
      <c r="T8" s="8">
        <v>960</v>
      </c>
      <c r="U8" s="8">
        <v>960</v>
      </c>
      <c r="V8" s="8">
        <v>1280</v>
      </c>
      <c r="W8" s="8">
        <v>1280</v>
      </c>
      <c r="X8" s="8">
        <v>3200</v>
      </c>
      <c r="Y8" s="8">
        <v>11200</v>
      </c>
      <c r="Z8" s="8">
        <v>22880</v>
      </c>
    </row>
    <row r="9" spans="2:26" x14ac:dyDescent="0.3">
      <c r="C9" t="s">
        <v>282</v>
      </c>
      <c r="D9">
        <v>4</v>
      </c>
      <c r="E9">
        <v>120000</v>
      </c>
      <c r="F9" s="8">
        <v>54.945054945054942</v>
      </c>
      <c r="G9">
        <v>480000</v>
      </c>
      <c r="H9" s="8">
        <v>324440</v>
      </c>
      <c r="I9" s="8">
        <v>804440</v>
      </c>
      <c r="J9">
        <v>1</v>
      </c>
      <c r="K9" s="8">
        <v>0</v>
      </c>
      <c r="L9" s="8">
        <v>4000</v>
      </c>
      <c r="M9" s="8">
        <v>10200</v>
      </c>
      <c r="N9" s="8">
        <v>36720</v>
      </c>
      <c r="O9" s="8">
        <v>12960</v>
      </c>
      <c r="P9" s="8">
        <v>6960</v>
      </c>
      <c r="Q9" s="8">
        <v>960</v>
      </c>
      <c r="R9" s="8">
        <v>67200</v>
      </c>
      <c r="S9" s="8">
        <v>124800</v>
      </c>
      <c r="T9" s="8">
        <v>1440</v>
      </c>
      <c r="U9" s="8">
        <v>1440</v>
      </c>
      <c r="V9" s="8">
        <v>1920</v>
      </c>
      <c r="W9" s="8">
        <v>1920</v>
      </c>
      <c r="X9" s="8">
        <v>4800</v>
      </c>
      <c r="Y9" s="8">
        <v>16800</v>
      </c>
      <c r="Z9" s="8">
        <v>32320</v>
      </c>
    </row>
    <row r="10" spans="2:26" x14ac:dyDescent="0.3">
      <c r="C10" t="s">
        <v>283</v>
      </c>
      <c r="D10">
        <v>4</v>
      </c>
      <c r="E10">
        <v>90000</v>
      </c>
      <c r="F10" s="8">
        <v>41.208791208791212</v>
      </c>
      <c r="G10">
        <v>360000</v>
      </c>
      <c r="H10" s="8">
        <v>247880</v>
      </c>
      <c r="I10" s="8">
        <v>607880</v>
      </c>
      <c r="J10">
        <v>1</v>
      </c>
      <c r="K10" s="8">
        <v>0</v>
      </c>
      <c r="L10" s="8">
        <v>4000</v>
      </c>
      <c r="M10" s="8">
        <v>10200</v>
      </c>
      <c r="N10" s="8">
        <v>27540</v>
      </c>
      <c r="O10" s="8">
        <v>9720</v>
      </c>
      <c r="P10" s="8">
        <v>5220</v>
      </c>
      <c r="Q10" s="8">
        <v>720</v>
      </c>
      <c r="R10" s="8">
        <v>50400.000000000007</v>
      </c>
      <c r="S10" s="8">
        <v>93600</v>
      </c>
      <c r="T10" s="8">
        <v>1080</v>
      </c>
      <c r="U10" s="8">
        <v>1080</v>
      </c>
      <c r="V10" s="8">
        <v>1440</v>
      </c>
      <c r="W10" s="8">
        <v>1440</v>
      </c>
      <c r="X10" s="8">
        <v>3600</v>
      </c>
      <c r="Y10" s="8">
        <v>12600</v>
      </c>
      <c r="Z10" s="8">
        <v>25240</v>
      </c>
    </row>
    <row r="11" spans="2:26" x14ac:dyDescent="0.3">
      <c r="C11" t="s">
        <v>284</v>
      </c>
      <c r="D11">
        <v>4</v>
      </c>
      <c r="E11">
        <v>80000</v>
      </c>
      <c r="F11" s="8">
        <v>36.630036630036628</v>
      </c>
      <c r="G11">
        <v>320000</v>
      </c>
      <c r="H11" s="8">
        <v>222360</v>
      </c>
      <c r="I11" s="8">
        <v>542360</v>
      </c>
      <c r="J11">
        <v>1</v>
      </c>
      <c r="K11" s="8">
        <v>0</v>
      </c>
      <c r="L11" s="8">
        <v>4000</v>
      </c>
      <c r="M11" s="8">
        <v>10200</v>
      </c>
      <c r="N11" s="8">
        <v>24480</v>
      </c>
      <c r="O11" s="8">
        <v>8640</v>
      </c>
      <c r="P11" s="8">
        <v>4640</v>
      </c>
      <c r="Q11" s="8">
        <v>640</v>
      </c>
      <c r="R11" s="8">
        <v>44800.000000000007</v>
      </c>
      <c r="S11" s="8">
        <v>83200</v>
      </c>
      <c r="T11" s="8">
        <v>960</v>
      </c>
      <c r="U11" s="8">
        <v>960</v>
      </c>
      <c r="V11" s="8">
        <v>1280</v>
      </c>
      <c r="W11" s="8">
        <v>1280</v>
      </c>
      <c r="X11" s="8">
        <v>3200</v>
      </c>
      <c r="Y11" s="8">
        <v>11200</v>
      </c>
      <c r="Z11" s="8">
        <v>22880</v>
      </c>
    </row>
    <row r="12" spans="2:26" x14ac:dyDescent="0.3">
      <c r="C12" t="s">
        <v>285</v>
      </c>
      <c r="D12">
        <v>4</v>
      </c>
      <c r="E12">
        <v>90000</v>
      </c>
      <c r="F12" s="8">
        <v>41.208791208791212</v>
      </c>
      <c r="G12">
        <v>360000</v>
      </c>
      <c r="H12" s="8">
        <v>247880</v>
      </c>
      <c r="I12" s="8">
        <v>607880</v>
      </c>
      <c r="J12">
        <v>1</v>
      </c>
      <c r="K12" s="8">
        <v>0</v>
      </c>
      <c r="L12" s="8">
        <v>4000</v>
      </c>
      <c r="M12" s="8">
        <v>10200</v>
      </c>
      <c r="N12" s="8">
        <v>27540</v>
      </c>
      <c r="O12" s="8">
        <v>9720</v>
      </c>
      <c r="P12" s="8">
        <v>5220</v>
      </c>
      <c r="Q12" s="8">
        <v>720</v>
      </c>
      <c r="R12" s="8">
        <v>50400.000000000007</v>
      </c>
      <c r="S12" s="8">
        <v>93600</v>
      </c>
      <c r="T12" s="8">
        <v>1080</v>
      </c>
      <c r="U12" s="8">
        <v>1080</v>
      </c>
      <c r="V12" s="8">
        <v>1440</v>
      </c>
      <c r="W12" s="8">
        <v>1440</v>
      </c>
      <c r="X12" s="8">
        <v>3600</v>
      </c>
      <c r="Y12" s="8">
        <v>12600</v>
      </c>
      <c r="Z12" s="8">
        <v>25240</v>
      </c>
    </row>
    <row r="13" spans="2:26" x14ac:dyDescent="0.3">
      <c r="C13" t="s">
        <v>286</v>
      </c>
      <c r="D13">
        <v>4</v>
      </c>
      <c r="E13">
        <v>75000</v>
      </c>
      <c r="F13" s="8">
        <v>34.340659340659343</v>
      </c>
      <c r="G13">
        <v>300000</v>
      </c>
      <c r="H13" s="8">
        <v>209600</v>
      </c>
      <c r="I13" s="8">
        <v>509600</v>
      </c>
      <c r="J13">
        <v>1</v>
      </c>
      <c r="K13" s="8">
        <v>0</v>
      </c>
      <c r="L13" s="8">
        <v>4000</v>
      </c>
      <c r="M13" s="8">
        <v>10200</v>
      </c>
      <c r="N13" s="8">
        <v>22950</v>
      </c>
      <c r="O13" s="8">
        <v>8100</v>
      </c>
      <c r="P13" s="8">
        <v>4350</v>
      </c>
      <c r="Q13" s="8">
        <v>600</v>
      </c>
      <c r="R13" s="8">
        <v>42000.000000000007</v>
      </c>
      <c r="S13" s="8">
        <v>78000</v>
      </c>
      <c r="T13" s="8">
        <v>900</v>
      </c>
      <c r="U13" s="8">
        <v>900</v>
      </c>
      <c r="V13" s="8">
        <v>1200</v>
      </c>
      <c r="W13" s="8">
        <v>1200</v>
      </c>
      <c r="X13" s="8">
        <v>3000</v>
      </c>
      <c r="Y13" s="8">
        <v>10500</v>
      </c>
      <c r="Z13" s="8">
        <v>21700</v>
      </c>
    </row>
    <row r="14" spans="2:26" x14ac:dyDescent="0.3">
      <c r="C14" t="s">
        <v>287</v>
      </c>
      <c r="D14">
        <v>28</v>
      </c>
      <c r="E14">
        <v>60000</v>
      </c>
      <c r="F14" s="8">
        <v>27.472527472527471</v>
      </c>
      <c r="G14">
        <v>1680000</v>
      </c>
      <c r="H14" s="8">
        <v>1239240</v>
      </c>
      <c r="I14" s="8">
        <v>2919240</v>
      </c>
      <c r="J14">
        <v>1</v>
      </c>
      <c r="K14" s="8">
        <v>40000</v>
      </c>
      <c r="L14" s="8">
        <v>28000</v>
      </c>
      <c r="M14" s="8">
        <v>71400</v>
      </c>
      <c r="N14" s="8">
        <v>128520</v>
      </c>
      <c r="O14" s="8">
        <v>45360</v>
      </c>
      <c r="P14" s="8">
        <v>24360</v>
      </c>
      <c r="Q14" s="8">
        <v>3360</v>
      </c>
      <c r="R14" s="8">
        <v>235200</v>
      </c>
      <c r="S14" s="8">
        <v>436800</v>
      </c>
      <c r="T14" s="8">
        <v>5040</v>
      </c>
      <c r="U14" s="8">
        <v>5040</v>
      </c>
      <c r="V14" s="8">
        <v>6720</v>
      </c>
      <c r="W14" s="8">
        <v>6720</v>
      </c>
      <c r="X14" s="8">
        <v>16800</v>
      </c>
      <c r="Y14" s="8">
        <v>58799.999999999993</v>
      </c>
      <c r="Z14" s="8">
        <v>127120</v>
      </c>
    </row>
    <row r="15" spans="2:26" x14ac:dyDescent="0.3">
      <c r="C15" t="s">
        <v>288</v>
      </c>
      <c r="D15">
        <v>4</v>
      </c>
      <c r="E15">
        <v>90000</v>
      </c>
      <c r="F15" s="8">
        <v>41.208791208791212</v>
      </c>
      <c r="G15">
        <v>360000</v>
      </c>
      <c r="H15" s="8">
        <v>247880</v>
      </c>
      <c r="I15" s="8">
        <v>607880</v>
      </c>
      <c r="J15">
        <v>1</v>
      </c>
      <c r="K15" s="8">
        <v>0</v>
      </c>
      <c r="L15" s="8">
        <v>4000</v>
      </c>
      <c r="M15" s="8">
        <v>10200</v>
      </c>
      <c r="N15" s="8">
        <v>27540</v>
      </c>
      <c r="O15" s="8">
        <v>9720</v>
      </c>
      <c r="P15" s="8">
        <v>5220</v>
      </c>
      <c r="Q15" s="8">
        <v>720</v>
      </c>
      <c r="R15" s="8">
        <v>50400.000000000007</v>
      </c>
      <c r="S15" s="8">
        <v>93600</v>
      </c>
      <c r="T15" s="8">
        <v>1080</v>
      </c>
      <c r="U15" s="8">
        <v>1080</v>
      </c>
      <c r="V15" s="8">
        <v>1440</v>
      </c>
      <c r="W15" s="8">
        <v>1440</v>
      </c>
      <c r="X15" s="8">
        <v>3600</v>
      </c>
      <c r="Y15" s="8">
        <v>12600</v>
      </c>
      <c r="Z15" s="8">
        <v>25240</v>
      </c>
    </row>
    <row r="16" spans="2:26" x14ac:dyDescent="0.3">
      <c r="C16" t="s">
        <v>289</v>
      </c>
      <c r="D16">
        <v>16</v>
      </c>
      <c r="E16">
        <v>50000</v>
      </c>
      <c r="F16" s="8">
        <v>22.893772893772891</v>
      </c>
      <c r="G16">
        <v>800000</v>
      </c>
      <c r="H16" s="8">
        <v>602247.61904761905</v>
      </c>
      <c r="I16" s="8">
        <v>1402247.6190476189</v>
      </c>
      <c r="J16">
        <v>1</v>
      </c>
      <c r="K16" s="8">
        <v>19047.61904761905</v>
      </c>
      <c r="L16" s="8">
        <v>16000</v>
      </c>
      <c r="M16" s="8">
        <v>40800</v>
      </c>
      <c r="N16" s="8">
        <v>61200</v>
      </c>
      <c r="O16" s="8">
        <v>21600</v>
      </c>
      <c r="P16" s="8">
        <v>11600</v>
      </c>
      <c r="Q16" s="8">
        <v>1600</v>
      </c>
      <c r="R16" s="8">
        <v>112000</v>
      </c>
      <c r="S16" s="8">
        <v>208000</v>
      </c>
      <c r="T16" s="8">
        <v>2400</v>
      </c>
      <c r="U16" s="8">
        <v>2400</v>
      </c>
      <c r="V16" s="8">
        <v>3200</v>
      </c>
      <c r="W16" s="8">
        <v>3200</v>
      </c>
      <c r="X16" s="8">
        <v>8000</v>
      </c>
      <c r="Y16" s="8">
        <v>28000</v>
      </c>
      <c r="Z16" s="8">
        <v>63200</v>
      </c>
    </row>
    <row r="17" spans="3:26" x14ac:dyDescent="0.3">
      <c r="C17" t="s">
        <v>290</v>
      </c>
      <c r="D17">
        <v>4</v>
      </c>
      <c r="E17">
        <v>40000</v>
      </c>
      <c r="F17" s="8">
        <v>18.31501831501831</v>
      </c>
      <c r="G17">
        <v>160000</v>
      </c>
      <c r="H17" s="8">
        <v>124089.5238095238</v>
      </c>
      <c r="I17" s="8">
        <v>284089.52380952379</v>
      </c>
      <c r="J17">
        <v>1</v>
      </c>
      <c r="K17" s="8">
        <v>3809.5238095238092</v>
      </c>
      <c r="L17" s="8">
        <v>4000</v>
      </c>
      <c r="M17" s="8">
        <v>10200</v>
      </c>
      <c r="N17" s="8">
        <v>12240</v>
      </c>
      <c r="O17" s="8">
        <v>4320</v>
      </c>
      <c r="P17" s="8">
        <v>2320</v>
      </c>
      <c r="Q17" s="8">
        <v>320</v>
      </c>
      <c r="R17" s="8">
        <v>22400</v>
      </c>
      <c r="S17" s="8">
        <v>41600</v>
      </c>
      <c r="T17" s="8">
        <v>480</v>
      </c>
      <c r="U17" s="8">
        <v>480</v>
      </c>
      <c r="V17" s="8">
        <v>640</v>
      </c>
      <c r="W17" s="8">
        <v>640</v>
      </c>
      <c r="X17" s="8">
        <v>1600</v>
      </c>
      <c r="Y17" s="8">
        <v>5600</v>
      </c>
      <c r="Z17" s="8">
        <v>13440</v>
      </c>
    </row>
    <row r="18" spans="3:26" x14ac:dyDescent="0.3">
      <c r="C18" t="s">
        <v>291</v>
      </c>
      <c r="D18">
        <v>1</v>
      </c>
      <c r="E18">
        <v>45000</v>
      </c>
      <c r="F18" s="8">
        <v>20.604395604395609</v>
      </c>
      <c r="G18">
        <v>45000</v>
      </c>
      <c r="H18" s="8">
        <v>30710</v>
      </c>
      <c r="I18" s="8">
        <v>75710</v>
      </c>
      <c r="J18">
        <v>1</v>
      </c>
      <c r="K18" s="8">
        <v>0</v>
      </c>
      <c r="L18" s="8">
        <v>1000</v>
      </c>
      <c r="M18" s="8">
        <v>0</v>
      </c>
      <c r="N18" s="8">
        <v>3442.5</v>
      </c>
      <c r="O18" s="8">
        <v>1215</v>
      </c>
      <c r="P18" s="8">
        <v>652.5</v>
      </c>
      <c r="Q18" s="8">
        <v>90</v>
      </c>
      <c r="R18" s="8">
        <v>6300.0000000000009</v>
      </c>
      <c r="S18" s="8">
        <v>11700</v>
      </c>
      <c r="T18" s="8">
        <v>135</v>
      </c>
      <c r="U18" s="8">
        <v>135</v>
      </c>
      <c r="V18" s="8">
        <v>180</v>
      </c>
      <c r="W18" s="8">
        <v>180</v>
      </c>
      <c r="X18" s="8">
        <v>450</v>
      </c>
      <c r="Y18" s="8">
        <v>1575</v>
      </c>
      <c r="Z18" s="8">
        <v>3655</v>
      </c>
    </row>
    <row r="19" spans="3:26" x14ac:dyDescent="0.3">
      <c r="C19" t="s">
        <v>292</v>
      </c>
      <c r="D19">
        <v>1</v>
      </c>
      <c r="E19">
        <v>80000</v>
      </c>
      <c r="F19" s="8">
        <v>36.630036630036628</v>
      </c>
      <c r="G19">
        <v>80000</v>
      </c>
      <c r="H19" s="8">
        <v>53040</v>
      </c>
      <c r="I19" s="8">
        <v>133040</v>
      </c>
      <c r="J19">
        <v>0</v>
      </c>
      <c r="K19" s="8">
        <v>0</v>
      </c>
      <c r="L19" s="8">
        <v>1000</v>
      </c>
      <c r="M19" s="8">
        <v>0</v>
      </c>
      <c r="N19" s="8">
        <v>6120</v>
      </c>
      <c r="O19" s="8">
        <v>2160</v>
      </c>
      <c r="P19" s="8">
        <v>1160</v>
      </c>
      <c r="Q19" s="8">
        <v>160</v>
      </c>
      <c r="R19" s="8">
        <v>11200</v>
      </c>
      <c r="S19" s="8">
        <v>20800</v>
      </c>
      <c r="T19" s="8">
        <v>240</v>
      </c>
      <c r="U19" s="8">
        <v>240</v>
      </c>
      <c r="V19" s="8">
        <v>320</v>
      </c>
      <c r="W19" s="8">
        <v>320</v>
      </c>
      <c r="X19" s="8">
        <v>800</v>
      </c>
      <c r="Y19" s="8">
        <v>2800</v>
      </c>
      <c r="Z19" s="8">
        <v>5720</v>
      </c>
    </row>
    <row r="20" spans="3:26" x14ac:dyDescent="0.3">
      <c r="C20" t="s">
        <v>293</v>
      </c>
      <c r="D20">
        <v>1</v>
      </c>
      <c r="E20">
        <v>75000</v>
      </c>
      <c r="F20" s="8">
        <v>34.340659340659343</v>
      </c>
      <c r="G20">
        <v>75000</v>
      </c>
      <c r="H20" s="8">
        <v>49850</v>
      </c>
      <c r="I20" s="8">
        <v>124850</v>
      </c>
      <c r="J20">
        <v>0</v>
      </c>
      <c r="K20" s="8">
        <v>0</v>
      </c>
      <c r="L20" s="8">
        <v>1000</v>
      </c>
      <c r="M20" s="8">
        <v>0</v>
      </c>
      <c r="N20" s="8">
        <v>5737.5</v>
      </c>
      <c r="O20" s="8">
        <v>2025</v>
      </c>
      <c r="P20" s="8">
        <v>1087.5</v>
      </c>
      <c r="Q20" s="8">
        <v>150</v>
      </c>
      <c r="R20" s="8">
        <v>10500</v>
      </c>
      <c r="S20" s="8">
        <v>19500</v>
      </c>
      <c r="T20" s="8">
        <v>225</v>
      </c>
      <c r="U20" s="8">
        <v>225</v>
      </c>
      <c r="V20" s="8">
        <v>300</v>
      </c>
      <c r="W20" s="8">
        <v>300</v>
      </c>
      <c r="X20" s="8">
        <v>750</v>
      </c>
      <c r="Y20" s="8">
        <v>2625</v>
      </c>
      <c r="Z20" s="8">
        <v>5425</v>
      </c>
    </row>
    <row r="21" spans="3:26" x14ac:dyDescent="0.3">
      <c r="C21" t="s">
        <v>294</v>
      </c>
      <c r="D21">
        <v>1</v>
      </c>
      <c r="E21">
        <v>70000</v>
      </c>
      <c r="F21" s="8">
        <v>32.051282051282051</v>
      </c>
      <c r="G21">
        <v>70000</v>
      </c>
      <c r="H21" s="8">
        <v>46660</v>
      </c>
      <c r="I21" s="8">
        <v>116660</v>
      </c>
      <c r="J21">
        <v>0</v>
      </c>
      <c r="K21" s="8">
        <v>0</v>
      </c>
      <c r="L21" s="8">
        <v>1000</v>
      </c>
      <c r="M21" s="8">
        <v>0</v>
      </c>
      <c r="N21" s="8">
        <v>5355</v>
      </c>
      <c r="O21" s="8">
        <v>1890</v>
      </c>
      <c r="P21" s="8">
        <v>1015</v>
      </c>
      <c r="Q21" s="8">
        <v>140</v>
      </c>
      <c r="R21" s="8">
        <v>9800.0000000000018</v>
      </c>
      <c r="S21" s="8">
        <v>18200</v>
      </c>
      <c r="T21" s="8">
        <v>210</v>
      </c>
      <c r="U21" s="8">
        <v>210</v>
      </c>
      <c r="V21" s="8">
        <v>280</v>
      </c>
      <c r="W21" s="8">
        <v>280</v>
      </c>
      <c r="X21" s="8">
        <v>700</v>
      </c>
      <c r="Y21" s="8">
        <v>2450</v>
      </c>
      <c r="Z21" s="8">
        <v>5130</v>
      </c>
    </row>
    <row r="22" spans="3:26" x14ac:dyDescent="0.3">
      <c r="C22" t="s">
        <v>295</v>
      </c>
      <c r="D22">
        <v>1</v>
      </c>
      <c r="E22">
        <v>75000</v>
      </c>
      <c r="F22" s="8">
        <v>34.340659340659343</v>
      </c>
      <c r="G22">
        <v>75000</v>
      </c>
      <c r="H22" s="8">
        <v>49850</v>
      </c>
      <c r="I22" s="8">
        <v>124850</v>
      </c>
      <c r="J22">
        <v>0</v>
      </c>
      <c r="K22" s="8">
        <v>0</v>
      </c>
      <c r="L22" s="8">
        <v>1000</v>
      </c>
      <c r="M22" s="8">
        <v>0</v>
      </c>
      <c r="N22" s="8">
        <v>5737.5</v>
      </c>
      <c r="O22" s="8">
        <v>2025</v>
      </c>
      <c r="P22" s="8">
        <v>1087.5</v>
      </c>
      <c r="Q22" s="8">
        <v>150</v>
      </c>
      <c r="R22" s="8">
        <v>10500</v>
      </c>
      <c r="S22" s="8">
        <v>19500</v>
      </c>
      <c r="T22" s="8">
        <v>225</v>
      </c>
      <c r="U22" s="8">
        <v>225</v>
      </c>
      <c r="V22" s="8">
        <v>300</v>
      </c>
      <c r="W22" s="8">
        <v>300</v>
      </c>
      <c r="X22" s="8">
        <v>750</v>
      </c>
      <c r="Y22" s="8">
        <v>2625</v>
      </c>
      <c r="Z22" s="8">
        <v>5425</v>
      </c>
    </row>
    <row r="23" spans="3:26" x14ac:dyDescent="0.3">
      <c r="C23" t="s">
        <v>296</v>
      </c>
      <c r="D23">
        <v>4</v>
      </c>
      <c r="E23">
        <v>50000</v>
      </c>
      <c r="F23" s="8">
        <v>22.893772893772891</v>
      </c>
      <c r="G23">
        <v>200000</v>
      </c>
      <c r="H23" s="8">
        <v>135600</v>
      </c>
      <c r="I23" s="8">
        <v>335600</v>
      </c>
      <c r="J23">
        <v>0</v>
      </c>
      <c r="K23" s="8">
        <v>0</v>
      </c>
      <c r="L23" s="8">
        <v>4000</v>
      </c>
      <c r="M23" s="8">
        <v>0</v>
      </c>
      <c r="N23" s="8">
        <v>15300</v>
      </c>
      <c r="O23" s="8">
        <v>5400</v>
      </c>
      <c r="P23" s="8">
        <v>2900</v>
      </c>
      <c r="Q23" s="8">
        <v>400</v>
      </c>
      <c r="R23" s="8">
        <v>28000</v>
      </c>
      <c r="S23" s="8">
        <v>52000</v>
      </c>
      <c r="T23" s="8">
        <v>600</v>
      </c>
      <c r="U23" s="8">
        <v>600</v>
      </c>
      <c r="V23" s="8">
        <v>800</v>
      </c>
      <c r="W23" s="8">
        <v>800</v>
      </c>
      <c r="X23" s="8">
        <v>2000</v>
      </c>
      <c r="Y23" s="8">
        <v>7000</v>
      </c>
      <c r="Z23" s="8">
        <v>15800</v>
      </c>
    </row>
    <row r="24" spans="3:26" x14ac:dyDescent="0.3">
      <c r="C24" t="s">
        <v>297</v>
      </c>
      <c r="D24">
        <v>4</v>
      </c>
      <c r="E24">
        <v>72000</v>
      </c>
      <c r="F24" s="8">
        <v>32.967032967032956</v>
      </c>
      <c r="G24">
        <v>288000</v>
      </c>
      <c r="H24" s="8">
        <v>191744</v>
      </c>
      <c r="I24" s="8">
        <v>479744</v>
      </c>
      <c r="J24">
        <v>0</v>
      </c>
      <c r="K24" s="8">
        <v>0</v>
      </c>
      <c r="L24" s="8">
        <v>4000</v>
      </c>
      <c r="M24" s="8">
        <v>0</v>
      </c>
      <c r="N24" s="8">
        <v>22032</v>
      </c>
      <c r="O24" s="8">
        <v>7776</v>
      </c>
      <c r="P24" s="8">
        <v>4176</v>
      </c>
      <c r="Q24" s="8">
        <v>576</v>
      </c>
      <c r="R24" s="8">
        <v>40320.000000000007</v>
      </c>
      <c r="S24" s="8">
        <v>74880</v>
      </c>
      <c r="T24" s="8">
        <v>864</v>
      </c>
      <c r="U24" s="8">
        <v>864</v>
      </c>
      <c r="V24" s="8">
        <v>1152</v>
      </c>
      <c r="W24" s="8">
        <v>1152</v>
      </c>
      <c r="X24" s="8">
        <v>2880</v>
      </c>
      <c r="Y24" s="8">
        <v>10080</v>
      </c>
      <c r="Z24" s="8">
        <v>20992</v>
      </c>
    </row>
    <row r="25" spans="3:26" x14ac:dyDescent="0.3">
      <c r="C25" t="s">
        <v>298</v>
      </c>
      <c r="D25">
        <v>4</v>
      </c>
      <c r="E25">
        <v>47000</v>
      </c>
      <c r="F25" s="8">
        <v>21.520146520146518</v>
      </c>
      <c r="G25">
        <v>188000</v>
      </c>
      <c r="H25" s="8">
        <v>132420.1904761905</v>
      </c>
      <c r="I25" s="8">
        <v>320420.19047619047</v>
      </c>
      <c r="J25">
        <v>0</v>
      </c>
      <c r="K25" s="8">
        <v>4476.1904761904761</v>
      </c>
      <c r="L25" s="8">
        <v>4000</v>
      </c>
      <c r="M25" s="8">
        <v>0</v>
      </c>
      <c r="N25" s="8">
        <v>14382</v>
      </c>
      <c r="O25" s="8">
        <v>5076</v>
      </c>
      <c r="P25" s="8">
        <v>2726</v>
      </c>
      <c r="Q25" s="8">
        <v>376</v>
      </c>
      <c r="R25" s="8">
        <v>26320</v>
      </c>
      <c r="S25" s="8">
        <v>48880</v>
      </c>
      <c r="T25" s="8">
        <v>564</v>
      </c>
      <c r="U25" s="8">
        <v>564</v>
      </c>
      <c r="V25" s="8">
        <v>752</v>
      </c>
      <c r="W25" s="8">
        <v>752</v>
      </c>
      <c r="X25" s="8">
        <v>1880</v>
      </c>
      <c r="Y25" s="8">
        <v>6580</v>
      </c>
      <c r="Z25" s="8">
        <v>15092</v>
      </c>
    </row>
    <row r="26" spans="3:26" x14ac:dyDescent="0.3">
      <c r="C26" t="s">
        <v>299</v>
      </c>
      <c r="D26">
        <v>4</v>
      </c>
      <c r="E26">
        <v>34000</v>
      </c>
      <c r="F26" s="8">
        <v>15.567765567765569</v>
      </c>
      <c r="G26">
        <v>136000</v>
      </c>
      <c r="H26" s="8">
        <v>98006.095238095237</v>
      </c>
      <c r="I26" s="8">
        <v>234006.09523809521</v>
      </c>
      <c r="J26">
        <v>0</v>
      </c>
      <c r="K26" s="8">
        <v>3238.0952380952381</v>
      </c>
      <c r="L26" s="8">
        <v>4000</v>
      </c>
      <c r="M26" s="8">
        <v>0</v>
      </c>
      <c r="N26" s="8">
        <v>10404</v>
      </c>
      <c r="O26" s="8">
        <v>3672</v>
      </c>
      <c r="P26" s="8">
        <v>1972</v>
      </c>
      <c r="Q26" s="8">
        <v>272</v>
      </c>
      <c r="R26" s="8">
        <v>19040</v>
      </c>
      <c r="S26" s="8">
        <v>35360</v>
      </c>
      <c r="T26" s="8">
        <v>408</v>
      </c>
      <c r="U26" s="8">
        <v>408</v>
      </c>
      <c r="V26" s="8">
        <v>544</v>
      </c>
      <c r="W26" s="8">
        <v>544</v>
      </c>
      <c r="X26" s="8">
        <v>1360</v>
      </c>
      <c r="Y26" s="8">
        <v>4760</v>
      </c>
      <c r="Z26" s="8">
        <v>12024</v>
      </c>
    </row>
    <row r="27" spans="3:26" x14ac:dyDescent="0.3">
      <c r="C27" t="s">
        <v>300</v>
      </c>
      <c r="D27">
        <v>4</v>
      </c>
      <c r="E27">
        <v>59000</v>
      </c>
      <c r="F27" s="8">
        <v>27.014652014652011</v>
      </c>
      <c r="G27">
        <v>236000</v>
      </c>
      <c r="H27" s="8">
        <v>164187.0476190476</v>
      </c>
      <c r="I27" s="8">
        <v>400187.04761904757</v>
      </c>
      <c r="J27">
        <v>0</v>
      </c>
      <c r="K27" s="8">
        <v>5619.0476190476193</v>
      </c>
      <c r="L27" s="8">
        <v>4000</v>
      </c>
      <c r="M27" s="8">
        <v>0</v>
      </c>
      <c r="N27" s="8">
        <v>18054</v>
      </c>
      <c r="O27" s="8">
        <v>6372</v>
      </c>
      <c r="P27" s="8">
        <v>3422</v>
      </c>
      <c r="Q27" s="8">
        <v>472</v>
      </c>
      <c r="R27" s="8">
        <v>33040</v>
      </c>
      <c r="S27" s="8">
        <v>61360</v>
      </c>
      <c r="T27" s="8">
        <v>708</v>
      </c>
      <c r="U27" s="8">
        <v>708</v>
      </c>
      <c r="V27" s="8">
        <v>944</v>
      </c>
      <c r="W27" s="8">
        <v>944</v>
      </c>
      <c r="X27" s="8">
        <v>2360</v>
      </c>
      <c r="Y27" s="8">
        <v>8260</v>
      </c>
      <c r="Z27" s="8">
        <v>17924</v>
      </c>
    </row>
    <row r="28" spans="3:26" x14ac:dyDescent="0.3">
      <c r="C28" t="s">
        <v>301</v>
      </c>
      <c r="D28">
        <v>16</v>
      </c>
      <c r="E28">
        <v>32000</v>
      </c>
      <c r="F28" s="8">
        <v>14.65201465201465</v>
      </c>
      <c r="G28">
        <v>512000</v>
      </c>
      <c r="H28" s="8">
        <v>370846.47619047621</v>
      </c>
      <c r="I28" s="8">
        <v>882846.47619047621</v>
      </c>
      <c r="J28">
        <v>0</v>
      </c>
      <c r="K28" s="8">
        <v>12190.476190476191</v>
      </c>
      <c r="L28" s="8">
        <v>16000</v>
      </c>
      <c r="M28" s="8">
        <v>0</v>
      </c>
      <c r="N28" s="8">
        <v>39168</v>
      </c>
      <c r="O28" s="8">
        <v>13824</v>
      </c>
      <c r="P28" s="8">
        <v>7424</v>
      </c>
      <c r="Q28" s="8">
        <v>1024</v>
      </c>
      <c r="R28" s="8">
        <v>71680</v>
      </c>
      <c r="S28" s="8">
        <v>133120</v>
      </c>
      <c r="T28" s="8">
        <v>1536</v>
      </c>
      <c r="U28" s="8">
        <v>1536</v>
      </c>
      <c r="V28" s="8">
        <v>2048</v>
      </c>
      <c r="W28" s="8">
        <v>2048</v>
      </c>
      <c r="X28" s="8">
        <v>5120</v>
      </c>
      <c r="Y28" s="8">
        <v>17920</v>
      </c>
      <c r="Z28" s="8">
        <v>46208</v>
      </c>
    </row>
    <row r="29" spans="3:26" x14ac:dyDescent="0.3">
      <c r="C29" t="s">
        <v>302</v>
      </c>
      <c r="D29">
        <v>1</v>
      </c>
      <c r="E29">
        <v>72000</v>
      </c>
      <c r="F29" s="8">
        <v>32.967032967032956</v>
      </c>
      <c r="G29">
        <v>72000</v>
      </c>
      <c r="H29" s="8">
        <v>47936</v>
      </c>
      <c r="I29" s="8">
        <v>119936</v>
      </c>
      <c r="J29">
        <v>0</v>
      </c>
      <c r="K29" s="8">
        <v>0</v>
      </c>
      <c r="L29" s="8">
        <v>1000</v>
      </c>
      <c r="M29" s="8">
        <v>0</v>
      </c>
      <c r="N29" s="8">
        <v>5508</v>
      </c>
      <c r="O29" s="8">
        <v>1944</v>
      </c>
      <c r="P29" s="8">
        <v>1044</v>
      </c>
      <c r="Q29" s="8">
        <v>144</v>
      </c>
      <c r="R29" s="8">
        <v>10080</v>
      </c>
      <c r="S29" s="8">
        <v>18720</v>
      </c>
      <c r="T29" s="8">
        <v>216</v>
      </c>
      <c r="U29" s="8">
        <v>216</v>
      </c>
      <c r="V29" s="8">
        <v>288</v>
      </c>
      <c r="W29" s="8">
        <v>288</v>
      </c>
      <c r="X29" s="8">
        <v>720</v>
      </c>
      <c r="Y29" s="8">
        <v>2520</v>
      </c>
      <c r="Z29" s="8">
        <v>5248</v>
      </c>
    </row>
    <row r="30" spans="3:26" x14ac:dyDescent="0.3">
      <c r="C30" t="s">
        <v>303</v>
      </c>
      <c r="D30">
        <v>1</v>
      </c>
      <c r="E30">
        <v>45000</v>
      </c>
      <c r="F30" s="8">
        <v>20.604395604395609</v>
      </c>
      <c r="G30">
        <v>45000</v>
      </c>
      <c r="H30" s="8">
        <v>30710</v>
      </c>
      <c r="I30" s="8">
        <v>75710</v>
      </c>
      <c r="J30">
        <v>0</v>
      </c>
      <c r="K30" s="8">
        <v>0</v>
      </c>
      <c r="L30" s="8">
        <v>1000</v>
      </c>
      <c r="M30" s="8">
        <v>0</v>
      </c>
      <c r="N30" s="8">
        <v>3442.5</v>
      </c>
      <c r="O30" s="8">
        <v>1215</v>
      </c>
      <c r="P30" s="8">
        <v>652.5</v>
      </c>
      <c r="Q30" s="8">
        <v>90</v>
      </c>
      <c r="R30" s="8">
        <v>6300.0000000000009</v>
      </c>
      <c r="S30" s="8">
        <v>11700</v>
      </c>
      <c r="T30" s="8">
        <v>135</v>
      </c>
      <c r="U30" s="8">
        <v>135</v>
      </c>
      <c r="V30" s="8">
        <v>180</v>
      </c>
      <c r="W30" s="8">
        <v>180</v>
      </c>
      <c r="X30" s="8">
        <v>450</v>
      </c>
      <c r="Y30" s="8">
        <v>1575</v>
      </c>
      <c r="Z30" s="8">
        <v>3655</v>
      </c>
    </row>
    <row r="31" spans="3:26" x14ac:dyDescent="0.3">
      <c r="C31" t="s">
        <v>304</v>
      </c>
      <c r="D31">
        <v>1</v>
      </c>
      <c r="E31">
        <v>90000</v>
      </c>
      <c r="F31" s="8">
        <v>41.208791208791212</v>
      </c>
      <c r="G31">
        <v>90000</v>
      </c>
      <c r="H31" s="8">
        <v>59420</v>
      </c>
      <c r="I31" s="8">
        <v>149420</v>
      </c>
      <c r="J31">
        <v>0</v>
      </c>
      <c r="K31" s="8">
        <v>0</v>
      </c>
      <c r="L31" s="8">
        <v>1000</v>
      </c>
      <c r="M31" s="8">
        <v>0</v>
      </c>
      <c r="N31" s="8">
        <v>6885</v>
      </c>
      <c r="O31" s="8">
        <v>2430</v>
      </c>
      <c r="P31" s="8">
        <v>1305</v>
      </c>
      <c r="Q31" s="8">
        <v>180</v>
      </c>
      <c r="R31" s="8">
        <v>12600</v>
      </c>
      <c r="S31" s="8">
        <v>23400</v>
      </c>
      <c r="T31" s="8">
        <v>270</v>
      </c>
      <c r="U31" s="8">
        <v>270</v>
      </c>
      <c r="V31" s="8">
        <v>360</v>
      </c>
      <c r="W31" s="8">
        <v>360</v>
      </c>
      <c r="X31" s="8">
        <v>900</v>
      </c>
      <c r="Y31" s="8">
        <v>3150</v>
      </c>
      <c r="Z31" s="8">
        <v>6310</v>
      </c>
    </row>
    <row r="32" spans="3:26" x14ac:dyDescent="0.3">
      <c r="C32" t="s">
        <v>305</v>
      </c>
      <c r="D32">
        <v>127</v>
      </c>
      <c r="E32" t="s">
        <v>306</v>
      </c>
      <c r="F32" t="s">
        <v>306</v>
      </c>
      <c r="G32">
        <v>8192000</v>
      </c>
      <c r="H32" s="8">
        <v>5770954.9523809506</v>
      </c>
      <c r="I32" s="8">
        <v>13962954.95238095</v>
      </c>
      <c r="J32" t="s">
        <v>306</v>
      </c>
      <c r="K32" s="8">
        <v>88380.952380952396</v>
      </c>
      <c r="L32" s="8">
        <v>126000</v>
      </c>
      <c r="M32" s="8">
        <v>204000</v>
      </c>
      <c r="N32" s="8">
        <v>625727</v>
      </c>
      <c r="O32" s="8">
        <v>221184</v>
      </c>
      <c r="P32" s="8">
        <v>118784</v>
      </c>
      <c r="Q32" s="8">
        <v>16384</v>
      </c>
      <c r="R32" s="8">
        <v>1146880</v>
      </c>
      <c r="S32" s="8">
        <v>2128959</v>
      </c>
      <c r="T32" s="8">
        <v>24576</v>
      </c>
      <c r="U32" s="8">
        <v>24576</v>
      </c>
      <c r="V32" s="8">
        <v>32768</v>
      </c>
      <c r="W32" s="8">
        <v>32768</v>
      </c>
      <c r="X32" s="8">
        <v>81920</v>
      </c>
      <c r="Y32" s="8">
        <v>286720</v>
      </c>
      <c r="Z32" s="8">
        <v>609328</v>
      </c>
    </row>
  </sheetData>
  <hyperlinks>
    <hyperlink ref="B2" location="'Home Sheet'!B2" display="BACK TO HOME SHEET" xr:uid="{8A467553-1632-4228-9299-D8A7578278AD}"/>
  </hyperlinks>
  <pageMargins left="0.75" right="0.75" top="1" bottom="1" header="0.5" footer="0.5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B2:F9"/>
  <sheetViews>
    <sheetView workbookViewId="0">
      <selection activeCell="B2" sqref="B2"/>
    </sheetView>
  </sheetViews>
  <sheetFormatPr defaultRowHeight="14.4" x14ac:dyDescent="0.3"/>
  <cols>
    <col min="2" max="2" width="19.5546875" bestFit="1" customWidth="1"/>
    <col min="3" max="3" width="20.109375" bestFit="1" customWidth="1"/>
    <col min="4" max="4" width="18.21875" customWidth="1"/>
    <col min="5" max="5" width="16.5546875" customWidth="1"/>
    <col min="6" max="6" width="14.77734375" customWidth="1"/>
  </cols>
  <sheetData>
    <row r="2" spans="2:6" x14ac:dyDescent="0.3">
      <c r="B2" s="2" t="s">
        <v>372</v>
      </c>
    </row>
    <row r="3" spans="2:6" x14ac:dyDescent="0.3">
      <c r="C3" s="3" t="s">
        <v>93</v>
      </c>
      <c r="D3" s="3" t="s">
        <v>307</v>
      </c>
      <c r="E3" s="3" t="s">
        <v>308</v>
      </c>
      <c r="F3" s="3" t="s">
        <v>381</v>
      </c>
    </row>
    <row r="4" spans="2:6" x14ac:dyDescent="0.3">
      <c r="C4" t="s">
        <v>309</v>
      </c>
      <c r="D4" s="9">
        <v>6.9699999999999998E-2</v>
      </c>
      <c r="E4" s="8">
        <v>11326568.4</v>
      </c>
      <c r="F4" s="8">
        <v>789461.81747999997</v>
      </c>
    </row>
    <row r="5" spans="2:6" x14ac:dyDescent="0.3">
      <c r="C5" t="s">
        <v>310</v>
      </c>
      <c r="D5" s="9">
        <v>1.1999999999999999E-3</v>
      </c>
      <c r="E5" s="8">
        <v>15704677.70235526</v>
      </c>
      <c r="F5" s="8">
        <v>18845.613242826301</v>
      </c>
    </row>
    <row r="6" spans="2:6" ht="16.2" x14ac:dyDescent="0.3">
      <c r="C6" t="s">
        <v>382</v>
      </c>
      <c r="D6" s="9">
        <v>0.19350000000000001</v>
      </c>
      <c r="E6" s="8">
        <v>636755.24475524481</v>
      </c>
      <c r="F6" s="8">
        <v>123212.1398601399</v>
      </c>
    </row>
    <row r="7" spans="2:6" x14ac:dyDescent="0.3">
      <c r="C7" t="s">
        <v>311</v>
      </c>
      <c r="D7" s="8">
        <v>0</v>
      </c>
      <c r="E7" s="8">
        <v>-1014405.288230838</v>
      </c>
      <c r="F7" s="8">
        <v>0</v>
      </c>
    </row>
    <row r="8" spans="2:6" x14ac:dyDescent="0.3">
      <c r="C8" t="s">
        <v>312</v>
      </c>
      <c r="D8" s="8">
        <v>0</v>
      </c>
      <c r="E8" s="8">
        <v>4575280.703651513</v>
      </c>
      <c r="F8" s="8">
        <v>0</v>
      </c>
    </row>
    <row r="9" spans="2:6" x14ac:dyDescent="0.3">
      <c r="C9" t="s">
        <v>249</v>
      </c>
      <c r="D9" s="10" t="s">
        <v>306</v>
      </c>
      <c r="E9" s="10" t="s">
        <v>306</v>
      </c>
      <c r="F9" s="8">
        <v>931519.57058296609</v>
      </c>
    </row>
  </sheetData>
  <hyperlinks>
    <hyperlink ref="B2" location="'Home Sheet'!B2" display="BACK TO HOME SHEET" xr:uid="{CAEF42F3-2154-4725-A319-A43C2BDFAF23}"/>
  </hyperlinks>
  <pageMargins left="0.75" right="0.75" top="1" bottom="1" header="0.5" footer="0.5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B2:G27"/>
  <sheetViews>
    <sheetView workbookViewId="0">
      <selection activeCell="B2" sqref="B2"/>
    </sheetView>
  </sheetViews>
  <sheetFormatPr defaultRowHeight="14.4" x14ac:dyDescent="0.3"/>
  <cols>
    <col min="2" max="2" width="19.5546875" bestFit="1" customWidth="1"/>
    <col min="3" max="3" width="22.77734375" bestFit="1" customWidth="1"/>
    <col min="4" max="4" width="18.21875" customWidth="1"/>
    <col min="5" max="5" width="24.88671875" customWidth="1"/>
    <col min="6" max="6" width="16.109375" customWidth="1"/>
    <col min="7" max="7" width="17.109375" customWidth="1"/>
  </cols>
  <sheetData>
    <row r="2" spans="2:7" x14ac:dyDescent="0.3">
      <c r="B2" s="2" t="s">
        <v>372</v>
      </c>
    </row>
    <row r="3" spans="2:7" x14ac:dyDescent="0.3">
      <c r="C3" s="3" t="s">
        <v>93</v>
      </c>
      <c r="D3" s="3" t="s">
        <v>307</v>
      </c>
      <c r="E3" s="3" t="s">
        <v>313</v>
      </c>
      <c r="F3" s="3" t="s">
        <v>99</v>
      </c>
      <c r="G3" s="3" t="s">
        <v>212</v>
      </c>
    </row>
    <row r="4" spans="2:7" x14ac:dyDescent="0.3">
      <c r="C4" t="s">
        <v>314</v>
      </c>
      <c r="D4">
        <v>25</v>
      </c>
      <c r="E4">
        <v>10</v>
      </c>
      <c r="F4">
        <v>1</v>
      </c>
      <c r="G4">
        <v>0</v>
      </c>
    </row>
    <row r="5" spans="2:7" x14ac:dyDescent="0.3">
      <c r="C5" t="s">
        <v>315</v>
      </c>
      <c r="D5">
        <v>100</v>
      </c>
      <c r="E5">
        <v>1</v>
      </c>
      <c r="F5">
        <v>1</v>
      </c>
      <c r="G5">
        <v>0</v>
      </c>
    </row>
    <row r="6" spans="2:7" x14ac:dyDescent="0.3">
      <c r="C6" t="s">
        <v>316</v>
      </c>
      <c r="D6">
        <v>450</v>
      </c>
      <c r="E6">
        <v>1</v>
      </c>
      <c r="F6">
        <v>0</v>
      </c>
      <c r="G6">
        <v>0</v>
      </c>
    </row>
    <row r="7" spans="2:7" x14ac:dyDescent="0.3">
      <c r="C7" t="s">
        <v>317</v>
      </c>
      <c r="D7">
        <v>25</v>
      </c>
      <c r="E7">
        <v>1</v>
      </c>
      <c r="F7">
        <v>1</v>
      </c>
      <c r="G7">
        <v>0</v>
      </c>
    </row>
    <row r="8" spans="2:7" x14ac:dyDescent="0.3">
      <c r="C8" t="s">
        <v>318</v>
      </c>
      <c r="D8">
        <v>10000</v>
      </c>
      <c r="E8">
        <v>1</v>
      </c>
      <c r="F8">
        <v>0</v>
      </c>
      <c r="G8">
        <v>0</v>
      </c>
    </row>
    <row r="9" spans="2:7" x14ac:dyDescent="0.3">
      <c r="C9" t="s">
        <v>319</v>
      </c>
      <c r="D9">
        <v>20000</v>
      </c>
      <c r="E9">
        <v>1</v>
      </c>
      <c r="F9">
        <v>5</v>
      </c>
      <c r="G9">
        <v>0</v>
      </c>
    </row>
    <row r="10" spans="2:7" x14ac:dyDescent="0.3">
      <c r="C10" t="s">
        <v>320</v>
      </c>
      <c r="D10">
        <v>8500</v>
      </c>
      <c r="E10">
        <v>1</v>
      </c>
      <c r="F10">
        <v>5</v>
      </c>
      <c r="G10">
        <v>0</v>
      </c>
    </row>
    <row r="11" spans="2:7" x14ac:dyDescent="0.3">
      <c r="C11" t="s">
        <v>321</v>
      </c>
      <c r="D11">
        <v>3500</v>
      </c>
      <c r="E11">
        <v>1</v>
      </c>
      <c r="F11">
        <v>1</v>
      </c>
      <c r="G11">
        <v>0</v>
      </c>
    </row>
    <row r="12" spans="2:7" x14ac:dyDescent="0.3">
      <c r="C12" t="s">
        <v>322</v>
      </c>
      <c r="D12">
        <v>54000</v>
      </c>
      <c r="E12">
        <v>1</v>
      </c>
      <c r="F12">
        <v>1</v>
      </c>
      <c r="G12">
        <v>-2</v>
      </c>
    </row>
    <row r="13" spans="2:7" x14ac:dyDescent="0.3">
      <c r="C13" t="s">
        <v>323</v>
      </c>
      <c r="D13">
        <v>4500</v>
      </c>
      <c r="E13">
        <v>1</v>
      </c>
      <c r="F13">
        <v>1</v>
      </c>
      <c r="G13">
        <v>0</v>
      </c>
    </row>
    <row r="14" spans="2:7" x14ac:dyDescent="0.3">
      <c r="C14" t="s">
        <v>324</v>
      </c>
      <c r="D14">
        <v>2000</v>
      </c>
      <c r="E14">
        <v>1</v>
      </c>
      <c r="F14">
        <v>1</v>
      </c>
      <c r="G14">
        <v>0</v>
      </c>
    </row>
    <row r="15" spans="2:7" x14ac:dyDescent="0.3">
      <c r="C15" t="s">
        <v>325</v>
      </c>
      <c r="D15">
        <v>3000</v>
      </c>
      <c r="E15">
        <v>1</v>
      </c>
      <c r="F15">
        <v>1</v>
      </c>
      <c r="G15">
        <v>0</v>
      </c>
    </row>
    <row r="16" spans="2:7" x14ac:dyDescent="0.3">
      <c r="C16" t="s">
        <v>326</v>
      </c>
      <c r="D16">
        <v>2500</v>
      </c>
      <c r="E16">
        <v>1</v>
      </c>
      <c r="F16">
        <v>0</v>
      </c>
      <c r="G16">
        <v>0</v>
      </c>
    </row>
    <row r="17" spans="3:7" x14ac:dyDescent="0.3">
      <c r="C17" t="s">
        <v>327</v>
      </c>
      <c r="D17">
        <v>85000</v>
      </c>
      <c r="E17">
        <v>1</v>
      </c>
      <c r="F17">
        <v>0</v>
      </c>
      <c r="G17">
        <v>0</v>
      </c>
    </row>
    <row r="18" spans="3:7" x14ac:dyDescent="0.3">
      <c r="C18" t="s">
        <v>328</v>
      </c>
      <c r="D18">
        <v>25662</v>
      </c>
      <c r="E18">
        <v>1</v>
      </c>
      <c r="F18">
        <v>1</v>
      </c>
      <c r="G18">
        <v>0</v>
      </c>
    </row>
    <row r="19" spans="3:7" x14ac:dyDescent="0.3">
      <c r="C19" t="s">
        <v>329</v>
      </c>
      <c r="D19">
        <v>22000</v>
      </c>
      <c r="E19">
        <v>1</v>
      </c>
      <c r="F19">
        <v>1</v>
      </c>
      <c r="G19">
        <v>0</v>
      </c>
    </row>
    <row r="20" spans="3:7" x14ac:dyDescent="0.3">
      <c r="C20" t="s">
        <v>330</v>
      </c>
      <c r="D20">
        <v>18000</v>
      </c>
      <c r="E20">
        <v>1</v>
      </c>
      <c r="F20">
        <v>1</v>
      </c>
      <c r="G20">
        <v>0</v>
      </c>
    </row>
    <row r="21" spans="3:7" x14ac:dyDescent="0.3">
      <c r="C21" t="s">
        <v>331</v>
      </c>
      <c r="D21">
        <v>22000</v>
      </c>
      <c r="E21">
        <v>1</v>
      </c>
      <c r="F21">
        <v>1</v>
      </c>
      <c r="G21">
        <v>0</v>
      </c>
    </row>
    <row r="22" spans="3:7" x14ac:dyDescent="0.3">
      <c r="C22" t="s">
        <v>332</v>
      </c>
      <c r="D22">
        <v>14000</v>
      </c>
      <c r="E22">
        <v>1</v>
      </c>
      <c r="F22">
        <v>1</v>
      </c>
      <c r="G22">
        <v>0</v>
      </c>
    </row>
    <row r="23" spans="3:7" x14ac:dyDescent="0.3">
      <c r="C23" t="s">
        <v>333</v>
      </c>
      <c r="D23">
        <v>16000</v>
      </c>
      <c r="E23">
        <v>1</v>
      </c>
      <c r="F23">
        <v>1</v>
      </c>
      <c r="G23">
        <v>0</v>
      </c>
    </row>
    <row r="24" spans="3:7" x14ac:dyDescent="0.3">
      <c r="C24" t="s">
        <v>334</v>
      </c>
      <c r="D24">
        <v>9500</v>
      </c>
      <c r="E24">
        <v>1</v>
      </c>
      <c r="F24">
        <v>1</v>
      </c>
      <c r="G24">
        <v>0</v>
      </c>
    </row>
    <row r="25" spans="3:7" x14ac:dyDescent="0.3">
      <c r="C25" t="s">
        <v>335</v>
      </c>
      <c r="D25">
        <v>12000</v>
      </c>
      <c r="E25">
        <v>1</v>
      </c>
      <c r="F25">
        <v>1</v>
      </c>
      <c r="G25">
        <v>0</v>
      </c>
    </row>
    <row r="26" spans="3:7" x14ac:dyDescent="0.3">
      <c r="C26" t="s">
        <v>336</v>
      </c>
      <c r="D26">
        <v>6500</v>
      </c>
      <c r="E26">
        <v>1</v>
      </c>
      <c r="F26">
        <v>1</v>
      </c>
      <c r="G26">
        <v>0</v>
      </c>
    </row>
    <row r="27" spans="3:7" x14ac:dyDescent="0.3">
      <c r="C27" t="s">
        <v>337</v>
      </c>
      <c r="D27">
        <v>8500</v>
      </c>
      <c r="E27">
        <v>1</v>
      </c>
      <c r="F27">
        <v>1</v>
      </c>
      <c r="G27">
        <v>0</v>
      </c>
    </row>
  </sheetData>
  <hyperlinks>
    <hyperlink ref="B2" location="'Home Sheet'!B2" display="BACK TO HOME SHEET" xr:uid="{3636B410-1E00-48DE-9E5F-E3EDBC7EFFA3}"/>
  </hyperlinks>
  <pageMargins left="0.75" right="0.75" top="1" bottom="1" header="0.5" footer="0.5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2:Z135"/>
  <sheetViews>
    <sheetView workbookViewId="0">
      <selection activeCell="B2" sqref="B2"/>
    </sheetView>
  </sheetViews>
  <sheetFormatPr defaultRowHeight="14.4" x14ac:dyDescent="0.3"/>
  <cols>
    <col min="2" max="2" width="19.5546875" bestFit="1" customWidth="1"/>
    <col min="3" max="3" width="20.77734375" bestFit="1" customWidth="1"/>
    <col min="4" max="4" width="7" bestFit="1" customWidth="1"/>
    <col min="5" max="6" width="8" bestFit="1" customWidth="1"/>
    <col min="7" max="14" width="3.88671875" customWidth="1"/>
    <col min="15" max="16" width="7" bestFit="1" customWidth="1"/>
    <col min="17" max="17" width="4.88671875" customWidth="1"/>
    <col min="18" max="18" width="5" bestFit="1" customWidth="1"/>
    <col min="19" max="19" width="4.88671875" customWidth="1"/>
    <col min="20" max="21" width="7" bestFit="1" customWidth="1"/>
    <col min="22" max="23" width="4.88671875" customWidth="1"/>
    <col min="24" max="24" width="7" bestFit="1" customWidth="1"/>
    <col min="25" max="26" width="8" bestFit="1" customWidth="1"/>
  </cols>
  <sheetData>
    <row r="2" spans="2:26" x14ac:dyDescent="0.3">
      <c r="B2" s="2" t="s">
        <v>372</v>
      </c>
    </row>
    <row r="3" spans="2:26" x14ac:dyDescent="0.3">
      <c r="C3" s="3" t="s">
        <v>6</v>
      </c>
      <c r="D3" s="3" t="s">
        <v>7</v>
      </c>
      <c r="E3" s="3" t="s">
        <v>8</v>
      </c>
      <c r="F3" s="3" t="s">
        <v>9</v>
      </c>
      <c r="G3" s="3" t="s">
        <v>10</v>
      </c>
      <c r="H3" s="3" t="s">
        <v>11</v>
      </c>
      <c r="I3" s="3" t="s">
        <v>12</v>
      </c>
      <c r="J3" s="3" t="s">
        <v>13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3" t="s">
        <v>19</v>
      </c>
      <c r="Q3" s="3" t="s">
        <v>20</v>
      </c>
      <c r="R3" s="3" t="s">
        <v>21</v>
      </c>
      <c r="S3" s="3" t="s">
        <v>22</v>
      </c>
      <c r="T3" s="3" t="s">
        <v>23</v>
      </c>
      <c r="U3" s="3" t="s">
        <v>24</v>
      </c>
      <c r="V3" s="3" t="s">
        <v>25</v>
      </c>
      <c r="W3" s="3" t="s">
        <v>26</v>
      </c>
      <c r="X3" s="3" t="s">
        <v>27</v>
      </c>
      <c r="Y3" s="3" t="s">
        <v>28</v>
      </c>
      <c r="Z3" s="3" t="s">
        <v>29</v>
      </c>
    </row>
    <row r="4" spans="2:26" x14ac:dyDescent="0.3">
      <c r="C4" t="s">
        <v>213</v>
      </c>
      <c r="D4">
        <v>725000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2:26" x14ac:dyDescent="0.3">
      <c r="C5" t="s">
        <v>214</v>
      </c>
      <c r="D5">
        <v>61864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111732</v>
      </c>
      <c r="Y5">
        <v>0</v>
      </c>
      <c r="Z5">
        <v>0</v>
      </c>
    </row>
    <row r="6" spans="2:26" x14ac:dyDescent="0.3">
      <c r="C6" t="s">
        <v>215</v>
      </c>
      <c r="D6">
        <v>560726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2:26" x14ac:dyDescent="0.3">
      <c r="C7" t="s">
        <v>216</v>
      </c>
      <c r="D7">
        <v>72754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131401</v>
      </c>
      <c r="Y7">
        <v>0</v>
      </c>
      <c r="Z7">
        <v>0</v>
      </c>
    </row>
    <row r="8" spans="2:26" x14ac:dyDescent="0.3">
      <c r="C8" t="s">
        <v>217</v>
      </c>
      <c r="D8">
        <v>187604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338834</v>
      </c>
      <c r="Y8">
        <v>0</v>
      </c>
      <c r="Z8">
        <v>0</v>
      </c>
    </row>
    <row r="9" spans="2:26" x14ac:dyDescent="0.3">
      <c r="C9" t="s">
        <v>218</v>
      </c>
      <c r="D9">
        <v>0</v>
      </c>
      <c r="E9">
        <v>6032614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2:26" x14ac:dyDescent="0.3">
      <c r="C10" t="s">
        <v>219</v>
      </c>
      <c r="D10">
        <v>0</v>
      </c>
      <c r="E10">
        <v>141389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255365</v>
      </c>
      <c r="Z10">
        <v>0</v>
      </c>
    </row>
    <row r="11" spans="2:26" x14ac:dyDescent="0.3">
      <c r="C11" t="s">
        <v>220</v>
      </c>
      <c r="D11">
        <v>0</v>
      </c>
      <c r="E11">
        <v>129144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201202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2:26" x14ac:dyDescent="0.3">
      <c r="C12" t="s">
        <v>102</v>
      </c>
      <c r="D12">
        <v>0</v>
      </c>
      <c r="E12">
        <v>111820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2:26" x14ac:dyDescent="0.3">
      <c r="C13" t="s">
        <v>103</v>
      </c>
      <c r="D13">
        <v>0</v>
      </c>
      <c r="E13">
        <v>111820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2:26" x14ac:dyDescent="0.3">
      <c r="C14" t="s">
        <v>104</v>
      </c>
      <c r="D14">
        <v>0</v>
      </c>
      <c r="E14">
        <v>95402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2:26" x14ac:dyDescent="0.3">
      <c r="C15" t="s">
        <v>105</v>
      </c>
      <c r="D15">
        <v>0</v>
      </c>
      <c r="E15">
        <v>93809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2:26" x14ac:dyDescent="0.3">
      <c r="C16" t="s">
        <v>106</v>
      </c>
      <c r="D16">
        <v>0</v>
      </c>
      <c r="E16">
        <v>96195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3:26" x14ac:dyDescent="0.3">
      <c r="C17" t="s">
        <v>107</v>
      </c>
      <c r="D17">
        <v>0</v>
      </c>
      <c r="E17">
        <v>93809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3:26" x14ac:dyDescent="0.3">
      <c r="C18" t="s">
        <v>108</v>
      </c>
      <c r="D18">
        <v>0</v>
      </c>
      <c r="E18">
        <v>98541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3:26" x14ac:dyDescent="0.3">
      <c r="C19" t="s">
        <v>109</v>
      </c>
      <c r="D19">
        <v>0</v>
      </c>
      <c r="E19">
        <v>91395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3:26" x14ac:dyDescent="0.3">
      <c r="C20" t="s">
        <v>110</v>
      </c>
      <c r="D20">
        <v>0</v>
      </c>
      <c r="E20">
        <v>109056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3:26" x14ac:dyDescent="0.3">
      <c r="C21" t="s">
        <v>111</v>
      </c>
      <c r="D21">
        <v>0</v>
      </c>
      <c r="E21">
        <v>141631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3:26" x14ac:dyDescent="0.3">
      <c r="C22" t="s">
        <v>112</v>
      </c>
      <c r="D22">
        <v>0</v>
      </c>
      <c r="E22">
        <v>95083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3:26" x14ac:dyDescent="0.3">
      <c r="C23" t="s">
        <v>113</v>
      </c>
      <c r="D23">
        <v>0</v>
      </c>
      <c r="E23">
        <v>73615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3:26" x14ac:dyDescent="0.3">
      <c r="C24" t="s">
        <v>114</v>
      </c>
      <c r="D24">
        <v>0</v>
      </c>
      <c r="E24">
        <v>101701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3:26" x14ac:dyDescent="0.3">
      <c r="C25" t="s">
        <v>115</v>
      </c>
      <c r="D25">
        <v>0</v>
      </c>
      <c r="E25">
        <v>101701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3:26" x14ac:dyDescent="0.3">
      <c r="C26" t="s">
        <v>116</v>
      </c>
      <c r="D26">
        <v>0</v>
      </c>
      <c r="E26">
        <v>79505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3:26" x14ac:dyDescent="0.3">
      <c r="C27" t="s">
        <v>117</v>
      </c>
      <c r="D27">
        <v>0</v>
      </c>
      <c r="E27">
        <v>846052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3:26" x14ac:dyDescent="0.3">
      <c r="C28" t="s">
        <v>118</v>
      </c>
      <c r="D28">
        <v>0</v>
      </c>
      <c r="E28">
        <v>846052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3:26" x14ac:dyDescent="0.3">
      <c r="C29" t="s">
        <v>119</v>
      </c>
      <c r="D29">
        <v>0</v>
      </c>
      <c r="E29">
        <v>337433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3:26" x14ac:dyDescent="0.3">
      <c r="C30" t="s">
        <v>120</v>
      </c>
      <c r="D30">
        <v>0</v>
      </c>
      <c r="E30">
        <v>337433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3:26" x14ac:dyDescent="0.3">
      <c r="C31" t="s">
        <v>121</v>
      </c>
      <c r="D31">
        <v>0</v>
      </c>
      <c r="E31">
        <v>337433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3:26" x14ac:dyDescent="0.3">
      <c r="C32" t="s">
        <v>122</v>
      </c>
      <c r="D32">
        <v>0</v>
      </c>
      <c r="E32">
        <v>337433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3:26" x14ac:dyDescent="0.3">
      <c r="C33" t="s">
        <v>123</v>
      </c>
      <c r="D33">
        <v>0</v>
      </c>
      <c r="E33">
        <v>344416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3:26" x14ac:dyDescent="0.3">
      <c r="C34" t="s">
        <v>124</v>
      </c>
      <c r="D34">
        <v>0</v>
      </c>
      <c r="E34">
        <v>344416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3:26" x14ac:dyDescent="0.3">
      <c r="C35" t="s">
        <v>125</v>
      </c>
      <c r="D35">
        <v>0</v>
      </c>
      <c r="E35">
        <v>344416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3:26" x14ac:dyDescent="0.3">
      <c r="C36" t="s">
        <v>126</v>
      </c>
      <c r="D36">
        <v>0</v>
      </c>
      <c r="E36">
        <v>344416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3:26" x14ac:dyDescent="0.3">
      <c r="C37" t="s">
        <v>127</v>
      </c>
      <c r="D37">
        <v>0</v>
      </c>
      <c r="E37">
        <v>305460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3:26" x14ac:dyDescent="0.3">
      <c r="C38" t="s">
        <v>128</v>
      </c>
      <c r="D38">
        <v>0</v>
      </c>
      <c r="E38">
        <v>305460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3:26" x14ac:dyDescent="0.3">
      <c r="C39" t="s">
        <v>129</v>
      </c>
      <c r="D39">
        <v>0</v>
      </c>
      <c r="E39">
        <v>156954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3:26" x14ac:dyDescent="0.3">
      <c r="C40" t="s">
        <v>130</v>
      </c>
      <c r="D40">
        <v>0</v>
      </c>
      <c r="E40">
        <v>156954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3:26" x14ac:dyDescent="0.3">
      <c r="C41" t="s">
        <v>131</v>
      </c>
      <c r="D41">
        <v>0</v>
      </c>
      <c r="E41">
        <v>156954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3:26" x14ac:dyDescent="0.3">
      <c r="C42" t="s">
        <v>132</v>
      </c>
      <c r="D42">
        <v>0</v>
      </c>
      <c r="E42">
        <v>156954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3:26" x14ac:dyDescent="0.3">
      <c r="C43" t="s">
        <v>133</v>
      </c>
      <c r="D43">
        <v>0</v>
      </c>
      <c r="E43">
        <v>142801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257915</v>
      </c>
      <c r="Z43">
        <v>0</v>
      </c>
    </row>
    <row r="44" spans="3:26" x14ac:dyDescent="0.3">
      <c r="C44" t="s">
        <v>134</v>
      </c>
      <c r="D44">
        <v>0</v>
      </c>
      <c r="E44">
        <v>88546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159923</v>
      </c>
      <c r="Z44">
        <v>0</v>
      </c>
    </row>
    <row r="45" spans="3:26" x14ac:dyDescent="0.3">
      <c r="C45" t="s">
        <v>135</v>
      </c>
      <c r="D45">
        <v>0</v>
      </c>
      <c r="E45">
        <v>95555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172582</v>
      </c>
      <c r="Z45">
        <v>0</v>
      </c>
    </row>
    <row r="46" spans="3:26" x14ac:dyDescent="0.3">
      <c r="C46" t="s">
        <v>136</v>
      </c>
      <c r="D46">
        <v>0</v>
      </c>
      <c r="E46">
        <v>86040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155398</v>
      </c>
      <c r="Z46">
        <v>0</v>
      </c>
    </row>
    <row r="47" spans="3:26" x14ac:dyDescent="0.3">
      <c r="C47" t="s">
        <v>137</v>
      </c>
      <c r="D47">
        <v>0</v>
      </c>
      <c r="E47">
        <v>90746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3:26" x14ac:dyDescent="0.3">
      <c r="C48" t="s">
        <v>138</v>
      </c>
      <c r="D48">
        <v>0</v>
      </c>
      <c r="E48">
        <v>49693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3:26" x14ac:dyDescent="0.3">
      <c r="C49" t="s">
        <v>139</v>
      </c>
      <c r="D49">
        <v>0</v>
      </c>
      <c r="E49">
        <v>49693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3:26" x14ac:dyDescent="0.3">
      <c r="C50" t="s">
        <v>140</v>
      </c>
      <c r="D50">
        <v>0</v>
      </c>
      <c r="E50">
        <v>8228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14861</v>
      </c>
      <c r="Z50">
        <v>0</v>
      </c>
    </row>
    <row r="51" spans="3:26" x14ac:dyDescent="0.3">
      <c r="C51" t="s">
        <v>141</v>
      </c>
      <c r="D51">
        <v>0</v>
      </c>
      <c r="E51">
        <v>176557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237277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318881</v>
      </c>
      <c r="Z51">
        <v>0</v>
      </c>
    </row>
    <row r="52" spans="3:26" x14ac:dyDescent="0.3">
      <c r="C52" t="s">
        <v>142</v>
      </c>
      <c r="D52">
        <v>0</v>
      </c>
      <c r="E52">
        <v>1478608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2670530</v>
      </c>
      <c r="Z52">
        <v>0</v>
      </c>
    </row>
    <row r="53" spans="3:26" x14ac:dyDescent="0.3">
      <c r="C53" t="s">
        <v>143</v>
      </c>
      <c r="D53">
        <v>0</v>
      </c>
      <c r="E53">
        <v>654999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1183000</v>
      </c>
      <c r="Z53">
        <v>0</v>
      </c>
    </row>
    <row r="54" spans="3:26" x14ac:dyDescent="0.3">
      <c r="C54" t="s">
        <v>144</v>
      </c>
      <c r="D54">
        <v>0</v>
      </c>
      <c r="E54">
        <v>158268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212698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285849</v>
      </c>
      <c r="Z54">
        <v>0</v>
      </c>
    </row>
    <row r="55" spans="3:26" x14ac:dyDescent="0.3">
      <c r="C55" t="s">
        <v>145</v>
      </c>
      <c r="D55">
        <v>0</v>
      </c>
      <c r="E55">
        <v>140586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253914</v>
      </c>
      <c r="Z55">
        <v>0</v>
      </c>
    </row>
    <row r="56" spans="3:26" x14ac:dyDescent="0.3">
      <c r="C56" t="s">
        <v>146</v>
      </c>
      <c r="D56">
        <v>0</v>
      </c>
      <c r="E56">
        <v>95589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128463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172644</v>
      </c>
      <c r="Z56">
        <v>0</v>
      </c>
    </row>
    <row r="57" spans="3:26" x14ac:dyDescent="0.3">
      <c r="C57" t="s">
        <v>140</v>
      </c>
      <c r="D57">
        <v>0</v>
      </c>
      <c r="E57">
        <v>28962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38923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52309</v>
      </c>
      <c r="Z57">
        <v>0</v>
      </c>
    </row>
    <row r="58" spans="3:26" x14ac:dyDescent="0.3">
      <c r="C58" t="s">
        <v>147</v>
      </c>
      <c r="D58">
        <v>0</v>
      </c>
      <c r="E58">
        <v>49179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66092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88823</v>
      </c>
      <c r="Z58">
        <v>0</v>
      </c>
    </row>
    <row r="59" spans="3:26" x14ac:dyDescent="0.3">
      <c r="C59" t="s">
        <v>148</v>
      </c>
      <c r="D59">
        <v>0</v>
      </c>
      <c r="E59">
        <v>49179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66092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88823</v>
      </c>
      <c r="Z59">
        <v>0</v>
      </c>
    </row>
    <row r="60" spans="3:26" x14ac:dyDescent="0.3">
      <c r="C60" t="s">
        <v>149</v>
      </c>
      <c r="D60">
        <v>0</v>
      </c>
      <c r="E60">
        <v>49170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66080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88806</v>
      </c>
      <c r="Z60">
        <v>0</v>
      </c>
    </row>
    <row r="61" spans="3:26" x14ac:dyDescent="0.3">
      <c r="C61" t="s">
        <v>150</v>
      </c>
      <c r="D61">
        <v>0</v>
      </c>
      <c r="E61">
        <v>49172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66084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88811</v>
      </c>
      <c r="Z61">
        <v>0</v>
      </c>
    </row>
    <row r="62" spans="3:26" x14ac:dyDescent="0.3">
      <c r="C62" t="s">
        <v>151</v>
      </c>
      <c r="D62">
        <v>0</v>
      </c>
      <c r="E62">
        <v>776466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</row>
    <row r="63" spans="3:26" x14ac:dyDescent="0.3">
      <c r="C63" t="s">
        <v>152</v>
      </c>
      <c r="D63">
        <v>0</v>
      </c>
      <c r="E63">
        <v>59115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106768</v>
      </c>
      <c r="Z63">
        <v>0</v>
      </c>
    </row>
    <row r="64" spans="3:26" x14ac:dyDescent="0.3">
      <c r="C64" t="s">
        <v>153</v>
      </c>
      <c r="D64">
        <v>0</v>
      </c>
      <c r="E64">
        <v>59115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106768</v>
      </c>
      <c r="Z64">
        <v>0</v>
      </c>
    </row>
    <row r="65" spans="3:26" x14ac:dyDescent="0.3">
      <c r="C65" t="s">
        <v>154</v>
      </c>
      <c r="D65">
        <v>0</v>
      </c>
      <c r="E65">
        <v>58792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106185</v>
      </c>
      <c r="Z65">
        <v>0</v>
      </c>
    </row>
    <row r="66" spans="3:26" x14ac:dyDescent="0.3">
      <c r="C66" t="s">
        <v>155</v>
      </c>
      <c r="D66">
        <v>0</v>
      </c>
      <c r="E66">
        <v>58476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105615</v>
      </c>
      <c r="Z66">
        <v>0</v>
      </c>
    </row>
    <row r="67" spans="3:26" x14ac:dyDescent="0.3">
      <c r="C67" t="s">
        <v>156</v>
      </c>
      <c r="D67">
        <v>0</v>
      </c>
      <c r="E67">
        <v>58476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105615</v>
      </c>
      <c r="Z67">
        <v>0</v>
      </c>
    </row>
    <row r="68" spans="3:26" x14ac:dyDescent="0.3">
      <c r="C68" t="s">
        <v>157</v>
      </c>
      <c r="D68">
        <v>0</v>
      </c>
      <c r="E68">
        <v>59115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106768</v>
      </c>
      <c r="Z68">
        <v>0</v>
      </c>
    </row>
    <row r="69" spans="3:26" x14ac:dyDescent="0.3">
      <c r="C69" t="s">
        <v>158</v>
      </c>
      <c r="D69">
        <v>0</v>
      </c>
      <c r="E69">
        <v>61434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110957</v>
      </c>
      <c r="Z69">
        <v>0</v>
      </c>
    </row>
    <row r="70" spans="3:26" x14ac:dyDescent="0.3">
      <c r="C70" t="s">
        <v>159</v>
      </c>
      <c r="D70">
        <v>0</v>
      </c>
      <c r="E70">
        <v>58476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105615</v>
      </c>
      <c r="Z70">
        <v>0</v>
      </c>
    </row>
    <row r="71" spans="3:26" x14ac:dyDescent="0.3">
      <c r="C71" t="s">
        <v>160</v>
      </c>
      <c r="D71">
        <v>0</v>
      </c>
      <c r="E71">
        <v>59115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106768</v>
      </c>
      <c r="Z71">
        <v>0</v>
      </c>
    </row>
    <row r="72" spans="3:26" x14ac:dyDescent="0.3">
      <c r="C72" t="s">
        <v>161</v>
      </c>
      <c r="D72">
        <v>0</v>
      </c>
      <c r="E72">
        <v>59115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106768</v>
      </c>
      <c r="Z72">
        <v>0</v>
      </c>
    </row>
    <row r="73" spans="3:26" x14ac:dyDescent="0.3">
      <c r="C73" t="s">
        <v>162</v>
      </c>
      <c r="D73">
        <v>0</v>
      </c>
      <c r="E73">
        <v>59115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106768</v>
      </c>
      <c r="Z73">
        <v>0</v>
      </c>
    </row>
    <row r="74" spans="3:26" x14ac:dyDescent="0.3">
      <c r="C74" t="s">
        <v>163</v>
      </c>
      <c r="D74">
        <v>0</v>
      </c>
      <c r="E74">
        <v>59115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106768</v>
      </c>
      <c r="Z74">
        <v>0</v>
      </c>
    </row>
    <row r="75" spans="3:26" x14ac:dyDescent="0.3">
      <c r="C75" t="s">
        <v>164</v>
      </c>
      <c r="D75">
        <v>0</v>
      </c>
      <c r="E75">
        <v>59115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106768</v>
      </c>
      <c r="Z75">
        <v>0</v>
      </c>
    </row>
    <row r="76" spans="3:26" x14ac:dyDescent="0.3">
      <c r="C76" t="s">
        <v>165</v>
      </c>
      <c r="D76">
        <v>0</v>
      </c>
      <c r="E76">
        <v>61434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110957</v>
      </c>
      <c r="Z76">
        <v>0</v>
      </c>
    </row>
    <row r="77" spans="3:26" x14ac:dyDescent="0.3">
      <c r="C77" t="s">
        <v>166</v>
      </c>
      <c r="D77">
        <v>0</v>
      </c>
      <c r="E77">
        <v>58476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105615</v>
      </c>
      <c r="Z77">
        <v>0</v>
      </c>
    </row>
    <row r="78" spans="3:26" x14ac:dyDescent="0.3">
      <c r="C78" t="s">
        <v>167</v>
      </c>
      <c r="D78">
        <v>0</v>
      </c>
      <c r="E78">
        <v>62396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112695</v>
      </c>
      <c r="Z78">
        <v>0</v>
      </c>
    </row>
    <row r="79" spans="3:26" x14ac:dyDescent="0.3">
      <c r="C79" t="s">
        <v>168</v>
      </c>
      <c r="D79">
        <v>0</v>
      </c>
      <c r="E79">
        <v>58476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105615</v>
      </c>
      <c r="Z79">
        <v>0</v>
      </c>
    </row>
    <row r="80" spans="3:26" x14ac:dyDescent="0.3">
      <c r="C80" t="s">
        <v>169</v>
      </c>
      <c r="D80">
        <v>0</v>
      </c>
      <c r="E80">
        <v>58476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105615</v>
      </c>
      <c r="Z80">
        <v>0</v>
      </c>
    </row>
    <row r="81" spans="3:26" x14ac:dyDescent="0.3">
      <c r="C81" t="s">
        <v>170</v>
      </c>
      <c r="D81">
        <v>0</v>
      </c>
      <c r="E81">
        <v>58476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105615</v>
      </c>
      <c r="Z81">
        <v>0</v>
      </c>
    </row>
    <row r="82" spans="3:26" x14ac:dyDescent="0.3">
      <c r="C82" t="s">
        <v>171</v>
      </c>
      <c r="D82">
        <v>0</v>
      </c>
      <c r="E82">
        <v>58476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105615</v>
      </c>
      <c r="Z82">
        <v>0</v>
      </c>
    </row>
    <row r="83" spans="3:26" x14ac:dyDescent="0.3">
      <c r="C83" t="s">
        <v>172</v>
      </c>
      <c r="D83">
        <v>0</v>
      </c>
      <c r="E83">
        <v>61434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110957</v>
      </c>
      <c r="Z83">
        <v>0</v>
      </c>
    </row>
    <row r="84" spans="3:26" x14ac:dyDescent="0.3">
      <c r="C84" t="s">
        <v>173</v>
      </c>
      <c r="D84">
        <v>0</v>
      </c>
      <c r="E84">
        <v>544076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3:26" x14ac:dyDescent="0.3">
      <c r="C85" t="s">
        <v>174</v>
      </c>
      <c r="D85">
        <v>0</v>
      </c>
      <c r="E85">
        <v>0</v>
      </c>
      <c r="F85">
        <v>46830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72960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3:26" x14ac:dyDescent="0.3">
      <c r="C86" t="s">
        <v>175</v>
      </c>
      <c r="D86">
        <v>0</v>
      </c>
      <c r="E86">
        <v>0</v>
      </c>
      <c r="F86">
        <v>46830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72960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3:26" x14ac:dyDescent="0.3">
      <c r="C87" t="s">
        <v>176</v>
      </c>
      <c r="D87">
        <v>0</v>
      </c>
      <c r="E87">
        <v>0</v>
      </c>
      <c r="F87">
        <v>46830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72960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3:26" x14ac:dyDescent="0.3">
      <c r="C88" t="s">
        <v>177</v>
      </c>
      <c r="D88">
        <v>0</v>
      </c>
      <c r="E88">
        <v>0</v>
      </c>
      <c r="F88">
        <v>47041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73288</v>
      </c>
      <c r="V88">
        <v>0</v>
      </c>
      <c r="W88">
        <v>0</v>
      </c>
      <c r="X88">
        <v>0</v>
      </c>
      <c r="Y88">
        <v>0</v>
      </c>
      <c r="Z88">
        <v>0</v>
      </c>
    </row>
    <row r="89" spans="3:26" x14ac:dyDescent="0.3">
      <c r="C89" t="s">
        <v>178</v>
      </c>
      <c r="D89">
        <v>0</v>
      </c>
      <c r="E89">
        <v>0</v>
      </c>
      <c r="F89">
        <v>47041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73288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3:26" x14ac:dyDescent="0.3">
      <c r="C90" t="s">
        <v>179</v>
      </c>
      <c r="D90">
        <v>0</v>
      </c>
      <c r="E90">
        <v>0</v>
      </c>
      <c r="F90">
        <v>47147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73453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3:26" x14ac:dyDescent="0.3">
      <c r="C91" t="s">
        <v>180</v>
      </c>
      <c r="D91">
        <v>0</v>
      </c>
      <c r="E91">
        <v>0</v>
      </c>
      <c r="F91">
        <v>46860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73007</v>
      </c>
      <c r="V91">
        <v>0</v>
      </c>
      <c r="W91">
        <v>0</v>
      </c>
      <c r="X91">
        <v>0</v>
      </c>
      <c r="Y91">
        <v>0</v>
      </c>
      <c r="Z91">
        <v>0</v>
      </c>
    </row>
    <row r="92" spans="3:26" x14ac:dyDescent="0.3">
      <c r="C92" t="s">
        <v>181</v>
      </c>
      <c r="D92">
        <v>0</v>
      </c>
      <c r="E92">
        <v>0</v>
      </c>
      <c r="F92">
        <v>46827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72955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3:26" x14ac:dyDescent="0.3">
      <c r="C93" t="s">
        <v>182</v>
      </c>
      <c r="D93">
        <v>0</v>
      </c>
      <c r="E93">
        <v>0</v>
      </c>
      <c r="F93">
        <v>47061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73320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3:26" x14ac:dyDescent="0.3">
      <c r="C94" t="s">
        <v>183</v>
      </c>
      <c r="D94">
        <v>0</v>
      </c>
      <c r="E94">
        <v>0</v>
      </c>
      <c r="F94">
        <v>46903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73073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3:26" x14ac:dyDescent="0.3">
      <c r="C95" t="s">
        <v>184</v>
      </c>
      <c r="D95">
        <v>0</v>
      </c>
      <c r="E95">
        <v>0</v>
      </c>
      <c r="F95">
        <v>46829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72958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3:26" x14ac:dyDescent="0.3">
      <c r="C96" t="s">
        <v>185</v>
      </c>
      <c r="D96">
        <v>0</v>
      </c>
      <c r="E96">
        <v>0</v>
      </c>
      <c r="F96">
        <v>46829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72958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3:26" x14ac:dyDescent="0.3">
      <c r="C97" t="s">
        <v>186</v>
      </c>
      <c r="D97">
        <v>0</v>
      </c>
      <c r="E97">
        <v>0</v>
      </c>
      <c r="F97">
        <v>46829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72958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3:26" x14ac:dyDescent="0.3">
      <c r="C98" t="s">
        <v>187</v>
      </c>
      <c r="D98">
        <v>0</v>
      </c>
      <c r="E98">
        <v>0</v>
      </c>
      <c r="F98">
        <v>46923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73105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3:26" x14ac:dyDescent="0.3">
      <c r="C99" t="s">
        <v>188</v>
      </c>
      <c r="D99">
        <v>0</v>
      </c>
      <c r="E99">
        <v>0</v>
      </c>
      <c r="F99">
        <v>46829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72958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3:26" x14ac:dyDescent="0.3">
      <c r="C100" t="s">
        <v>189</v>
      </c>
      <c r="D100">
        <v>0</v>
      </c>
      <c r="E100">
        <v>0</v>
      </c>
      <c r="F100">
        <v>46988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73206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3:26" x14ac:dyDescent="0.3">
      <c r="C101" t="s">
        <v>190</v>
      </c>
      <c r="D101">
        <v>0</v>
      </c>
      <c r="E101">
        <v>0</v>
      </c>
      <c r="F101">
        <v>46776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72875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3:26" x14ac:dyDescent="0.3">
      <c r="C102" t="s">
        <v>191</v>
      </c>
      <c r="D102">
        <v>0</v>
      </c>
      <c r="E102">
        <v>0</v>
      </c>
      <c r="F102">
        <v>46860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73007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3:26" x14ac:dyDescent="0.3">
      <c r="C103" t="s">
        <v>192</v>
      </c>
      <c r="D103">
        <v>0</v>
      </c>
      <c r="E103">
        <v>0</v>
      </c>
      <c r="F103">
        <v>46829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72958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3:26" x14ac:dyDescent="0.3">
      <c r="C104" t="s">
        <v>193</v>
      </c>
      <c r="D104">
        <v>0</v>
      </c>
      <c r="E104">
        <v>0</v>
      </c>
      <c r="F104">
        <v>46829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72958</v>
      </c>
      <c r="V104">
        <v>0</v>
      </c>
      <c r="W104">
        <v>0</v>
      </c>
      <c r="X104">
        <v>0</v>
      </c>
      <c r="Y104">
        <v>0</v>
      </c>
      <c r="Z104">
        <v>0</v>
      </c>
    </row>
    <row r="105" spans="3:26" x14ac:dyDescent="0.3">
      <c r="C105" t="s">
        <v>194</v>
      </c>
      <c r="D105">
        <v>0</v>
      </c>
      <c r="E105">
        <v>0</v>
      </c>
      <c r="F105">
        <v>46829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72958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3:26" x14ac:dyDescent="0.3">
      <c r="C106" t="s">
        <v>195</v>
      </c>
      <c r="D106">
        <v>0</v>
      </c>
      <c r="E106">
        <v>0</v>
      </c>
      <c r="F106">
        <v>46829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72958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3:26" x14ac:dyDescent="0.3">
      <c r="C107" t="s">
        <v>196</v>
      </c>
      <c r="D107">
        <v>0</v>
      </c>
      <c r="E107">
        <v>0</v>
      </c>
      <c r="F107">
        <v>46829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72958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3:26" x14ac:dyDescent="0.3">
      <c r="C108" t="s">
        <v>197</v>
      </c>
      <c r="D108">
        <v>0</v>
      </c>
      <c r="E108">
        <v>0</v>
      </c>
      <c r="F108">
        <v>46829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72958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3:26" x14ac:dyDescent="0.3">
      <c r="C109" t="s">
        <v>198</v>
      </c>
      <c r="D109">
        <v>0</v>
      </c>
      <c r="E109">
        <v>0</v>
      </c>
      <c r="F109">
        <v>46829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72958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3:26" x14ac:dyDescent="0.3">
      <c r="C110" t="s">
        <v>199</v>
      </c>
      <c r="D110">
        <v>0</v>
      </c>
      <c r="E110">
        <v>0</v>
      </c>
      <c r="F110">
        <v>46829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72958</v>
      </c>
      <c r="V110">
        <v>0</v>
      </c>
      <c r="W110">
        <v>0</v>
      </c>
      <c r="X110">
        <v>0</v>
      </c>
      <c r="Y110">
        <v>0</v>
      </c>
      <c r="Z110">
        <v>0</v>
      </c>
    </row>
    <row r="111" spans="3:26" x14ac:dyDescent="0.3">
      <c r="C111" t="s">
        <v>200</v>
      </c>
      <c r="D111">
        <v>0</v>
      </c>
      <c r="E111">
        <v>0</v>
      </c>
      <c r="F111">
        <v>46829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72958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3:26" x14ac:dyDescent="0.3">
      <c r="C112" t="s">
        <v>201</v>
      </c>
      <c r="D112">
        <v>0</v>
      </c>
      <c r="E112">
        <v>0</v>
      </c>
      <c r="F112">
        <v>46829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72958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3:26" x14ac:dyDescent="0.3">
      <c r="C113" t="s">
        <v>202</v>
      </c>
      <c r="D113">
        <v>0</v>
      </c>
      <c r="E113">
        <v>0</v>
      </c>
      <c r="F113">
        <v>46829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72958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3:26" x14ac:dyDescent="0.3">
      <c r="C114" t="s">
        <v>203</v>
      </c>
      <c r="D114">
        <v>0</v>
      </c>
      <c r="E114">
        <v>0</v>
      </c>
      <c r="F114">
        <v>46829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72958</v>
      </c>
      <c r="V114">
        <v>0</v>
      </c>
      <c r="W114">
        <v>0</v>
      </c>
      <c r="X114">
        <v>0</v>
      </c>
      <c r="Y114">
        <v>0</v>
      </c>
      <c r="Z114">
        <v>0</v>
      </c>
    </row>
    <row r="115" spans="3:26" x14ac:dyDescent="0.3">
      <c r="C115" t="s">
        <v>204</v>
      </c>
      <c r="D115">
        <v>0</v>
      </c>
      <c r="E115">
        <v>0</v>
      </c>
      <c r="F115">
        <v>73851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115058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3:26" x14ac:dyDescent="0.3">
      <c r="C116" t="s">
        <v>205</v>
      </c>
      <c r="D116">
        <v>0</v>
      </c>
      <c r="E116">
        <v>0</v>
      </c>
      <c r="F116">
        <v>1456311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2630259</v>
      </c>
    </row>
    <row r="117" spans="3:26" x14ac:dyDescent="0.3">
      <c r="C117" t="s">
        <v>206</v>
      </c>
      <c r="D117">
        <v>0</v>
      </c>
      <c r="E117">
        <v>0</v>
      </c>
      <c r="F117">
        <v>42476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66176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3:26" x14ac:dyDescent="0.3">
      <c r="C118" t="s">
        <v>207</v>
      </c>
      <c r="D118">
        <v>0</v>
      </c>
      <c r="E118">
        <v>0</v>
      </c>
      <c r="F118">
        <v>5461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8508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3:26" x14ac:dyDescent="0.3">
      <c r="C119" t="s">
        <v>208</v>
      </c>
      <c r="D119">
        <v>0</v>
      </c>
      <c r="E119">
        <v>0</v>
      </c>
      <c r="F119">
        <v>5461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7786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3:26" x14ac:dyDescent="0.3">
      <c r="C120" t="s">
        <v>209</v>
      </c>
      <c r="D120">
        <v>0</v>
      </c>
      <c r="E120">
        <v>2073711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3745353</v>
      </c>
      <c r="Z120">
        <v>0</v>
      </c>
    </row>
    <row r="121" spans="3:26" x14ac:dyDescent="0.3">
      <c r="C121" t="s">
        <v>221</v>
      </c>
      <c r="D121">
        <v>0</v>
      </c>
      <c r="E121">
        <v>0</v>
      </c>
      <c r="F121">
        <v>1395918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2521184</v>
      </c>
    </row>
    <row r="122" spans="3:26" x14ac:dyDescent="0.3">
      <c r="C122" t="s">
        <v>222</v>
      </c>
      <c r="D122">
        <v>0</v>
      </c>
      <c r="E122">
        <v>0</v>
      </c>
      <c r="F122">
        <v>362354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654451</v>
      </c>
    </row>
    <row r="123" spans="3:26" x14ac:dyDescent="0.3">
      <c r="C123" t="s">
        <v>226</v>
      </c>
      <c r="D123">
        <v>0</v>
      </c>
      <c r="E123">
        <v>0</v>
      </c>
      <c r="F123">
        <v>699029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939437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1262524</v>
      </c>
    </row>
    <row r="124" spans="3:26" x14ac:dyDescent="0.3">
      <c r="C124" t="s">
        <v>227</v>
      </c>
      <c r="D124">
        <v>0</v>
      </c>
      <c r="E124">
        <v>0</v>
      </c>
      <c r="F124">
        <v>36699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49320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66283</v>
      </c>
    </row>
    <row r="125" spans="3:26" x14ac:dyDescent="0.3">
      <c r="C125" t="s">
        <v>228</v>
      </c>
      <c r="D125">
        <v>0</v>
      </c>
      <c r="E125">
        <v>0</v>
      </c>
      <c r="F125">
        <v>6214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8351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11222</v>
      </c>
    </row>
    <row r="126" spans="3:26" x14ac:dyDescent="0.3">
      <c r="C126" t="s">
        <v>229</v>
      </c>
      <c r="D126">
        <v>0</v>
      </c>
      <c r="E126">
        <v>0</v>
      </c>
      <c r="F126">
        <v>30583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41100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55235</v>
      </c>
    </row>
    <row r="127" spans="3:26" x14ac:dyDescent="0.3">
      <c r="C127" t="s">
        <v>230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3:26" x14ac:dyDescent="0.3">
      <c r="C128" t="s">
        <v>231</v>
      </c>
      <c r="D128">
        <v>0</v>
      </c>
      <c r="E128">
        <v>0</v>
      </c>
      <c r="F128">
        <v>36893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49581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66633</v>
      </c>
    </row>
    <row r="129" spans="3:26" x14ac:dyDescent="0.3">
      <c r="C129" t="s">
        <v>232</v>
      </c>
      <c r="D129">
        <v>0</v>
      </c>
      <c r="E129">
        <v>0</v>
      </c>
      <c r="F129">
        <v>38835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52191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70140</v>
      </c>
    </row>
    <row r="130" spans="3:26" x14ac:dyDescent="0.3">
      <c r="C130" t="s">
        <v>233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3:26" x14ac:dyDescent="0.3">
      <c r="C131" t="s">
        <v>234</v>
      </c>
      <c r="D131">
        <v>0</v>
      </c>
      <c r="E131">
        <v>0</v>
      </c>
      <c r="F131">
        <v>54369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73067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98196</v>
      </c>
    </row>
    <row r="132" spans="3:26" x14ac:dyDescent="0.3">
      <c r="C132" t="s">
        <v>235</v>
      </c>
      <c r="D132">
        <v>0</v>
      </c>
      <c r="E132">
        <v>0</v>
      </c>
      <c r="F132">
        <v>314563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422747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568136</v>
      </c>
    </row>
    <row r="133" spans="3:26" x14ac:dyDescent="0.3">
      <c r="C133" t="s">
        <v>236</v>
      </c>
      <c r="D133">
        <v>0</v>
      </c>
      <c r="E133">
        <v>0</v>
      </c>
      <c r="F133">
        <v>69903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93944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126252</v>
      </c>
    </row>
    <row r="134" spans="3:26" x14ac:dyDescent="0.3">
      <c r="C134" t="s">
        <v>237</v>
      </c>
      <c r="D134">
        <v>0</v>
      </c>
      <c r="E134">
        <v>0</v>
      </c>
      <c r="F134">
        <v>176699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237469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319138</v>
      </c>
    </row>
    <row r="135" spans="3:26" x14ac:dyDescent="0.3">
      <c r="C135" t="s">
        <v>238</v>
      </c>
      <c r="D135">
        <v>0</v>
      </c>
      <c r="E135">
        <v>0</v>
      </c>
      <c r="F135">
        <v>3883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5219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7014</v>
      </c>
    </row>
  </sheetData>
  <hyperlinks>
    <hyperlink ref="B2" location="'Home Sheet'!B2" display="BACK TO HOME SHEET" xr:uid="{10EBBAC9-500E-49C1-8C91-AD0137277C3D}"/>
  </hyperlinks>
  <pageMargins left="0.75" right="0.75" top="1" bottom="1" header="0.5" footer="0.5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B2:Z27"/>
  <sheetViews>
    <sheetView workbookViewId="0">
      <selection activeCell="B2" sqref="B2"/>
    </sheetView>
  </sheetViews>
  <sheetFormatPr defaultRowHeight="14.4" x14ac:dyDescent="0.3"/>
  <cols>
    <col min="2" max="2" width="19.5546875" bestFit="1" customWidth="1"/>
    <col min="3" max="3" width="22.77734375" bestFit="1" customWidth="1"/>
    <col min="4" max="26" width="6" bestFit="1" customWidth="1"/>
  </cols>
  <sheetData>
    <row r="2" spans="2:26" x14ac:dyDescent="0.3">
      <c r="B2" s="2" t="s">
        <v>372</v>
      </c>
    </row>
    <row r="3" spans="2:26" x14ac:dyDescent="0.3">
      <c r="C3" s="3" t="s">
        <v>6</v>
      </c>
      <c r="D3" s="3" t="s">
        <v>7</v>
      </c>
      <c r="E3" s="3" t="s">
        <v>8</v>
      </c>
      <c r="F3" s="3" t="s">
        <v>9</v>
      </c>
      <c r="G3" s="3" t="s">
        <v>10</v>
      </c>
      <c r="H3" s="3" t="s">
        <v>11</v>
      </c>
      <c r="I3" s="3" t="s">
        <v>12</v>
      </c>
      <c r="J3" s="3" t="s">
        <v>13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3" t="s">
        <v>19</v>
      </c>
      <c r="Q3" s="3" t="s">
        <v>20</v>
      </c>
      <c r="R3" s="3" t="s">
        <v>21</v>
      </c>
      <c r="S3" s="3" t="s">
        <v>22</v>
      </c>
      <c r="T3" s="3" t="s">
        <v>23</v>
      </c>
      <c r="U3" s="3" t="s">
        <v>24</v>
      </c>
      <c r="V3" s="3" t="s">
        <v>25</v>
      </c>
      <c r="W3" s="3" t="s">
        <v>26</v>
      </c>
      <c r="X3" s="3" t="s">
        <v>27</v>
      </c>
      <c r="Y3" s="3" t="s">
        <v>28</v>
      </c>
      <c r="Z3" s="3" t="s">
        <v>29</v>
      </c>
    </row>
    <row r="4" spans="2:26" x14ac:dyDescent="0.3">
      <c r="C4" t="s">
        <v>314</v>
      </c>
      <c r="D4">
        <v>0</v>
      </c>
      <c r="E4">
        <v>0</v>
      </c>
      <c r="F4">
        <v>250</v>
      </c>
      <c r="G4">
        <v>250</v>
      </c>
      <c r="H4">
        <v>250</v>
      </c>
      <c r="I4">
        <v>250</v>
      </c>
      <c r="J4">
        <v>250</v>
      </c>
      <c r="K4">
        <v>250</v>
      </c>
      <c r="L4">
        <v>250</v>
      </c>
      <c r="M4">
        <v>250</v>
      </c>
      <c r="N4">
        <v>250</v>
      </c>
      <c r="O4">
        <v>250</v>
      </c>
      <c r="P4">
        <v>250</v>
      </c>
      <c r="Q4">
        <v>250</v>
      </c>
      <c r="R4">
        <v>250</v>
      </c>
      <c r="S4">
        <v>250</v>
      </c>
      <c r="T4">
        <v>250</v>
      </c>
      <c r="U4">
        <v>250</v>
      </c>
      <c r="V4">
        <v>250</v>
      </c>
      <c r="W4">
        <v>250</v>
      </c>
      <c r="X4">
        <v>250</v>
      </c>
      <c r="Y4">
        <v>250</v>
      </c>
      <c r="Z4">
        <v>250</v>
      </c>
    </row>
    <row r="5" spans="2:26" x14ac:dyDescent="0.3">
      <c r="C5" t="s">
        <v>315</v>
      </c>
      <c r="D5">
        <v>0</v>
      </c>
      <c r="E5">
        <v>0</v>
      </c>
      <c r="F5">
        <v>100</v>
      </c>
      <c r="G5">
        <v>100</v>
      </c>
      <c r="H5">
        <v>100</v>
      </c>
      <c r="I5">
        <v>100</v>
      </c>
      <c r="J5">
        <v>100</v>
      </c>
      <c r="K5">
        <v>100</v>
      </c>
      <c r="L5">
        <v>100</v>
      </c>
      <c r="M5">
        <v>100</v>
      </c>
      <c r="N5">
        <v>100</v>
      </c>
      <c r="O5">
        <v>100</v>
      </c>
      <c r="P5">
        <v>100</v>
      </c>
      <c r="Q5">
        <v>100</v>
      </c>
      <c r="R5">
        <v>100</v>
      </c>
      <c r="S5">
        <v>100</v>
      </c>
      <c r="T5">
        <v>100</v>
      </c>
      <c r="U5">
        <v>100</v>
      </c>
      <c r="V5">
        <v>100</v>
      </c>
      <c r="W5">
        <v>100</v>
      </c>
      <c r="X5">
        <v>100</v>
      </c>
      <c r="Y5">
        <v>100</v>
      </c>
      <c r="Z5">
        <v>100</v>
      </c>
    </row>
    <row r="6" spans="2:26" x14ac:dyDescent="0.3">
      <c r="C6" t="s">
        <v>316</v>
      </c>
      <c r="D6">
        <v>0</v>
      </c>
      <c r="E6">
        <v>0</v>
      </c>
      <c r="F6">
        <v>450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2:26" x14ac:dyDescent="0.3">
      <c r="C7" t="s">
        <v>317</v>
      </c>
      <c r="D7">
        <v>0</v>
      </c>
      <c r="E7">
        <v>0</v>
      </c>
      <c r="F7">
        <v>25</v>
      </c>
      <c r="G7">
        <v>25</v>
      </c>
      <c r="H7">
        <v>25</v>
      </c>
      <c r="I7">
        <v>25</v>
      </c>
      <c r="J7">
        <v>25</v>
      </c>
      <c r="K7">
        <v>25</v>
      </c>
      <c r="L7">
        <v>25</v>
      </c>
      <c r="M7">
        <v>25</v>
      </c>
      <c r="N7">
        <v>25</v>
      </c>
      <c r="O7">
        <v>25</v>
      </c>
      <c r="P7">
        <v>25</v>
      </c>
      <c r="Q7">
        <v>25</v>
      </c>
      <c r="R7">
        <v>25</v>
      </c>
      <c r="S7">
        <v>25</v>
      </c>
      <c r="T7">
        <v>25</v>
      </c>
      <c r="U7">
        <v>25</v>
      </c>
      <c r="V7">
        <v>25</v>
      </c>
      <c r="W7">
        <v>25</v>
      </c>
      <c r="X7">
        <v>25</v>
      </c>
      <c r="Y7">
        <v>25</v>
      </c>
      <c r="Z7">
        <v>25</v>
      </c>
    </row>
    <row r="8" spans="2:26" x14ac:dyDescent="0.3">
      <c r="C8" t="s">
        <v>318</v>
      </c>
      <c r="D8">
        <v>0</v>
      </c>
      <c r="E8">
        <v>0</v>
      </c>
      <c r="F8">
        <v>10000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2:26" x14ac:dyDescent="0.3">
      <c r="C9" t="s">
        <v>319</v>
      </c>
      <c r="D9">
        <v>0</v>
      </c>
      <c r="E9">
        <v>0</v>
      </c>
      <c r="F9">
        <v>20000</v>
      </c>
      <c r="G9">
        <v>0</v>
      </c>
      <c r="H9">
        <v>0</v>
      </c>
      <c r="I9">
        <v>0</v>
      </c>
      <c r="J9">
        <v>0</v>
      </c>
      <c r="K9">
        <v>20000</v>
      </c>
      <c r="L9">
        <v>0</v>
      </c>
      <c r="M9">
        <v>0</v>
      </c>
      <c r="N9">
        <v>0</v>
      </c>
      <c r="O9">
        <v>0</v>
      </c>
      <c r="P9">
        <v>20000</v>
      </c>
      <c r="Q9">
        <v>0</v>
      </c>
      <c r="R9">
        <v>0</v>
      </c>
      <c r="S9">
        <v>0</v>
      </c>
      <c r="T9">
        <v>0</v>
      </c>
      <c r="U9">
        <v>20000</v>
      </c>
      <c r="V9">
        <v>0</v>
      </c>
      <c r="W9">
        <v>0</v>
      </c>
      <c r="X9">
        <v>0</v>
      </c>
      <c r="Y9">
        <v>0</v>
      </c>
      <c r="Z9">
        <v>20000</v>
      </c>
    </row>
    <row r="10" spans="2:26" x14ac:dyDescent="0.3">
      <c r="C10" t="s">
        <v>320</v>
      </c>
      <c r="D10">
        <v>0</v>
      </c>
      <c r="E10">
        <v>0</v>
      </c>
      <c r="F10">
        <v>8500</v>
      </c>
      <c r="G10">
        <v>0</v>
      </c>
      <c r="H10">
        <v>0</v>
      </c>
      <c r="I10">
        <v>0</v>
      </c>
      <c r="J10">
        <v>0</v>
      </c>
      <c r="K10">
        <v>8500</v>
      </c>
      <c r="L10">
        <v>0</v>
      </c>
      <c r="M10">
        <v>0</v>
      </c>
      <c r="N10">
        <v>0</v>
      </c>
      <c r="O10">
        <v>0</v>
      </c>
      <c r="P10">
        <v>8500</v>
      </c>
      <c r="Q10">
        <v>0</v>
      </c>
      <c r="R10">
        <v>0</v>
      </c>
      <c r="S10">
        <v>0</v>
      </c>
      <c r="T10">
        <v>0</v>
      </c>
      <c r="U10">
        <v>8500</v>
      </c>
      <c r="V10">
        <v>0</v>
      </c>
      <c r="W10">
        <v>0</v>
      </c>
      <c r="X10">
        <v>0</v>
      </c>
      <c r="Y10">
        <v>0</v>
      </c>
      <c r="Z10">
        <v>8500</v>
      </c>
    </row>
    <row r="11" spans="2:26" x14ac:dyDescent="0.3">
      <c r="C11" t="s">
        <v>321</v>
      </c>
      <c r="D11">
        <v>0</v>
      </c>
      <c r="E11">
        <v>0</v>
      </c>
      <c r="F11">
        <v>3500</v>
      </c>
      <c r="G11">
        <v>3500</v>
      </c>
      <c r="H11">
        <v>3500</v>
      </c>
      <c r="I11">
        <v>3500</v>
      </c>
      <c r="J11">
        <v>3500</v>
      </c>
      <c r="K11">
        <v>3500</v>
      </c>
      <c r="L11">
        <v>3500</v>
      </c>
      <c r="M11">
        <v>3500</v>
      </c>
      <c r="N11">
        <v>3500</v>
      </c>
      <c r="O11">
        <v>3500</v>
      </c>
      <c r="P11">
        <v>3500</v>
      </c>
      <c r="Q11">
        <v>3500</v>
      </c>
      <c r="R11">
        <v>3500</v>
      </c>
      <c r="S11">
        <v>3500</v>
      </c>
      <c r="T11">
        <v>3500</v>
      </c>
      <c r="U11">
        <v>3500</v>
      </c>
      <c r="V11">
        <v>3500</v>
      </c>
      <c r="W11">
        <v>3500</v>
      </c>
      <c r="X11">
        <v>3500</v>
      </c>
      <c r="Y11">
        <v>3500</v>
      </c>
      <c r="Z11">
        <v>3500</v>
      </c>
    </row>
    <row r="12" spans="2:26" x14ac:dyDescent="0.3">
      <c r="C12" t="s">
        <v>322</v>
      </c>
      <c r="D12">
        <v>54000</v>
      </c>
      <c r="E12">
        <v>54000</v>
      </c>
      <c r="F12">
        <v>54000</v>
      </c>
      <c r="G12">
        <v>54000</v>
      </c>
      <c r="H12">
        <v>54000</v>
      </c>
      <c r="I12">
        <v>54000</v>
      </c>
      <c r="J12">
        <v>54000</v>
      </c>
      <c r="K12">
        <v>54000</v>
      </c>
      <c r="L12">
        <v>54000</v>
      </c>
      <c r="M12">
        <v>54000</v>
      </c>
      <c r="N12">
        <v>54000</v>
      </c>
      <c r="O12">
        <v>54000</v>
      </c>
      <c r="P12">
        <v>54000</v>
      </c>
      <c r="Q12">
        <v>54000</v>
      </c>
      <c r="R12">
        <v>54000</v>
      </c>
      <c r="S12">
        <v>54000</v>
      </c>
      <c r="T12">
        <v>54000</v>
      </c>
      <c r="U12">
        <v>54000</v>
      </c>
      <c r="V12">
        <v>54000</v>
      </c>
      <c r="W12">
        <v>54000</v>
      </c>
      <c r="X12">
        <v>54000</v>
      </c>
      <c r="Y12">
        <v>54000</v>
      </c>
      <c r="Z12">
        <v>54000</v>
      </c>
    </row>
    <row r="13" spans="2:26" x14ac:dyDescent="0.3">
      <c r="C13" t="s">
        <v>323</v>
      </c>
      <c r="D13">
        <v>0</v>
      </c>
      <c r="E13">
        <v>0</v>
      </c>
      <c r="F13">
        <v>4500</v>
      </c>
      <c r="G13">
        <v>4500</v>
      </c>
      <c r="H13">
        <v>4500</v>
      </c>
      <c r="I13">
        <v>4500</v>
      </c>
      <c r="J13">
        <v>4500</v>
      </c>
      <c r="K13">
        <v>4500</v>
      </c>
      <c r="L13">
        <v>4500</v>
      </c>
      <c r="M13">
        <v>4500</v>
      </c>
      <c r="N13">
        <v>4500</v>
      </c>
      <c r="O13">
        <v>4500</v>
      </c>
      <c r="P13">
        <v>4500</v>
      </c>
      <c r="Q13">
        <v>4500</v>
      </c>
      <c r="R13">
        <v>4500</v>
      </c>
      <c r="S13">
        <v>4500</v>
      </c>
      <c r="T13">
        <v>4500</v>
      </c>
      <c r="U13">
        <v>4500</v>
      </c>
      <c r="V13">
        <v>4500</v>
      </c>
      <c r="W13">
        <v>4500</v>
      </c>
      <c r="X13">
        <v>4500</v>
      </c>
      <c r="Y13">
        <v>4500</v>
      </c>
      <c r="Z13">
        <v>4500</v>
      </c>
    </row>
    <row r="14" spans="2:26" x14ac:dyDescent="0.3">
      <c r="C14" t="s">
        <v>324</v>
      </c>
      <c r="D14">
        <v>0</v>
      </c>
      <c r="E14">
        <v>0</v>
      </c>
      <c r="F14">
        <v>2000</v>
      </c>
      <c r="G14">
        <v>2000</v>
      </c>
      <c r="H14">
        <v>2000</v>
      </c>
      <c r="I14">
        <v>2000</v>
      </c>
      <c r="J14">
        <v>2000</v>
      </c>
      <c r="K14">
        <v>2000</v>
      </c>
      <c r="L14">
        <v>2000</v>
      </c>
      <c r="M14">
        <v>2000</v>
      </c>
      <c r="N14">
        <v>2000</v>
      </c>
      <c r="O14">
        <v>2000</v>
      </c>
      <c r="P14">
        <v>2000</v>
      </c>
      <c r="Q14">
        <v>2000</v>
      </c>
      <c r="R14">
        <v>2000</v>
      </c>
      <c r="S14">
        <v>2000</v>
      </c>
      <c r="T14">
        <v>2000</v>
      </c>
      <c r="U14">
        <v>2000</v>
      </c>
      <c r="V14">
        <v>2000</v>
      </c>
      <c r="W14">
        <v>2000</v>
      </c>
      <c r="X14">
        <v>2000</v>
      </c>
      <c r="Y14">
        <v>2000</v>
      </c>
      <c r="Z14">
        <v>2000</v>
      </c>
    </row>
    <row r="15" spans="2:26" x14ac:dyDescent="0.3">
      <c r="C15" t="s">
        <v>325</v>
      </c>
      <c r="D15">
        <v>0</v>
      </c>
      <c r="E15">
        <v>0</v>
      </c>
      <c r="F15">
        <v>3000</v>
      </c>
      <c r="G15">
        <v>3000</v>
      </c>
      <c r="H15">
        <v>3000</v>
      </c>
      <c r="I15">
        <v>3000</v>
      </c>
      <c r="J15">
        <v>3000</v>
      </c>
      <c r="K15">
        <v>3000</v>
      </c>
      <c r="L15">
        <v>3000</v>
      </c>
      <c r="M15">
        <v>3000</v>
      </c>
      <c r="N15">
        <v>3000</v>
      </c>
      <c r="O15">
        <v>3000</v>
      </c>
      <c r="P15">
        <v>3000</v>
      </c>
      <c r="Q15">
        <v>3000</v>
      </c>
      <c r="R15">
        <v>3000</v>
      </c>
      <c r="S15">
        <v>3000</v>
      </c>
      <c r="T15">
        <v>3000</v>
      </c>
      <c r="U15">
        <v>3000</v>
      </c>
      <c r="V15">
        <v>3000</v>
      </c>
      <c r="W15">
        <v>3000</v>
      </c>
      <c r="X15">
        <v>3000</v>
      </c>
      <c r="Y15">
        <v>3000</v>
      </c>
      <c r="Z15">
        <v>3000</v>
      </c>
    </row>
    <row r="16" spans="2:26" x14ac:dyDescent="0.3">
      <c r="C16" t="s">
        <v>326</v>
      </c>
      <c r="D16">
        <v>0</v>
      </c>
      <c r="E16">
        <v>0</v>
      </c>
      <c r="F16">
        <v>2500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3:26" x14ac:dyDescent="0.3">
      <c r="C17" t="s">
        <v>327</v>
      </c>
      <c r="D17">
        <v>0</v>
      </c>
      <c r="E17">
        <v>0</v>
      </c>
      <c r="F17">
        <v>85000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3:26" x14ac:dyDescent="0.3">
      <c r="C18" t="s">
        <v>328</v>
      </c>
      <c r="D18">
        <v>0</v>
      </c>
      <c r="E18">
        <v>0</v>
      </c>
      <c r="F18">
        <v>25662</v>
      </c>
      <c r="G18">
        <v>25662</v>
      </c>
      <c r="H18">
        <v>25662</v>
      </c>
      <c r="I18">
        <v>25662</v>
      </c>
      <c r="J18">
        <v>25662</v>
      </c>
      <c r="K18">
        <v>25662</v>
      </c>
      <c r="L18">
        <v>25662</v>
      </c>
      <c r="M18">
        <v>25662</v>
      </c>
      <c r="N18">
        <v>25662</v>
      </c>
      <c r="O18">
        <v>25662</v>
      </c>
      <c r="P18">
        <v>25662</v>
      </c>
      <c r="Q18">
        <v>25662</v>
      </c>
      <c r="R18">
        <v>25662</v>
      </c>
      <c r="S18">
        <v>25662</v>
      </c>
      <c r="T18">
        <v>25662</v>
      </c>
      <c r="U18">
        <v>25662</v>
      </c>
      <c r="V18">
        <v>25662</v>
      </c>
      <c r="W18">
        <v>25662</v>
      </c>
      <c r="X18">
        <v>25662</v>
      </c>
      <c r="Y18">
        <v>25662</v>
      </c>
      <c r="Z18">
        <v>25662</v>
      </c>
    </row>
    <row r="19" spans="3:26" x14ac:dyDescent="0.3">
      <c r="C19" t="s">
        <v>329</v>
      </c>
      <c r="D19">
        <v>0</v>
      </c>
      <c r="E19">
        <v>0</v>
      </c>
      <c r="F19">
        <v>22000</v>
      </c>
      <c r="G19">
        <v>22000</v>
      </c>
      <c r="H19">
        <v>22000</v>
      </c>
      <c r="I19">
        <v>22000</v>
      </c>
      <c r="J19">
        <v>22000</v>
      </c>
      <c r="K19">
        <v>22000</v>
      </c>
      <c r="L19">
        <v>22000</v>
      </c>
      <c r="M19">
        <v>22000</v>
      </c>
      <c r="N19">
        <v>22000</v>
      </c>
      <c r="O19">
        <v>22000</v>
      </c>
      <c r="P19">
        <v>22000</v>
      </c>
      <c r="Q19">
        <v>22000</v>
      </c>
      <c r="R19">
        <v>22000</v>
      </c>
      <c r="S19">
        <v>22000</v>
      </c>
      <c r="T19">
        <v>22000</v>
      </c>
      <c r="U19">
        <v>22000</v>
      </c>
      <c r="V19">
        <v>22000</v>
      </c>
      <c r="W19">
        <v>22000</v>
      </c>
      <c r="X19">
        <v>22000</v>
      </c>
      <c r="Y19">
        <v>22000</v>
      </c>
      <c r="Z19">
        <v>22000</v>
      </c>
    </row>
    <row r="20" spans="3:26" x14ac:dyDescent="0.3">
      <c r="C20" t="s">
        <v>330</v>
      </c>
      <c r="D20">
        <v>0</v>
      </c>
      <c r="E20">
        <v>0</v>
      </c>
      <c r="F20">
        <v>18000</v>
      </c>
      <c r="G20">
        <v>18000</v>
      </c>
      <c r="H20">
        <v>18000</v>
      </c>
      <c r="I20">
        <v>18000</v>
      </c>
      <c r="J20">
        <v>18000</v>
      </c>
      <c r="K20">
        <v>18000</v>
      </c>
      <c r="L20">
        <v>18000</v>
      </c>
      <c r="M20">
        <v>18000</v>
      </c>
      <c r="N20">
        <v>18000</v>
      </c>
      <c r="O20">
        <v>18000</v>
      </c>
      <c r="P20">
        <v>18000</v>
      </c>
      <c r="Q20">
        <v>18000</v>
      </c>
      <c r="R20">
        <v>18000</v>
      </c>
      <c r="S20">
        <v>18000</v>
      </c>
      <c r="T20">
        <v>18000</v>
      </c>
      <c r="U20">
        <v>18000</v>
      </c>
      <c r="V20">
        <v>18000</v>
      </c>
      <c r="W20">
        <v>18000</v>
      </c>
      <c r="X20">
        <v>18000</v>
      </c>
      <c r="Y20">
        <v>18000</v>
      </c>
      <c r="Z20">
        <v>18000</v>
      </c>
    </row>
    <row r="21" spans="3:26" x14ac:dyDescent="0.3">
      <c r="C21" t="s">
        <v>331</v>
      </c>
      <c r="D21">
        <v>0</v>
      </c>
      <c r="E21">
        <v>0</v>
      </c>
      <c r="F21">
        <v>22000</v>
      </c>
      <c r="G21">
        <v>22000</v>
      </c>
      <c r="H21">
        <v>22000</v>
      </c>
      <c r="I21">
        <v>22000</v>
      </c>
      <c r="J21">
        <v>22000</v>
      </c>
      <c r="K21">
        <v>22000</v>
      </c>
      <c r="L21">
        <v>22000</v>
      </c>
      <c r="M21">
        <v>22000</v>
      </c>
      <c r="N21">
        <v>22000</v>
      </c>
      <c r="O21">
        <v>22000</v>
      </c>
      <c r="P21">
        <v>22000</v>
      </c>
      <c r="Q21">
        <v>22000</v>
      </c>
      <c r="R21">
        <v>22000</v>
      </c>
      <c r="S21">
        <v>22000</v>
      </c>
      <c r="T21">
        <v>22000</v>
      </c>
      <c r="U21">
        <v>22000</v>
      </c>
      <c r="V21">
        <v>22000</v>
      </c>
      <c r="W21">
        <v>22000</v>
      </c>
      <c r="X21">
        <v>22000</v>
      </c>
      <c r="Y21">
        <v>22000</v>
      </c>
      <c r="Z21">
        <v>22000</v>
      </c>
    </row>
    <row r="22" spans="3:26" x14ac:dyDescent="0.3">
      <c r="C22" t="s">
        <v>332</v>
      </c>
      <c r="D22">
        <v>0</v>
      </c>
      <c r="E22">
        <v>0</v>
      </c>
      <c r="F22">
        <v>14000</v>
      </c>
      <c r="G22">
        <v>14000</v>
      </c>
      <c r="H22">
        <v>14000</v>
      </c>
      <c r="I22">
        <v>14000</v>
      </c>
      <c r="J22">
        <v>14000</v>
      </c>
      <c r="K22">
        <v>14000</v>
      </c>
      <c r="L22">
        <v>14000</v>
      </c>
      <c r="M22">
        <v>14000</v>
      </c>
      <c r="N22">
        <v>14000</v>
      </c>
      <c r="O22">
        <v>14000</v>
      </c>
      <c r="P22">
        <v>14000</v>
      </c>
      <c r="Q22">
        <v>14000</v>
      </c>
      <c r="R22">
        <v>14000</v>
      </c>
      <c r="S22">
        <v>14000</v>
      </c>
      <c r="T22">
        <v>14000</v>
      </c>
      <c r="U22">
        <v>14000</v>
      </c>
      <c r="V22">
        <v>14000</v>
      </c>
      <c r="W22">
        <v>14000</v>
      </c>
      <c r="X22">
        <v>14000</v>
      </c>
      <c r="Y22">
        <v>14000</v>
      </c>
      <c r="Z22">
        <v>14000</v>
      </c>
    </row>
    <row r="23" spans="3:26" x14ac:dyDescent="0.3">
      <c r="C23" t="s">
        <v>333</v>
      </c>
      <c r="D23">
        <v>0</v>
      </c>
      <c r="E23">
        <v>0</v>
      </c>
      <c r="F23">
        <v>16000</v>
      </c>
      <c r="G23">
        <v>16000</v>
      </c>
      <c r="H23">
        <v>16000</v>
      </c>
      <c r="I23">
        <v>16000</v>
      </c>
      <c r="J23">
        <v>16000</v>
      </c>
      <c r="K23">
        <v>16000</v>
      </c>
      <c r="L23">
        <v>16000</v>
      </c>
      <c r="M23">
        <v>16000</v>
      </c>
      <c r="N23">
        <v>16000</v>
      </c>
      <c r="O23">
        <v>16000</v>
      </c>
      <c r="P23">
        <v>16000</v>
      </c>
      <c r="Q23">
        <v>16000</v>
      </c>
      <c r="R23">
        <v>16000</v>
      </c>
      <c r="S23">
        <v>16000</v>
      </c>
      <c r="T23">
        <v>16000</v>
      </c>
      <c r="U23">
        <v>16000</v>
      </c>
      <c r="V23">
        <v>16000</v>
      </c>
      <c r="W23">
        <v>16000</v>
      </c>
      <c r="X23">
        <v>16000</v>
      </c>
      <c r="Y23">
        <v>16000</v>
      </c>
      <c r="Z23">
        <v>16000</v>
      </c>
    </row>
    <row r="24" spans="3:26" x14ac:dyDescent="0.3">
      <c r="C24" t="s">
        <v>334</v>
      </c>
      <c r="D24">
        <v>0</v>
      </c>
      <c r="E24">
        <v>0</v>
      </c>
      <c r="F24">
        <v>9500</v>
      </c>
      <c r="G24">
        <v>9500</v>
      </c>
      <c r="H24">
        <v>9500</v>
      </c>
      <c r="I24">
        <v>9500</v>
      </c>
      <c r="J24">
        <v>9500</v>
      </c>
      <c r="K24">
        <v>9500</v>
      </c>
      <c r="L24">
        <v>9500</v>
      </c>
      <c r="M24">
        <v>9500</v>
      </c>
      <c r="N24">
        <v>9500</v>
      </c>
      <c r="O24">
        <v>9500</v>
      </c>
      <c r="P24">
        <v>9500</v>
      </c>
      <c r="Q24">
        <v>9500</v>
      </c>
      <c r="R24">
        <v>9500</v>
      </c>
      <c r="S24">
        <v>9500</v>
      </c>
      <c r="T24">
        <v>9500</v>
      </c>
      <c r="U24">
        <v>9500</v>
      </c>
      <c r="V24">
        <v>9500</v>
      </c>
      <c r="W24">
        <v>9500</v>
      </c>
      <c r="X24">
        <v>9500</v>
      </c>
      <c r="Y24">
        <v>9500</v>
      </c>
      <c r="Z24">
        <v>9500</v>
      </c>
    </row>
    <row r="25" spans="3:26" x14ac:dyDescent="0.3">
      <c r="C25" t="s">
        <v>335</v>
      </c>
      <c r="D25">
        <v>0</v>
      </c>
      <c r="E25">
        <v>0</v>
      </c>
      <c r="F25">
        <v>12000</v>
      </c>
      <c r="G25">
        <v>12000</v>
      </c>
      <c r="H25">
        <v>12000</v>
      </c>
      <c r="I25">
        <v>12000</v>
      </c>
      <c r="J25">
        <v>12000</v>
      </c>
      <c r="K25">
        <v>12000</v>
      </c>
      <c r="L25">
        <v>12000</v>
      </c>
      <c r="M25">
        <v>12000</v>
      </c>
      <c r="N25">
        <v>12000</v>
      </c>
      <c r="O25">
        <v>12000</v>
      </c>
      <c r="P25">
        <v>12000</v>
      </c>
      <c r="Q25">
        <v>12000</v>
      </c>
      <c r="R25">
        <v>12000</v>
      </c>
      <c r="S25">
        <v>12000</v>
      </c>
      <c r="T25">
        <v>12000</v>
      </c>
      <c r="U25">
        <v>12000</v>
      </c>
      <c r="V25">
        <v>12000</v>
      </c>
      <c r="W25">
        <v>12000</v>
      </c>
      <c r="X25">
        <v>12000</v>
      </c>
      <c r="Y25">
        <v>12000</v>
      </c>
      <c r="Z25">
        <v>12000</v>
      </c>
    </row>
    <row r="26" spans="3:26" x14ac:dyDescent="0.3">
      <c r="C26" t="s">
        <v>336</v>
      </c>
      <c r="D26">
        <v>0</v>
      </c>
      <c r="E26">
        <v>0</v>
      </c>
      <c r="F26">
        <v>6500</v>
      </c>
      <c r="G26">
        <v>6500</v>
      </c>
      <c r="H26">
        <v>6500</v>
      </c>
      <c r="I26">
        <v>6500</v>
      </c>
      <c r="J26">
        <v>6500</v>
      </c>
      <c r="K26">
        <v>6500</v>
      </c>
      <c r="L26">
        <v>6500</v>
      </c>
      <c r="M26">
        <v>6500</v>
      </c>
      <c r="N26">
        <v>6500</v>
      </c>
      <c r="O26">
        <v>6500</v>
      </c>
      <c r="P26">
        <v>6500</v>
      </c>
      <c r="Q26">
        <v>6500</v>
      </c>
      <c r="R26">
        <v>6500</v>
      </c>
      <c r="S26">
        <v>6500</v>
      </c>
      <c r="T26">
        <v>6500</v>
      </c>
      <c r="U26">
        <v>6500</v>
      </c>
      <c r="V26">
        <v>6500</v>
      </c>
      <c r="W26">
        <v>6500</v>
      </c>
      <c r="X26">
        <v>6500</v>
      </c>
      <c r="Y26">
        <v>6500</v>
      </c>
      <c r="Z26">
        <v>6500</v>
      </c>
    </row>
    <row r="27" spans="3:26" x14ac:dyDescent="0.3">
      <c r="C27" t="s">
        <v>337</v>
      </c>
      <c r="D27">
        <v>0</v>
      </c>
      <c r="E27">
        <v>0</v>
      </c>
      <c r="F27">
        <v>8500</v>
      </c>
      <c r="G27">
        <v>8500</v>
      </c>
      <c r="H27">
        <v>8500</v>
      </c>
      <c r="I27">
        <v>8500</v>
      </c>
      <c r="J27">
        <v>8500</v>
      </c>
      <c r="K27">
        <v>8500</v>
      </c>
      <c r="L27">
        <v>8500</v>
      </c>
      <c r="M27">
        <v>8500</v>
      </c>
      <c r="N27">
        <v>8500</v>
      </c>
      <c r="O27">
        <v>8500</v>
      </c>
      <c r="P27">
        <v>8500</v>
      </c>
      <c r="Q27">
        <v>8500</v>
      </c>
      <c r="R27">
        <v>8500</v>
      </c>
      <c r="S27">
        <v>8500</v>
      </c>
      <c r="T27">
        <v>8500</v>
      </c>
      <c r="U27">
        <v>8500</v>
      </c>
      <c r="V27">
        <v>8500</v>
      </c>
      <c r="W27">
        <v>8500</v>
      </c>
      <c r="X27">
        <v>8500</v>
      </c>
      <c r="Y27">
        <v>8500</v>
      </c>
      <c r="Z27">
        <v>8500</v>
      </c>
    </row>
  </sheetData>
  <hyperlinks>
    <hyperlink ref="B2" location="'Home Sheet'!B2" display="BACK TO HOME SHEET" xr:uid="{1E579A57-E71A-4F89-94E4-6F9398E315E3}"/>
  </hyperlinks>
  <pageMargins left="0.75" right="0.75" top="1" bottom="1" header="0.5" footer="0.5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B2:Z8"/>
  <sheetViews>
    <sheetView workbookViewId="0">
      <selection activeCell="B2" sqref="B2"/>
    </sheetView>
  </sheetViews>
  <sheetFormatPr defaultRowHeight="14.4" x14ac:dyDescent="0.3"/>
  <cols>
    <col min="2" max="2" width="19.5546875" bestFit="1" customWidth="1"/>
    <col min="3" max="3" width="10.109375" bestFit="1" customWidth="1"/>
    <col min="4" max="5" width="4.5546875" customWidth="1"/>
    <col min="6" max="6" width="3.88671875" customWidth="1"/>
    <col min="7" max="21" width="12.109375" bestFit="1" customWidth="1"/>
    <col min="22" max="26" width="12.5546875" bestFit="1" customWidth="1"/>
  </cols>
  <sheetData>
    <row r="2" spans="2:26" x14ac:dyDescent="0.3">
      <c r="B2" s="2" t="s">
        <v>372</v>
      </c>
    </row>
    <row r="3" spans="2:26" x14ac:dyDescent="0.3">
      <c r="C3" s="3" t="s">
        <v>6</v>
      </c>
      <c r="D3" s="3" t="s">
        <v>7</v>
      </c>
      <c r="E3" s="3" t="s">
        <v>8</v>
      </c>
      <c r="F3" s="3" t="s">
        <v>9</v>
      </c>
      <c r="G3" s="3" t="s">
        <v>10</v>
      </c>
      <c r="H3" s="3" t="s">
        <v>11</v>
      </c>
      <c r="I3" s="3" t="s">
        <v>12</v>
      </c>
      <c r="J3" s="3" t="s">
        <v>13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3" t="s">
        <v>19</v>
      </c>
      <c r="Q3" s="3" t="s">
        <v>20</v>
      </c>
      <c r="R3" s="3" t="s">
        <v>21</v>
      </c>
      <c r="S3" s="3" t="s">
        <v>22</v>
      </c>
      <c r="T3" s="3" t="s">
        <v>23</v>
      </c>
      <c r="U3" s="3" t="s">
        <v>24</v>
      </c>
      <c r="V3" s="3" t="s">
        <v>25</v>
      </c>
      <c r="W3" s="3" t="s">
        <v>26</v>
      </c>
      <c r="X3" s="3" t="s">
        <v>27</v>
      </c>
      <c r="Y3" s="3" t="s">
        <v>28</v>
      </c>
      <c r="Z3" s="3" t="s">
        <v>29</v>
      </c>
    </row>
    <row r="4" spans="2:26" x14ac:dyDescent="0.3">
      <c r="C4" t="s">
        <v>38</v>
      </c>
      <c r="D4" s="8">
        <v>0</v>
      </c>
      <c r="E4" s="8">
        <v>0</v>
      </c>
      <c r="F4" s="8">
        <v>0</v>
      </c>
      <c r="G4" s="8">
        <v>8429520</v>
      </c>
      <c r="H4" s="8">
        <v>17924966.399999999</v>
      </c>
      <c r="I4" s="8">
        <v>28559512.872000001</v>
      </c>
      <c r="J4" s="8">
        <v>30307701.235679999</v>
      </c>
      <c r="K4" s="8">
        <v>32135077.339596</v>
      </c>
      <c r="L4" s="8">
        <v>34044819.078634851</v>
      </c>
      <c r="M4" s="8">
        <v>36040223.752410397</v>
      </c>
      <c r="N4" s="8">
        <v>38124712.369441703</v>
      </c>
      <c r="O4" s="8">
        <v>40301834.10211771</v>
      </c>
      <c r="P4" s="8">
        <v>42575270.897621803</v>
      </c>
      <c r="Q4" s="8">
        <v>44948842.250164211</v>
      </c>
      <c r="R4" s="8">
        <v>47426510.140051313</v>
      </c>
      <c r="S4" s="8">
        <v>50012384.14530649</v>
      </c>
      <c r="T4" s="8">
        <v>52710726.731750943</v>
      </c>
      <c r="U4" s="8">
        <v>55525958.727651268</v>
      </c>
      <c r="V4" s="8">
        <v>58462664.989247046</v>
      </c>
      <c r="W4" s="8">
        <v>61525600.263683692</v>
      </c>
      <c r="X4" s="8">
        <v>64719695.256096207</v>
      </c>
      <c r="Y4" s="8">
        <v>68050062.907816157</v>
      </c>
      <c r="Z4" s="8">
        <v>71522004.892908826</v>
      </c>
    </row>
    <row r="5" spans="2:26" x14ac:dyDescent="0.3">
      <c r="C5" t="s">
        <v>39</v>
      </c>
      <c r="D5" s="8">
        <v>0</v>
      </c>
      <c r="E5" s="8">
        <v>0</v>
      </c>
      <c r="F5" s="8">
        <v>0</v>
      </c>
      <c r="G5" s="8">
        <v>4145578.333333333</v>
      </c>
      <c r="H5" s="8">
        <v>8815371.7333333325</v>
      </c>
      <c r="I5" s="8">
        <v>14045366.4945</v>
      </c>
      <c r="J5" s="8">
        <v>14905113.17083</v>
      </c>
      <c r="K5" s="8">
        <v>15803803.817894749</v>
      </c>
      <c r="L5" s="8">
        <v>16743001.30192964</v>
      </c>
      <c r="M5" s="8">
        <v>17724327.21157052</v>
      </c>
      <c r="N5" s="8">
        <v>18749463.974618111</v>
      </c>
      <c r="O5" s="8">
        <v>19820157.048958141</v>
      </c>
      <c r="P5" s="8">
        <v>20938217.190181419</v>
      </c>
      <c r="Q5" s="8">
        <v>22105522.798534039</v>
      </c>
      <c r="R5" s="8">
        <v>23324022.347916652</v>
      </c>
      <c r="S5" s="8">
        <v>24595736.899743531</v>
      </c>
      <c r="T5" s="8">
        <v>25922762.704566911</v>
      </c>
      <c r="U5" s="8">
        <v>27307273.894469909</v>
      </c>
      <c r="V5" s="8">
        <v>28751525.26933299</v>
      </c>
      <c r="W5" s="8">
        <v>30257855.180182829</v>
      </c>
      <c r="X5" s="8">
        <v>31828688.51294126</v>
      </c>
      <c r="Y5" s="8">
        <v>33466539.776003022</v>
      </c>
      <c r="Z5" s="8">
        <v>35174016.295186847</v>
      </c>
    </row>
    <row r="6" spans="2:26" x14ac:dyDescent="0.3">
      <c r="C6" t="s">
        <v>40</v>
      </c>
      <c r="D6" s="8">
        <v>0</v>
      </c>
      <c r="E6" s="8">
        <v>0</v>
      </c>
      <c r="F6" s="8">
        <v>0</v>
      </c>
      <c r="G6" s="8">
        <v>2160596.666666667</v>
      </c>
      <c r="H6" s="8">
        <v>4594404.2666666657</v>
      </c>
      <c r="I6" s="8">
        <v>7320178.1729999986</v>
      </c>
      <c r="J6" s="8">
        <v>7768261.8066199999</v>
      </c>
      <c r="K6" s="8">
        <v>8236642.2979015</v>
      </c>
      <c r="L6" s="8">
        <v>8726134.183033932</v>
      </c>
      <c r="M6" s="8">
        <v>9237582.6032062005</v>
      </c>
      <c r="N6" s="8">
        <v>9771864.407824073</v>
      </c>
      <c r="O6" s="8">
        <v>10329889.29637613</v>
      </c>
      <c r="P6" s="8">
        <v>10912601.000274271</v>
      </c>
      <c r="Q6" s="8">
        <v>11520978.50603956</v>
      </c>
      <c r="R6" s="8">
        <v>12156037.321250521</v>
      </c>
      <c r="S6" s="8">
        <v>12818830.784718711</v>
      </c>
      <c r="T6" s="8">
        <v>13510451.422405859</v>
      </c>
      <c r="U6" s="8">
        <v>14232032.35064799</v>
      </c>
      <c r="V6" s="8">
        <v>14984748.728304479</v>
      </c>
      <c r="W6" s="8">
        <v>15769819.25950478</v>
      </c>
      <c r="X6" s="8">
        <v>16588507.748721629</v>
      </c>
      <c r="Y6" s="8">
        <v>17442124.709957931</v>
      </c>
      <c r="Z6" s="8">
        <v>18332029.031894561</v>
      </c>
    </row>
    <row r="7" spans="2:26" x14ac:dyDescent="0.3">
      <c r="C7" t="s">
        <v>41</v>
      </c>
      <c r="D7" s="8">
        <v>0</v>
      </c>
      <c r="E7" s="8">
        <v>0</v>
      </c>
      <c r="F7" s="8">
        <v>0</v>
      </c>
      <c r="G7" s="8">
        <v>242668</v>
      </c>
      <c r="H7" s="8">
        <v>516021.75999999989</v>
      </c>
      <c r="I7" s="8">
        <v>822167.79479999992</v>
      </c>
      <c r="J7" s="8">
        <v>872494.42951199994</v>
      </c>
      <c r="K7" s="8">
        <v>925100.7112913999</v>
      </c>
      <c r="L7" s="8">
        <v>980078.12499100319</v>
      </c>
      <c r="M7" s="8">
        <v>1037521.59287242</v>
      </c>
      <c r="N7" s="8">
        <v>1097529.5985142309</v>
      </c>
      <c r="O7" s="8">
        <v>1160204.315060965</v>
      </c>
      <c r="P7" s="8">
        <v>1225651.737961839</v>
      </c>
      <c r="Q7" s="8">
        <v>1293981.8223532119</v>
      </c>
      <c r="R7" s="8">
        <v>1365308.625243901</v>
      </c>
      <c r="S7" s="8">
        <v>1439750.4526679141</v>
      </c>
      <c r="T7" s="8">
        <v>1517430.0119746481</v>
      </c>
      <c r="U7" s="8">
        <v>1598474.569432385</v>
      </c>
      <c r="V7" s="8">
        <v>1683016.1133268089</v>
      </c>
      <c r="W7" s="8">
        <v>1771191.522742409</v>
      </c>
      <c r="X7" s="8">
        <v>1863142.742220951</v>
      </c>
      <c r="Y7" s="8">
        <v>1959016.962497738</v>
      </c>
      <c r="Z7" s="8">
        <v>2058966.807523133</v>
      </c>
    </row>
    <row r="8" spans="2:26" x14ac:dyDescent="0.3">
      <c r="C8" t="s">
        <v>42</v>
      </c>
      <c r="D8" s="8">
        <v>0</v>
      </c>
      <c r="E8" s="8">
        <v>0</v>
      </c>
      <c r="F8" s="8">
        <v>0</v>
      </c>
      <c r="G8" s="8">
        <v>14978363</v>
      </c>
      <c r="H8" s="8">
        <v>31850764.16</v>
      </c>
      <c r="I8" s="8">
        <v>50747225.334299996</v>
      </c>
      <c r="J8" s="8">
        <v>53853570.642641999</v>
      </c>
      <c r="K8" s="8">
        <v>57100624.166683637</v>
      </c>
      <c r="L8" s="8">
        <v>60494032.688589416</v>
      </c>
      <c r="M8" s="8">
        <v>64039655.160059527</v>
      </c>
      <c r="N8" s="8">
        <v>67743570.350398108</v>
      </c>
      <c r="O8" s="8">
        <v>71612084.762512937</v>
      </c>
      <c r="P8" s="8">
        <v>75651740.826039329</v>
      </c>
      <c r="Q8" s="8">
        <v>79869325.37709102</v>
      </c>
      <c r="R8" s="8">
        <v>84271878.434462383</v>
      </c>
      <c r="S8" s="8">
        <v>88866702.282436639</v>
      </c>
      <c r="T8" s="8">
        <v>93661370.870698348</v>
      </c>
      <c r="U8" s="8">
        <v>98663739.542201549</v>
      </c>
      <c r="V8" s="8">
        <v>103881955.10021131</v>
      </c>
      <c r="W8" s="8">
        <v>109324466.22611371</v>
      </c>
      <c r="X8" s="8">
        <v>115000034.2599801</v>
      </c>
      <c r="Y8" s="8">
        <v>120917744.3562748</v>
      </c>
      <c r="Z8" s="8">
        <v>127087017.0275134</v>
      </c>
    </row>
  </sheetData>
  <hyperlinks>
    <hyperlink ref="B2" location="'Home Sheet'!B2" display="BACK TO HOME SHEET" xr:uid="{A4045B03-F30F-41B5-91E1-D385BD9F0B99}"/>
  </hyperlinks>
  <pageMargins left="0.75" right="0.75" top="1" bottom="1" header="0.5" footer="0.5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B2:Z135"/>
  <sheetViews>
    <sheetView workbookViewId="0">
      <selection activeCell="B2" sqref="B2"/>
    </sheetView>
  </sheetViews>
  <sheetFormatPr defaultRowHeight="14.4" x14ac:dyDescent="0.3"/>
  <cols>
    <col min="2" max="2" width="19.5546875" bestFit="1" customWidth="1"/>
    <col min="3" max="3" width="20.77734375" bestFit="1" customWidth="1"/>
    <col min="4" max="5" width="4.5546875" customWidth="1"/>
    <col min="6" max="14" width="3.88671875" customWidth="1"/>
    <col min="15" max="16" width="6" bestFit="1" customWidth="1"/>
    <col min="17" max="19" width="4.88671875" customWidth="1"/>
    <col min="20" max="21" width="6" bestFit="1" customWidth="1"/>
    <col min="22" max="23" width="4.88671875" customWidth="1"/>
    <col min="24" max="24" width="6" bestFit="1" customWidth="1"/>
    <col min="25" max="25" width="7" bestFit="1" customWidth="1"/>
    <col min="26" max="26" width="8" bestFit="1" customWidth="1"/>
  </cols>
  <sheetData>
    <row r="2" spans="2:26" x14ac:dyDescent="0.3">
      <c r="B2" s="2" t="s">
        <v>372</v>
      </c>
    </row>
    <row r="3" spans="2:26" x14ac:dyDescent="0.3">
      <c r="C3" s="3" t="s">
        <v>6</v>
      </c>
      <c r="D3" s="3" t="s">
        <v>7</v>
      </c>
      <c r="E3" s="3" t="s">
        <v>8</v>
      </c>
      <c r="F3" s="3" t="s">
        <v>9</v>
      </c>
      <c r="G3" s="3" t="s">
        <v>10</v>
      </c>
      <c r="H3" s="3" t="s">
        <v>11</v>
      </c>
      <c r="I3" s="3" t="s">
        <v>12</v>
      </c>
      <c r="J3" s="3" t="s">
        <v>13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3" t="s">
        <v>19</v>
      </c>
      <c r="Q3" s="3" t="s">
        <v>20</v>
      </c>
      <c r="R3" s="3" t="s">
        <v>21</v>
      </c>
      <c r="S3" s="3" t="s">
        <v>22</v>
      </c>
      <c r="T3" s="3" t="s">
        <v>23</v>
      </c>
      <c r="U3" s="3" t="s">
        <v>24</v>
      </c>
      <c r="V3" s="3" t="s">
        <v>25</v>
      </c>
      <c r="W3" s="3" t="s">
        <v>26</v>
      </c>
      <c r="X3" s="3" t="s">
        <v>27</v>
      </c>
      <c r="Y3" s="3" t="s">
        <v>28</v>
      </c>
      <c r="Z3" s="3" t="s">
        <v>29</v>
      </c>
    </row>
    <row r="4" spans="2:26" x14ac:dyDescent="0.3">
      <c r="C4" t="s">
        <v>213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2:26" x14ac:dyDescent="0.3">
      <c r="C5" t="s">
        <v>214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11173</v>
      </c>
      <c r="Y5">
        <v>0</v>
      </c>
      <c r="Z5">
        <v>95531</v>
      </c>
    </row>
    <row r="6" spans="2:26" x14ac:dyDescent="0.3">
      <c r="C6" t="s">
        <v>215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61272</v>
      </c>
    </row>
    <row r="7" spans="2:26" x14ac:dyDescent="0.3">
      <c r="C7" t="s">
        <v>216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13140</v>
      </c>
      <c r="Y7">
        <v>0</v>
      </c>
      <c r="Z7">
        <v>112348</v>
      </c>
    </row>
    <row r="8" spans="2:26" x14ac:dyDescent="0.3">
      <c r="C8" t="s">
        <v>217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33883</v>
      </c>
      <c r="Y8">
        <v>0</v>
      </c>
      <c r="Z8">
        <v>289703</v>
      </c>
    </row>
    <row r="9" spans="2:26" x14ac:dyDescent="0.3">
      <c r="C9" t="s">
        <v>218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3016307</v>
      </c>
    </row>
    <row r="10" spans="2:26" x14ac:dyDescent="0.3">
      <c r="C10" t="s">
        <v>219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25536</v>
      </c>
      <c r="Z10">
        <v>242597</v>
      </c>
    </row>
    <row r="11" spans="2:26" x14ac:dyDescent="0.3">
      <c r="C11" t="s">
        <v>220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20120</v>
      </c>
      <c r="U11">
        <v>0</v>
      </c>
      <c r="V11">
        <v>0</v>
      </c>
      <c r="W11">
        <v>0</v>
      </c>
      <c r="X11">
        <v>0</v>
      </c>
      <c r="Y11">
        <v>0</v>
      </c>
      <c r="Z11">
        <v>26941</v>
      </c>
    </row>
    <row r="12" spans="2:26" x14ac:dyDescent="0.3">
      <c r="C12" t="s">
        <v>102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11863</v>
      </c>
    </row>
    <row r="13" spans="2:26" x14ac:dyDescent="0.3">
      <c r="C13" t="s">
        <v>103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11863</v>
      </c>
    </row>
    <row r="14" spans="2:26" x14ac:dyDescent="0.3">
      <c r="C14" t="s">
        <v>104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10121</v>
      </c>
    </row>
    <row r="15" spans="2:26" x14ac:dyDescent="0.3">
      <c r="C15" t="s">
        <v>105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9952</v>
      </c>
    </row>
    <row r="16" spans="2:26" x14ac:dyDescent="0.3">
      <c r="C16" t="s">
        <v>106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10205</v>
      </c>
    </row>
    <row r="17" spans="3:26" x14ac:dyDescent="0.3">
      <c r="C17" t="s">
        <v>107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9952</v>
      </c>
    </row>
    <row r="18" spans="3:26" x14ac:dyDescent="0.3">
      <c r="C18" t="s">
        <v>108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10454</v>
      </c>
    </row>
    <row r="19" spans="3:26" x14ac:dyDescent="0.3">
      <c r="C19" t="s">
        <v>109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9696</v>
      </c>
    </row>
    <row r="20" spans="3:26" x14ac:dyDescent="0.3">
      <c r="C20" t="s">
        <v>110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11570</v>
      </c>
    </row>
    <row r="21" spans="3:26" x14ac:dyDescent="0.3">
      <c r="C21" t="s">
        <v>111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15026</v>
      </c>
    </row>
    <row r="22" spans="3:26" x14ac:dyDescent="0.3">
      <c r="C22" t="s">
        <v>112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10087</v>
      </c>
    </row>
    <row r="23" spans="3:26" x14ac:dyDescent="0.3">
      <c r="C23" t="s">
        <v>113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7810</v>
      </c>
    </row>
    <row r="24" spans="3:26" x14ac:dyDescent="0.3">
      <c r="C24" t="s">
        <v>114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10790</v>
      </c>
    </row>
    <row r="25" spans="3:26" x14ac:dyDescent="0.3">
      <c r="C25" t="s">
        <v>115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10790</v>
      </c>
    </row>
    <row r="26" spans="3:26" x14ac:dyDescent="0.3">
      <c r="C26" t="s">
        <v>116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8435</v>
      </c>
    </row>
    <row r="27" spans="3:26" x14ac:dyDescent="0.3">
      <c r="C27" t="s">
        <v>117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89758</v>
      </c>
    </row>
    <row r="28" spans="3:26" x14ac:dyDescent="0.3">
      <c r="C28" t="s">
        <v>118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89758</v>
      </c>
    </row>
    <row r="29" spans="3:26" x14ac:dyDescent="0.3">
      <c r="C29" t="s">
        <v>119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35798</v>
      </c>
    </row>
    <row r="30" spans="3:26" x14ac:dyDescent="0.3">
      <c r="C30" t="s">
        <v>120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35798</v>
      </c>
    </row>
    <row r="31" spans="3:26" x14ac:dyDescent="0.3">
      <c r="C31" t="s">
        <v>121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35798</v>
      </c>
    </row>
    <row r="32" spans="3:26" x14ac:dyDescent="0.3">
      <c r="C32" t="s">
        <v>122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35798</v>
      </c>
    </row>
    <row r="33" spans="3:26" x14ac:dyDescent="0.3">
      <c r="C33" t="s">
        <v>123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36539</v>
      </c>
    </row>
    <row r="34" spans="3:26" x14ac:dyDescent="0.3">
      <c r="C34" t="s">
        <v>124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36539</v>
      </c>
    </row>
    <row r="35" spans="3:26" x14ac:dyDescent="0.3">
      <c r="C35" t="s">
        <v>125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36539</v>
      </c>
    </row>
    <row r="36" spans="3:26" x14ac:dyDescent="0.3">
      <c r="C36" t="s">
        <v>126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36539</v>
      </c>
    </row>
    <row r="37" spans="3:26" x14ac:dyDescent="0.3">
      <c r="C37" t="s">
        <v>127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32406</v>
      </c>
    </row>
    <row r="38" spans="3:26" x14ac:dyDescent="0.3">
      <c r="C38" t="s">
        <v>128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32406</v>
      </c>
    </row>
    <row r="39" spans="3:26" x14ac:dyDescent="0.3">
      <c r="C39" t="s">
        <v>129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16651</v>
      </c>
    </row>
    <row r="40" spans="3:26" x14ac:dyDescent="0.3">
      <c r="C40" t="s">
        <v>130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16651</v>
      </c>
    </row>
    <row r="41" spans="3:26" x14ac:dyDescent="0.3">
      <c r="C41" t="s">
        <v>131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16651</v>
      </c>
    </row>
    <row r="42" spans="3:26" x14ac:dyDescent="0.3">
      <c r="C42" t="s">
        <v>132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16651</v>
      </c>
    </row>
    <row r="43" spans="3:26" x14ac:dyDescent="0.3">
      <c r="C43" t="s">
        <v>133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25792</v>
      </c>
      <c r="Z43">
        <v>245019</v>
      </c>
    </row>
    <row r="44" spans="3:26" x14ac:dyDescent="0.3">
      <c r="C44" t="s">
        <v>134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15992</v>
      </c>
      <c r="Z44">
        <v>151927</v>
      </c>
    </row>
    <row r="45" spans="3:26" x14ac:dyDescent="0.3">
      <c r="C45" t="s">
        <v>135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17258</v>
      </c>
      <c r="Z45">
        <v>163953</v>
      </c>
    </row>
    <row r="46" spans="3:26" x14ac:dyDescent="0.3">
      <c r="C46" t="s">
        <v>136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15540</v>
      </c>
      <c r="Z46">
        <v>147628</v>
      </c>
    </row>
    <row r="47" spans="3:26" x14ac:dyDescent="0.3">
      <c r="C47" t="s">
        <v>137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9627</v>
      </c>
    </row>
    <row r="48" spans="3:26" x14ac:dyDescent="0.3">
      <c r="C48" t="s">
        <v>138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5272</v>
      </c>
    </row>
    <row r="49" spans="3:26" x14ac:dyDescent="0.3">
      <c r="C49" t="s">
        <v>139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5272</v>
      </c>
    </row>
    <row r="50" spans="3:26" x14ac:dyDescent="0.3">
      <c r="C50" t="s">
        <v>140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1486</v>
      </c>
      <c r="Z50">
        <v>14118</v>
      </c>
    </row>
    <row r="51" spans="3:26" x14ac:dyDescent="0.3">
      <c r="C51" t="s">
        <v>141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23728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31888</v>
      </c>
      <c r="Z51">
        <v>273313</v>
      </c>
    </row>
    <row r="52" spans="3:26" x14ac:dyDescent="0.3">
      <c r="C52" t="s">
        <v>142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267053</v>
      </c>
      <c r="Z52">
        <v>2537004</v>
      </c>
    </row>
    <row r="53" spans="3:26" x14ac:dyDescent="0.3">
      <c r="C53" t="s">
        <v>143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118300</v>
      </c>
      <c r="Z53">
        <v>1123850</v>
      </c>
    </row>
    <row r="54" spans="3:26" x14ac:dyDescent="0.3">
      <c r="C54" t="s">
        <v>144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21270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28585</v>
      </c>
      <c r="Z54">
        <v>245001</v>
      </c>
    </row>
    <row r="55" spans="3:26" x14ac:dyDescent="0.3">
      <c r="C55" t="s">
        <v>145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25391</v>
      </c>
      <c r="Z55">
        <v>241219</v>
      </c>
    </row>
    <row r="56" spans="3:26" x14ac:dyDescent="0.3">
      <c r="C56" t="s">
        <v>146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12846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17264</v>
      </c>
      <c r="Z56">
        <v>147973</v>
      </c>
    </row>
    <row r="57" spans="3:26" x14ac:dyDescent="0.3">
      <c r="C57" t="s">
        <v>140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3892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5231</v>
      </c>
      <c r="Z57">
        <v>44834</v>
      </c>
    </row>
    <row r="58" spans="3:26" x14ac:dyDescent="0.3">
      <c r="C58" t="s">
        <v>147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6609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8882</v>
      </c>
      <c r="Z58">
        <v>76130</v>
      </c>
    </row>
    <row r="59" spans="3:26" x14ac:dyDescent="0.3">
      <c r="C59" t="s">
        <v>148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6609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8882</v>
      </c>
      <c r="Z59">
        <v>76130</v>
      </c>
    </row>
    <row r="60" spans="3:26" x14ac:dyDescent="0.3">
      <c r="C60" t="s">
        <v>149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6608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8881</v>
      </c>
      <c r="Z60">
        <v>76115</v>
      </c>
    </row>
    <row r="61" spans="3:26" x14ac:dyDescent="0.3">
      <c r="C61" t="s">
        <v>150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6608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8881</v>
      </c>
      <c r="Z61">
        <v>76120</v>
      </c>
    </row>
    <row r="62" spans="3:26" x14ac:dyDescent="0.3">
      <c r="C62" t="s">
        <v>151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82375</v>
      </c>
    </row>
    <row r="63" spans="3:26" x14ac:dyDescent="0.3">
      <c r="C63" t="s">
        <v>152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10677</v>
      </c>
      <c r="Z63">
        <v>101430</v>
      </c>
    </row>
    <row r="64" spans="3:26" x14ac:dyDescent="0.3">
      <c r="C64" t="s">
        <v>153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10677</v>
      </c>
      <c r="Z64">
        <v>101430</v>
      </c>
    </row>
    <row r="65" spans="3:26" x14ac:dyDescent="0.3">
      <c r="C65" t="s">
        <v>154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10618</v>
      </c>
      <c r="Z65">
        <v>100875</v>
      </c>
    </row>
    <row r="66" spans="3:26" x14ac:dyDescent="0.3">
      <c r="C66" t="s">
        <v>155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10561</v>
      </c>
      <c r="Z66">
        <v>100334</v>
      </c>
    </row>
    <row r="67" spans="3:26" x14ac:dyDescent="0.3">
      <c r="C67" t="s">
        <v>156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10561</v>
      </c>
      <c r="Z67">
        <v>100334</v>
      </c>
    </row>
    <row r="68" spans="3:26" x14ac:dyDescent="0.3">
      <c r="C68" t="s">
        <v>157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10677</v>
      </c>
      <c r="Z68">
        <v>101430</v>
      </c>
    </row>
    <row r="69" spans="3:26" x14ac:dyDescent="0.3">
      <c r="C69" t="s">
        <v>158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11096</v>
      </c>
      <c r="Z69">
        <v>105409</v>
      </c>
    </row>
    <row r="70" spans="3:26" x14ac:dyDescent="0.3">
      <c r="C70" t="s">
        <v>159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10561</v>
      </c>
      <c r="Z70">
        <v>100334</v>
      </c>
    </row>
    <row r="71" spans="3:26" x14ac:dyDescent="0.3">
      <c r="C71" t="s">
        <v>160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10677</v>
      </c>
      <c r="Z71">
        <v>101430</v>
      </c>
    </row>
    <row r="72" spans="3:26" x14ac:dyDescent="0.3">
      <c r="C72" t="s">
        <v>161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10677</v>
      </c>
      <c r="Z72">
        <v>101430</v>
      </c>
    </row>
    <row r="73" spans="3:26" x14ac:dyDescent="0.3">
      <c r="C73" t="s">
        <v>162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10677</v>
      </c>
      <c r="Z73">
        <v>101430</v>
      </c>
    </row>
    <row r="74" spans="3:26" x14ac:dyDescent="0.3">
      <c r="C74" t="s">
        <v>163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10677</v>
      </c>
      <c r="Z74">
        <v>101430</v>
      </c>
    </row>
    <row r="75" spans="3:26" x14ac:dyDescent="0.3">
      <c r="C75" t="s">
        <v>164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10677</v>
      </c>
      <c r="Z75">
        <v>101430</v>
      </c>
    </row>
    <row r="76" spans="3:26" x14ac:dyDescent="0.3">
      <c r="C76" t="s">
        <v>165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11096</v>
      </c>
      <c r="Z76">
        <v>105409</v>
      </c>
    </row>
    <row r="77" spans="3:26" x14ac:dyDescent="0.3">
      <c r="C77" t="s">
        <v>166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10561</v>
      </c>
      <c r="Z77">
        <v>100334</v>
      </c>
    </row>
    <row r="78" spans="3:26" x14ac:dyDescent="0.3">
      <c r="C78" t="s">
        <v>167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11269</v>
      </c>
      <c r="Z78">
        <v>107060</v>
      </c>
    </row>
    <row r="79" spans="3:26" x14ac:dyDescent="0.3">
      <c r="C79" t="s">
        <v>168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10561</v>
      </c>
      <c r="Z79">
        <v>100334</v>
      </c>
    </row>
    <row r="80" spans="3:26" x14ac:dyDescent="0.3">
      <c r="C80" t="s">
        <v>169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10561</v>
      </c>
      <c r="Z80">
        <v>100334</v>
      </c>
    </row>
    <row r="81" spans="3:26" x14ac:dyDescent="0.3">
      <c r="C81" t="s">
        <v>170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10561</v>
      </c>
      <c r="Z81">
        <v>100334</v>
      </c>
    </row>
    <row r="82" spans="3:26" x14ac:dyDescent="0.3">
      <c r="C82" t="s">
        <v>171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10561</v>
      </c>
      <c r="Z82">
        <v>100334</v>
      </c>
    </row>
    <row r="83" spans="3:26" x14ac:dyDescent="0.3">
      <c r="C83" t="s">
        <v>172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11096</v>
      </c>
      <c r="Z83">
        <v>105409</v>
      </c>
    </row>
    <row r="84" spans="3:26" x14ac:dyDescent="0.3">
      <c r="C84" t="s">
        <v>173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57721</v>
      </c>
    </row>
    <row r="85" spans="3:26" x14ac:dyDescent="0.3">
      <c r="C85" t="s">
        <v>174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7296</v>
      </c>
      <c r="V85">
        <v>0</v>
      </c>
      <c r="W85">
        <v>0</v>
      </c>
      <c r="X85">
        <v>0</v>
      </c>
      <c r="Y85">
        <v>0</v>
      </c>
      <c r="Z85">
        <v>16277</v>
      </c>
    </row>
    <row r="86" spans="3:26" x14ac:dyDescent="0.3">
      <c r="C86" t="s">
        <v>175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7296</v>
      </c>
      <c r="V86">
        <v>0</v>
      </c>
      <c r="W86">
        <v>0</v>
      </c>
      <c r="X86">
        <v>0</v>
      </c>
      <c r="Y86">
        <v>0</v>
      </c>
      <c r="Z86">
        <v>16277</v>
      </c>
    </row>
    <row r="87" spans="3:26" x14ac:dyDescent="0.3">
      <c r="C87" t="s">
        <v>176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7296</v>
      </c>
      <c r="V87">
        <v>0</v>
      </c>
      <c r="W87">
        <v>0</v>
      </c>
      <c r="X87">
        <v>0</v>
      </c>
      <c r="Y87">
        <v>0</v>
      </c>
      <c r="Z87">
        <v>16277</v>
      </c>
    </row>
    <row r="88" spans="3:26" x14ac:dyDescent="0.3">
      <c r="C88" t="s">
        <v>177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7329</v>
      </c>
      <c r="V88">
        <v>0</v>
      </c>
      <c r="W88">
        <v>0</v>
      </c>
      <c r="X88">
        <v>0</v>
      </c>
      <c r="Y88">
        <v>0</v>
      </c>
      <c r="Z88">
        <v>16351</v>
      </c>
    </row>
    <row r="89" spans="3:26" x14ac:dyDescent="0.3">
      <c r="C89" t="s">
        <v>178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7329</v>
      </c>
      <c r="V89">
        <v>0</v>
      </c>
      <c r="W89">
        <v>0</v>
      </c>
      <c r="X89">
        <v>0</v>
      </c>
      <c r="Y89">
        <v>0</v>
      </c>
      <c r="Z89">
        <v>16351</v>
      </c>
    </row>
    <row r="90" spans="3:26" x14ac:dyDescent="0.3">
      <c r="C90" t="s">
        <v>179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7345</v>
      </c>
      <c r="V90">
        <v>0</v>
      </c>
      <c r="W90">
        <v>0</v>
      </c>
      <c r="X90">
        <v>0</v>
      </c>
      <c r="Y90">
        <v>0</v>
      </c>
      <c r="Z90">
        <v>16387</v>
      </c>
    </row>
    <row r="91" spans="3:26" x14ac:dyDescent="0.3">
      <c r="C91" t="s">
        <v>180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7301</v>
      </c>
      <c r="V91">
        <v>0</v>
      </c>
      <c r="W91">
        <v>0</v>
      </c>
      <c r="X91">
        <v>0</v>
      </c>
      <c r="Y91">
        <v>0</v>
      </c>
      <c r="Z91">
        <v>16288</v>
      </c>
    </row>
    <row r="92" spans="3:26" x14ac:dyDescent="0.3">
      <c r="C92" t="s">
        <v>181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7296</v>
      </c>
      <c r="V92">
        <v>0</v>
      </c>
      <c r="W92">
        <v>0</v>
      </c>
      <c r="X92">
        <v>0</v>
      </c>
      <c r="Y92">
        <v>0</v>
      </c>
      <c r="Z92">
        <v>16276</v>
      </c>
    </row>
    <row r="93" spans="3:26" x14ac:dyDescent="0.3">
      <c r="C93" t="s">
        <v>182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7332</v>
      </c>
      <c r="V93">
        <v>0</v>
      </c>
      <c r="W93">
        <v>0</v>
      </c>
      <c r="X93">
        <v>0</v>
      </c>
      <c r="Y93">
        <v>0</v>
      </c>
      <c r="Z93">
        <v>16358</v>
      </c>
    </row>
    <row r="94" spans="3:26" x14ac:dyDescent="0.3">
      <c r="C94" t="s">
        <v>183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7307</v>
      </c>
      <c r="V94">
        <v>0</v>
      </c>
      <c r="W94">
        <v>0</v>
      </c>
      <c r="X94">
        <v>0</v>
      </c>
      <c r="Y94">
        <v>0</v>
      </c>
      <c r="Z94">
        <v>16303</v>
      </c>
    </row>
    <row r="95" spans="3:26" x14ac:dyDescent="0.3">
      <c r="C95" t="s">
        <v>184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7296</v>
      </c>
      <c r="V95">
        <v>0</v>
      </c>
      <c r="W95">
        <v>0</v>
      </c>
      <c r="X95">
        <v>0</v>
      </c>
      <c r="Y95">
        <v>0</v>
      </c>
      <c r="Z95">
        <v>16277</v>
      </c>
    </row>
    <row r="96" spans="3:26" x14ac:dyDescent="0.3">
      <c r="C96" t="s">
        <v>185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7296</v>
      </c>
      <c r="V96">
        <v>0</v>
      </c>
      <c r="W96">
        <v>0</v>
      </c>
      <c r="X96">
        <v>0</v>
      </c>
      <c r="Y96">
        <v>0</v>
      </c>
      <c r="Z96">
        <v>16277</v>
      </c>
    </row>
    <row r="97" spans="3:26" x14ac:dyDescent="0.3">
      <c r="C97" t="s">
        <v>186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7296</v>
      </c>
      <c r="V97">
        <v>0</v>
      </c>
      <c r="W97">
        <v>0</v>
      </c>
      <c r="X97">
        <v>0</v>
      </c>
      <c r="Y97">
        <v>0</v>
      </c>
      <c r="Z97">
        <v>16277</v>
      </c>
    </row>
    <row r="98" spans="3:26" x14ac:dyDescent="0.3">
      <c r="C98" t="s">
        <v>187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7310</v>
      </c>
      <c r="V98">
        <v>0</v>
      </c>
      <c r="W98">
        <v>0</v>
      </c>
      <c r="X98">
        <v>0</v>
      </c>
      <c r="Y98">
        <v>0</v>
      </c>
      <c r="Z98">
        <v>16310</v>
      </c>
    </row>
    <row r="99" spans="3:26" x14ac:dyDescent="0.3">
      <c r="C99" t="s">
        <v>188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7296</v>
      </c>
      <c r="V99">
        <v>0</v>
      </c>
      <c r="W99">
        <v>0</v>
      </c>
      <c r="X99">
        <v>0</v>
      </c>
      <c r="Y99">
        <v>0</v>
      </c>
      <c r="Z99">
        <v>16277</v>
      </c>
    </row>
    <row r="100" spans="3:26" x14ac:dyDescent="0.3">
      <c r="C100" t="s">
        <v>189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7321</v>
      </c>
      <c r="V100">
        <v>0</v>
      </c>
      <c r="W100">
        <v>0</v>
      </c>
      <c r="X100">
        <v>0</v>
      </c>
      <c r="Y100">
        <v>0</v>
      </c>
      <c r="Z100">
        <v>16332</v>
      </c>
    </row>
    <row r="101" spans="3:26" x14ac:dyDescent="0.3">
      <c r="C101" t="s">
        <v>190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7288</v>
      </c>
      <c r="V101">
        <v>0</v>
      </c>
      <c r="W101">
        <v>0</v>
      </c>
      <c r="X101">
        <v>0</v>
      </c>
      <c r="Y101">
        <v>0</v>
      </c>
      <c r="Z101">
        <v>16258</v>
      </c>
    </row>
    <row r="102" spans="3:26" x14ac:dyDescent="0.3">
      <c r="C102" t="s">
        <v>191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7301</v>
      </c>
      <c r="V102">
        <v>0</v>
      </c>
      <c r="W102">
        <v>0</v>
      </c>
      <c r="X102">
        <v>0</v>
      </c>
      <c r="Y102">
        <v>0</v>
      </c>
      <c r="Z102">
        <v>16288</v>
      </c>
    </row>
    <row r="103" spans="3:26" x14ac:dyDescent="0.3">
      <c r="C103" t="s">
        <v>192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7296</v>
      </c>
      <c r="V103">
        <v>0</v>
      </c>
      <c r="W103">
        <v>0</v>
      </c>
      <c r="X103">
        <v>0</v>
      </c>
      <c r="Y103">
        <v>0</v>
      </c>
      <c r="Z103">
        <v>16277</v>
      </c>
    </row>
    <row r="104" spans="3:26" x14ac:dyDescent="0.3">
      <c r="C104" t="s">
        <v>193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7296</v>
      </c>
      <c r="V104">
        <v>0</v>
      </c>
      <c r="W104">
        <v>0</v>
      </c>
      <c r="X104">
        <v>0</v>
      </c>
      <c r="Y104">
        <v>0</v>
      </c>
      <c r="Z104">
        <v>16277</v>
      </c>
    </row>
    <row r="105" spans="3:26" x14ac:dyDescent="0.3">
      <c r="C105" t="s">
        <v>194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7296</v>
      </c>
      <c r="V105">
        <v>0</v>
      </c>
      <c r="W105">
        <v>0</v>
      </c>
      <c r="X105">
        <v>0</v>
      </c>
      <c r="Y105">
        <v>0</v>
      </c>
      <c r="Z105">
        <v>16277</v>
      </c>
    </row>
    <row r="106" spans="3:26" x14ac:dyDescent="0.3">
      <c r="C106" t="s">
        <v>195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7296</v>
      </c>
      <c r="V106">
        <v>0</v>
      </c>
      <c r="W106">
        <v>0</v>
      </c>
      <c r="X106">
        <v>0</v>
      </c>
      <c r="Y106">
        <v>0</v>
      </c>
      <c r="Z106">
        <v>16277</v>
      </c>
    </row>
    <row r="107" spans="3:26" x14ac:dyDescent="0.3">
      <c r="C107" t="s">
        <v>196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7296</v>
      </c>
      <c r="V107">
        <v>0</v>
      </c>
      <c r="W107">
        <v>0</v>
      </c>
      <c r="X107">
        <v>0</v>
      </c>
      <c r="Y107">
        <v>0</v>
      </c>
      <c r="Z107">
        <v>16277</v>
      </c>
    </row>
    <row r="108" spans="3:26" x14ac:dyDescent="0.3">
      <c r="C108" t="s">
        <v>197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7296</v>
      </c>
      <c r="V108">
        <v>0</v>
      </c>
      <c r="W108">
        <v>0</v>
      </c>
      <c r="X108">
        <v>0</v>
      </c>
      <c r="Y108">
        <v>0</v>
      </c>
      <c r="Z108">
        <v>16277</v>
      </c>
    </row>
    <row r="109" spans="3:26" x14ac:dyDescent="0.3">
      <c r="C109" t="s">
        <v>198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7296</v>
      </c>
      <c r="V109">
        <v>0</v>
      </c>
      <c r="W109">
        <v>0</v>
      </c>
      <c r="X109">
        <v>0</v>
      </c>
      <c r="Y109">
        <v>0</v>
      </c>
      <c r="Z109">
        <v>16277</v>
      </c>
    </row>
    <row r="110" spans="3:26" x14ac:dyDescent="0.3">
      <c r="C110" t="s">
        <v>199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7296</v>
      </c>
      <c r="V110">
        <v>0</v>
      </c>
      <c r="W110">
        <v>0</v>
      </c>
      <c r="X110">
        <v>0</v>
      </c>
      <c r="Y110">
        <v>0</v>
      </c>
      <c r="Z110">
        <v>16277</v>
      </c>
    </row>
    <row r="111" spans="3:26" x14ac:dyDescent="0.3">
      <c r="C111" t="s">
        <v>200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7296</v>
      </c>
      <c r="V111">
        <v>0</v>
      </c>
      <c r="W111">
        <v>0</v>
      </c>
      <c r="X111">
        <v>0</v>
      </c>
      <c r="Y111">
        <v>0</v>
      </c>
      <c r="Z111">
        <v>16277</v>
      </c>
    </row>
    <row r="112" spans="3:26" x14ac:dyDescent="0.3">
      <c r="C112" t="s">
        <v>201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7296</v>
      </c>
      <c r="V112">
        <v>0</v>
      </c>
      <c r="W112">
        <v>0</v>
      </c>
      <c r="X112">
        <v>0</v>
      </c>
      <c r="Y112">
        <v>0</v>
      </c>
      <c r="Z112">
        <v>16277</v>
      </c>
    </row>
    <row r="113" spans="3:26" x14ac:dyDescent="0.3">
      <c r="C113" t="s">
        <v>202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7296</v>
      </c>
      <c r="V113">
        <v>0</v>
      </c>
      <c r="W113">
        <v>0</v>
      </c>
      <c r="X113">
        <v>0</v>
      </c>
      <c r="Y113">
        <v>0</v>
      </c>
      <c r="Z113">
        <v>16277</v>
      </c>
    </row>
    <row r="114" spans="3:26" x14ac:dyDescent="0.3">
      <c r="C114" t="s">
        <v>203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7296</v>
      </c>
      <c r="V114">
        <v>0</v>
      </c>
      <c r="W114">
        <v>0</v>
      </c>
      <c r="X114">
        <v>0</v>
      </c>
      <c r="Y114">
        <v>0</v>
      </c>
      <c r="Z114">
        <v>16277</v>
      </c>
    </row>
    <row r="115" spans="3:26" x14ac:dyDescent="0.3">
      <c r="C115" t="s">
        <v>204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11506</v>
      </c>
      <c r="V115">
        <v>0</v>
      </c>
      <c r="W115">
        <v>0</v>
      </c>
      <c r="X115">
        <v>0</v>
      </c>
      <c r="Y115">
        <v>0</v>
      </c>
      <c r="Z115">
        <v>25669</v>
      </c>
    </row>
    <row r="116" spans="3:26" x14ac:dyDescent="0.3">
      <c r="C116" t="s">
        <v>205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2630259</v>
      </c>
    </row>
    <row r="117" spans="3:26" x14ac:dyDescent="0.3">
      <c r="C117" t="s">
        <v>206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6618</v>
      </c>
      <c r="V117">
        <v>0</v>
      </c>
      <c r="W117">
        <v>0</v>
      </c>
      <c r="X117">
        <v>0</v>
      </c>
      <c r="Y117">
        <v>0</v>
      </c>
      <c r="Z117">
        <v>14764</v>
      </c>
    </row>
    <row r="118" spans="3:26" x14ac:dyDescent="0.3">
      <c r="C118" t="s">
        <v>207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851</v>
      </c>
      <c r="V118">
        <v>0</v>
      </c>
      <c r="W118">
        <v>0</v>
      </c>
      <c r="X118">
        <v>0</v>
      </c>
      <c r="Y118">
        <v>0</v>
      </c>
      <c r="Z118">
        <v>1898</v>
      </c>
    </row>
    <row r="119" spans="3:26" x14ac:dyDescent="0.3">
      <c r="C119" t="s">
        <v>208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779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562</v>
      </c>
    </row>
    <row r="120" spans="3:26" x14ac:dyDescent="0.3">
      <c r="C120" t="s">
        <v>209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374535</v>
      </c>
      <c r="Z120">
        <v>3558085</v>
      </c>
    </row>
    <row r="121" spans="3:26" x14ac:dyDescent="0.3">
      <c r="C121" t="s">
        <v>221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2521184</v>
      </c>
    </row>
    <row r="122" spans="3:26" x14ac:dyDescent="0.3">
      <c r="C122" t="s">
        <v>222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654451</v>
      </c>
    </row>
    <row r="123" spans="3:26" x14ac:dyDescent="0.3">
      <c r="C123" t="s">
        <v>226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93944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1262524</v>
      </c>
    </row>
    <row r="124" spans="3:26" x14ac:dyDescent="0.3">
      <c r="C124" t="s">
        <v>227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4932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66283</v>
      </c>
    </row>
    <row r="125" spans="3:26" x14ac:dyDescent="0.3">
      <c r="C125" t="s">
        <v>228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835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11222</v>
      </c>
    </row>
    <row r="126" spans="3:26" x14ac:dyDescent="0.3">
      <c r="C126" t="s">
        <v>229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4110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55235</v>
      </c>
    </row>
    <row r="127" spans="3:26" x14ac:dyDescent="0.3">
      <c r="C127" t="s">
        <v>230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3:26" x14ac:dyDescent="0.3">
      <c r="C128" t="s">
        <v>231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4958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66633</v>
      </c>
    </row>
    <row r="129" spans="3:26" x14ac:dyDescent="0.3">
      <c r="C129" t="s">
        <v>232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5219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70140</v>
      </c>
    </row>
    <row r="130" spans="3:26" x14ac:dyDescent="0.3">
      <c r="C130" t="s">
        <v>233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3:26" x14ac:dyDescent="0.3">
      <c r="C131" t="s">
        <v>234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7307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98196</v>
      </c>
    </row>
    <row r="132" spans="3:26" x14ac:dyDescent="0.3">
      <c r="C132" t="s">
        <v>235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42275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568136</v>
      </c>
    </row>
    <row r="133" spans="3:26" x14ac:dyDescent="0.3">
      <c r="C133" t="s">
        <v>236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9394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126252</v>
      </c>
    </row>
    <row r="134" spans="3:26" x14ac:dyDescent="0.3">
      <c r="C134" t="s">
        <v>237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23747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319138</v>
      </c>
    </row>
    <row r="135" spans="3:26" x14ac:dyDescent="0.3">
      <c r="C135" t="s">
        <v>238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522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7014</v>
      </c>
    </row>
  </sheetData>
  <hyperlinks>
    <hyperlink ref="B2" location="'Home Sheet'!B2" display="BACK TO HOME SHEET" xr:uid="{83F7098E-C6EC-49F5-8868-D493912BC811}"/>
  </hyperlinks>
  <pageMargins left="0.75" right="0.75" top="1" bottom="1" header="0.5" footer="0.5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B2:Z135"/>
  <sheetViews>
    <sheetView workbookViewId="0">
      <selection activeCell="B2" sqref="B2"/>
    </sheetView>
  </sheetViews>
  <sheetFormatPr defaultRowHeight="14.4" x14ac:dyDescent="0.3"/>
  <cols>
    <col min="2" max="2" width="19.5546875" bestFit="1" customWidth="1"/>
    <col min="3" max="3" width="20.77734375" bestFit="1" customWidth="1"/>
    <col min="4" max="5" width="4.5546875" customWidth="1"/>
    <col min="6" max="6" width="3.88671875" customWidth="1"/>
    <col min="7" max="26" width="7" bestFit="1" customWidth="1"/>
  </cols>
  <sheetData>
    <row r="2" spans="2:26" x14ac:dyDescent="0.3">
      <c r="B2" s="2" t="s">
        <v>372</v>
      </c>
    </row>
    <row r="3" spans="2:26" x14ac:dyDescent="0.3">
      <c r="C3" s="3" t="s">
        <v>6</v>
      </c>
      <c r="D3" s="3" t="s">
        <v>7</v>
      </c>
      <c r="E3" s="3" t="s">
        <v>8</v>
      </c>
      <c r="F3" s="3" t="s">
        <v>9</v>
      </c>
      <c r="G3" s="3" t="s">
        <v>10</v>
      </c>
      <c r="H3" s="3" t="s">
        <v>11</v>
      </c>
      <c r="I3" s="3" t="s">
        <v>12</v>
      </c>
      <c r="J3" s="3" t="s">
        <v>13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3" t="s">
        <v>19</v>
      </c>
      <c r="Q3" s="3" t="s">
        <v>20</v>
      </c>
      <c r="R3" s="3" t="s">
        <v>21</v>
      </c>
      <c r="S3" s="3" t="s">
        <v>22</v>
      </c>
      <c r="T3" s="3" t="s">
        <v>23</v>
      </c>
      <c r="U3" s="3" t="s">
        <v>24</v>
      </c>
      <c r="V3" s="3" t="s">
        <v>25</v>
      </c>
      <c r="W3" s="3" t="s">
        <v>26</v>
      </c>
      <c r="X3" s="3" t="s">
        <v>27</v>
      </c>
      <c r="Y3" s="3" t="s">
        <v>28</v>
      </c>
      <c r="Z3" s="3" t="s">
        <v>29</v>
      </c>
    </row>
    <row r="4" spans="2:26" x14ac:dyDescent="0.3">
      <c r="C4" t="s">
        <v>213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2:26" x14ac:dyDescent="0.3">
      <c r="C5" t="s">
        <v>214</v>
      </c>
      <c r="D5">
        <v>0</v>
      </c>
      <c r="E5">
        <v>0</v>
      </c>
      <c r="F5">
        <v>0</v>
      </c>
      <c r="G5">
        <v>3093</v>
      </c>
      <c r="H5">
        <v>5877</v>
      </c>
      <c r="I5">
        <v>5289</v>
      </c>
      <c r="J5">
        <v>4763</v>
      </c>
      <c r="K5">
        <v>4287</v>
      </c>
      <c r="L5">
        <v>3854</v>
      </c>
      <c r="M5">
        <v>3650</v>
      </c>
      <c r="N5">
        <v>3650</v>
      </c>
      <c r="O5">
        <v>3656</v>
      </c>
      <c r="P5">
        <v>3650</v>
      </c>
      <c r="Q5">
        <v>3656</v>
      </c>
      <c r="R5">
        <v>3650</v>
      </c>
      <c r="S5">
        <v>3656</v>
      </c>
      <c r="T5">
        <v>3650</v>
      </c>
      <c r="U5">
        <v>3656</v>
      </c>
      <c r="V5">
        <v>1825</v>
      </c>
      <c r="W5">
        <v>0</v>
      </c>
      <c r="X5">
        <v>0</v>
      </c>
      <c r="Y5">
        <v>5587</v>
      </c>
      <c r="Z5">
        <v>10615</v>
      </c>
    </row>
    <row r="6" spans="2:26" x14ac:dyDescent="0.3">
      <c r="C6" t="s">
        <v>215</v>
      </c>
      <c r="D6">
        <v>0</v>
      </c>
      <c r="E6">
        <v>0</v>
      </c>
      <c r="F6">
        <v>0</v>
      </c>
      <c r="G6">
        <v>21027</v>
      </c>
      <c r="H6">
        <v>40479</v>
      </c>
      <c r="I6">
        <v>37440</v>
      </c>
      <c r="J6">
        <v>34636</v>
      </c>
      <c r="K6">
        <v>32034</v>
      </c>
      <c r="L6">
        <v>29634</v>
      </c>
      <c r="M6">
        <v>27408</v>
      </c>
      <c r="N6">
        <v>25356</v>
      </c>
      <c r="O6">
        <v>25020</v>
      </c>
      <c r="P6">
        <v>25014</v>
      </c>
      <c r="Q6">
        <v>25020</v>
      </c>
      <c r="R6">
        <v>25014</v>
      </c>
      <c r="S6">
        <v>25020</v>
      </c>
      <c r="T6">
        <v>25014</v>
      </c>
      <c r="U6">
        <v>25020</v>
      </c>
      <c r="V6">
        <v>25014</v>
      </c>
      <c r="W6">
        <v>25020</v>
      </c>
      <c r="X6">
        <v>25014</v>
      </c>
      <c r="Y6">
        <v>25020</v>
      </c>
      <c r="Z6">
        <v>25014</v>
      </c>
    </row>
    <row r="7" spans="2:26" x14ac:dyDescent="0.3">
      <c r="C7" t="s">
        <v>216</v>
      </c>
      <c r="D7">
        <v>0</v>
      </c>
      <c r="E7">
        <v>0</v>
      </c>
      <c r="F7">
        <v>0</v>
      </c>
      <c r="G7">
        <v>3638</v>
      </c>
      <c r="H7">
        <v>6912</v>
      </c>
      <c r="I7">
        <v>6220</v>
      </c>
      <c r="J7">
        <v>5602</v>
      </c>
      <c r="K7">
        <v>5042</v>
      </c>
      <c r="L7">
        <v>4533</v>
      </c>
      <c r="M7">
        <v>4292</v>
      </c>
      <c r="N7">
        <v>4292</v>
      </c>
      <c r="O7">
        <v>4300</v>
      </c>
      <c r="P7">
        <v>4292</v>
      </c>
      <c r="Q7">
        <v>4300</v>
      </c>
      <c r="R7">
        <v>4292</v>
      </c>
      <c r="S7">
        <v>4300</v>
      </c>
      <c r="T7">
        <v>4292</v>
      </c>
      <c r="U7">
        <v>4300</v>
      </c>
      <c r="V7">
        <v>2146</v>
      </c>
      <c r="W7">
        <v>0</v>
      </c>
      <c r="X7">
        <v>0</v>
      </c>
      <c r="Y7">
        <v>6570</v>
      </c>
      <c r="Z7">
        <v>12483</v>
      </c>
    </row>
    <row r="8" spans="2:26" x14ac:dyDescent="0.3">
      <c r="C8" t="s">
        <v>217</v>
      </c>
      <c r="D8">
        <v>0</v>
      </c>
      <c r="E8">
        <v>0</v>
      </c>
      <c r="F8">
        <v>0</v>
      </c>
      <c r="G8">
        <v>9380</v>
      </c>
      <c r="H8">
        <v>17822</v>
      </c>
      <c r="I8">
        <v>16040</v>
      </c>
      <c r="J8">
        <v>14446</v>
      </c>
      <c r="K8">
        <v>13001</v>
      </c>
      <c r="L8">
        <v>11688</v>
      </c>
      <c r="M8">
        <v>11069</v>
      </c>
      <c r="N8">
        <v>11069</v>
      </c>
      <c r="O8">
        <v>11087</v>
      </c>
      <c r="P8">
        <v>11069</v>
      </c>
      <c r="Q8">
        <v>11087</v>
      </c>
      <c r="R8">
        <v>11069</v>
      </c>
      <c r="S8">
        <v>11087</v>
      </c>
      <c r="T8">
        <v>11069</v>
      </c>
      <c r="U8">
        <v>11087</v>
      </c>
      <c r="V8">
        <v>5534</v>
      </c>
      <c r="W8">
        <v>0</v>
      </c>
      <c r="X8">
        <v>0</v>
      </c>
      <c r="Y8">
        <v>16942</v>
      </c>
      <c r="Z8">
        <v>32189</v>
      </c>
    </row>
    <row r="9" spans="2:26" x14ac:dyDescent="0.3">
      <c r="C9" t="s">
        <v>218</v>
      </c>
      <c r="D9">
        <v>0</v>
      </c>
      <c r="E9">
        <v>0</v>
      </c>
      <c r="F9">
        <v>0</v>
      </c>
      <c r="G9">
        <v>150815</v>
      </c>
      <c r="H9">
        <v>150815</v>
      </c>
      <c r="I9">
        <v>150815</v>
      </c>
      <c r="J9">
        <v>150815</v>
      </c>
      <c r="K9">
        <v>150815</v>
      </c>
      <c r="L9">
        <v>150815</v>
      </c>
      <c r="M9">
        <v>150815</v>
      </c>
      <c r="N9">
        <v>150815</v>
      </c>
      <c r="O9">
        <v>150815</v>
      </c>
      <c r="P9">
        <v>150815</v>
      </c>
      <c r="Q9">
        <v>150815</v>
      </c>
      <c r="R9">
        <v>150815</v>
      </c>
      <c r="S9">
        <v>150815</v>
      </c>
      <c r="T9">
        <v>150815</v>
      </c>
      <c r="U9">
        <v>150815</v>
      </c>
      <c r="V9">
        <v>150815</v>
      </c>
      <c r="W9">
        <v>150815</v>
      </c>
      <c r="X9">
        <v>150815</v>
      </c>
      <c r="Y9">
        <v>150815</v>
      </c>
      <c r="Z9">
        <v>150815</v>
      </c>
    </row>
    <row r="10" spans="2:26" x14ac:dyDescent="0.3">
      <c r="C10" t="s">
        <v>219</v>
      </c>
      <c r="D10">
        <v>0</v>
      </c>
      <c r="E10">
        <v>0</v>
      </c>
      <c r="F10">
        <v>0</v>
      </c>
      <c r="G10">
        <v>7069</v>
      </c>
      <c r="H10">
        <v>13432</v>
      </c>
      <c r="I10">
        <v>12089</v>
      </c>
      <c r="J10">
        <v>10887</v>
      </c>
      <c r="K10">
        <v>9798</v>
      </c>
      <c r="L10">
        <v>8809</v>
      </c>
      <c r="M10">
        <v>8342</v>
      </c>
      <c r="N10">
        <v>8342</v>
      </c>
      <c r="O10">
        <v>8356</v>
      </c>
      <c r="P10">
        <v>8342</v>
      </c>
      <c r="Q10">
        <v>8356</v>
      </c>
      <c r="R10">
        <v>8342</v>
      </c>
      <c r="S10">
        <v>8356</v>
      </c>
      <c r="T10">
        <v>8342</v>
      </c>
      <c r="U10">
        <v>8356</v>
      </c>
      <c r="V10">
        <v>4171</v>
      </c>
      <c r="W10">
        <v>0</v>
      </c>
      <c r="X10">
        <v>0</v>
      </c>
      <c r="Y10">
        <v>0</v>
      </c>
      <c r="Z10">
        <v>12768</v>
      </c>
    </row>
    <row r="11" spans="2:26" x14ac:dyDescent="0.3">
      <c r="C11" t="s">
        <v>220</v>
      </c>
      <c r="D11">
        <v>0</v>
      </c>
      <c r="E11">
        <v>0</v>
      </c>
      <c r="F11">
        <v>0</v>
      </c>
      <c r="G11">
        <v>18455</v>
      </c>
      <c r="H11">
        <v>31627</v>
      </c>
      <c r="I11">
        <v>22587</v>
      </c>
      <c r="J11">
        <v>16130</v>
      </c>
      <c r="K11">
        <v>11533</v>
      </c>
      <c r="L11">
        <v>11520</v>
      </c>
      <c r="M11">
        <v>11533</v>
      </c>
      <c r="N11">
        <v>5760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28752</v>
      </c>
      <c r="V11">
        <v>49274</v>
      </c>
      <c r="W11">
        <v>35190</v>
      </c>
      <c r="X11">
        <v>25130</v>
      </c>
      <c r="Y11">
        <v>17967</v>
      </c>
      <c r="Z11">
        <v>17947</v>
      </c>
    </row>
    <row r="12" spans="2:26" x14ac:dyDescent="0.3">
      <c r="C12" t="s">
        <v>102</v>
      </c>
      <c r="D12">
        <v>0</v>
      </c>
      <c r="E12">
        <v>0</v>
      </c>
      <c r="F12">
        <v>0</v>
      </c>
      <c r="G12">
        <v>4193</v>
      </c>
      <c r="H12">
        <v>8072</v>
      </c>
      <c r="I12">
        <v>7466</v>
      </c>
      <c r="J12">
        <v>6907</v>
      </c>
      <c r="K12">
        <v>6388</v>
      </c>
      <c r="L12">
        <v>5910</v>
      </c>
      <c r="M12">
        <v>5466</v>
      </c>
      <c r="N12">
        <v>5056</v>
      </c>
      <c r="O12">
        <v>4989</v>
      </c>
      <c r="P12">
        <v>4988</v>
      </c>
      <c r="Q12">
        <v>4989</v>
      </c>
      <c r="R12">
        <v>4988</v>
      </c>
      <c r="S12">
        <v>4989</v>
      </c>
      <c r="T12">
        <v>4988</v>
      </c>
      <c r="U12">
        <v>4989</v>
      </c>
      <c r="V12">
        <v>4988</v>
      </c>
      <c r="W12">
        <v>4989</v>
      </c>
      <c r="X12">
        <v>4988</v>
      </c>
      <c r="Y12">
        <v>4989</v>
      </c>
      <c r="Z12">
        <v>4988</v>
      </c>
    </row>
    <row r="13" spans="2:26" x14ac:dyDescent="0.3">
      <c r="C13" t="s">
        <v>103</v>
      </c>
      <c r="D13">
        <v>0</v>
      </c>
      <c r="E13">
        <v>0</v>
      </c>
      <c r="F13">
        <v>0</v>
      </c>
      <c r="G13">
        <v>4193</v>
      </c>
      <c r="H13">
        <v>8072</v>
      </c>
      <c r="I13">
        <v>7466</v>
      </c>
      <c r="J13">
        <v>6907</v>
      </c>
      <c r="K13">
        <v>6388</v>
      </c>
      <c r="L13">
        <v>5910</v>
      </c>
      <c r="M13">
        <v>5466</v>
      </c>
      <c r="N13">
        <v>5056</v>
      </c>
      <c r="O13">
        <v>4989</v>
      </c>
      <c r="P13">
        <v>4988</v>
      </c>
      <c r="Q13">
        <v>4989</v>
      </c>
      <c r="R13">
        <v>4988</v>
      </c>
      <c r="S13">
        <v>4989</v>
      </c>
      <c r="T13">
        <v>4988</v>
      </c>
      <c r="U13">
        <v>4989</v>
      </c>
      <c r="V13">
        <v>4988</v>
      </c>
      <c r="W13">
        <v>4989</v>
      </c>
      <c r="X13">
        <v>4988</v>
      </c>
      <c r="Y13">
        <v>4989</v>
      </c>
      <c r="Z13">
        <v>4988</v>
      </c>
    </row>
    <row r="14" spans="2:26" x14ac:dyDescent="0.3">
      <c r="C14" t="s">
        <v>104</v>
      </c>
      <c r="D14">
        <v>0</v>
      </c>
      <c r="E14">
        <v>0</v>
      </c>
      <c r="F14">
        <v>0</v>
      </c>
      <c r="G14">
        <v>3578</v>
      </c>
      <c r="H14">
        <v>6887</v>
      </c>
      <c r="I14">
        <v>6370</v>
      </c>
      <c r="J14">
        <v>5893</v>
      </c>
      <c r="K14">
        <v>5450</v>
      </c>
      <c r="L14">
        <v>5042</v>
      </c>
      <c r="M14">
        <v>4663</v>
      </c>
      <c r="N14">
        <v>4314</v>
      </c>
      <c r="O14">
        <v>4257</v>
      </c>
      <c r="P14">
        <v>4256</v>
      </c>
      <c r="Q14">
        <v>4257</v>
      </c>
      <c r="R14">
        <v>4256</v>
      </c>
      <c r="S14">
        <v>4257</v>
      </c>
      <c r="T14">
        <v>4256</v>
      </c>
      <c r="U14">
        <v>4257</v>
      </c>
      <c r="V14">
        <v>4256</v>
      </c>
      <c r="W14">
        <v>4257</v>
      </c>
      <c r="X14">
        <v>4256</v>
      </c>
      <c r="Y14">
        <v>4257</v>
      </c>
      <c r="Z14">
        <v>4256</v>
      </c>
    </row>
    <row r="15" spans="2:26" x14ac:dyDescent="0.3">
      <c r="C15" t="s">
        <v>105</v>
      </c>
      <c r="D15">
        <v>0</v>
      </c>
      <c r="E15">
        <v>0</v>
      </c>
      <c r="F15">
        <v>0</v>
      </c>
      <c r="G15">
        <v>3518</v>
      </c>
      <c r="H15">
        <v>6772</v>
      </c>
      <c r="I15">
        <v>6264</v>
      </c>
      <c r="J15">
        <v>5795</v>
      </c>
      <c r="K15">
        <v>5359</v>
      </c>
      <c r="L15">
        <v>4958</v>
      </c>
      <c r="M15">
        <v>4585</v>
      </c>
      <c r="N15">
        <v>4242</v>
      </c>
      <c r="O15">
        <v>4186</v>
      </c>
      <c r="P15">
        <v>4185</v>
      </c>
      <c r="Q15">
        <v>4186</v>
      </c>
      <c r="R15">
        <v>4185</v>
      </c>
      <c r="S15">
        <v>4186</v>
      </c>
      <c r="T15">
        <v>4185</v>
      </c>
      <c r="U15">
        <v>4186</v>
      </c>
      <c r="V15">
        <v>4185</v>
      </c>
      <c r="W15">
        <v>4186</v>
      </c>
      <c r="X15">
        <v>4185</v>
      </c>
      <c r="Y15">
        <v>4186</v>
      </c>
      <c r="Z15">
        <v>4185</v>
      </c>
    </row>
    <row r="16" spans="2:26" x14ac:dyDescent="0.3">
      <c r="C16" t="s">
        <v>106</v>
      </c>
      <c r="D16">
        <v>0</v>
      </c>
      <c r="E16">
        <v>0</v>
      </c>
      <c r="F16">
        <v>0</v>
      </c>
      <c r="G16">
        <v>3607</v>
      </c>
      <c r="H16">
        <v>6944</v>
      </c>
      <c r="I16">
        <v>6423</v>
      </c>
      <c r="J16">
        <v>5942</v>
      </c>
      <c r="K16">
        <v>5496</v>
      </c>
      <c r="L16">
        <v>5084</v>
      </c>
      <c r="M16">
        <v>4702</v>
      </c>
      <c r="N16">
        <v>4350</v>
      </c>
      <c r="O16">
        <v>4292</v>
      </c>
      <c r="P16">
        <v>4291</v>
      </c>
      <c r="Q16">
        <v>4292</v>
      </c>
      <c r="R16">
        <v>4291</v>
      </c>
      <c r="S16">
        <v>4292</v>
      </c>
      <c r="T16">
        <v>4291</v>
      </c>
      <c r="U16">
        <v>4292</v>
      </c>
      <c r="V16">
        <v>4291</v>
      </c>
      <c r="W16">
        <v>4292</v>
      </c>
      <c r="X16">
        <v>4291</v>
      </c>
      <c r="Y16">
        <v>4292</v>
      </c>
      <c r="Z16">
        <v>4291</v>
      </c>
    </row>
    <row r="17" spans="3:26" x14ac:dyDescent="0.3">
      <c r="C17" t="s">
        <v>107</v>
      </c>
      <c r="D17">
        <v>0</v>
      </c>
      <c r="E17">
        <v>0</v>
      </c>
      <c r="F17">
        <v>0</v>
      </c>
      <c r="G17">
        <v>3518</v>
      </c>
      <c r="H17">
        <v>6772</v>
      </c>
      <c r="I17">
        <v>6264</v>
      </c>
      <c r="J17">
        <v>5795</v>
      </c>
      <c r="K17">
        <v>5359</v>
      </c>
      <c r="L17">
        <v>4958</v>
      </c>
      <c r="M17">
        <v>4585</v>
      </c>
      <c r="N17">
        <v>4242</v>
      </c>
      <c r="O17">
        <v>4186</v>
      </c>
      <c r="P17">
        <v>4185</v>
      </c>
      <c r="Q17">
        <v>4186</v>
      </c>
      <c r="R17">
        <v>4185</v>
      </c>
      <c r="S17">
        <v>4186</v>
      </c>
      <c r="T17">
        <v>4185</v>
      </c>
      <c r="U17">
        <v>4186</v>
      </c>
      <c r="V17">
        <v>4185</v>
      </c>
      <c r="W17">
        <v>4186</v>
      </c>
      <c r="X17">
        <v>4185</v>
      </c>
      <c r="Y17">
        <v>4186</v>
      </c>
      <c r="Z17">
        <v>4185</v>
      </c>
    </row>
    <row r="18" spans="3:26" x14ac:dyDescent="0.3">
      <c r="C18" t="s">
        <v>108</v>
      </c>
      <c r="D18">
        <v>0</v>
      </c>
      <c r="E18">
        <v>0</v>
      </c>
      <c r="F18">
        <v>0</v>
      </c>
      <c r="G18">
        <v>3695</v>
      </c>
      <c r="H18">
        <v>7114</v>
      </c>
      <c r="I18">
        <v>6580</v>
      </c>
      <c r="J18">
        <v>6087</v>
      </c>
      <c r="K18">
        <v>5630</v>
      </c>
      <c r="L18">
        <v>5208</v>
      </c>
      <c r="M18">
        <v>4817</v>
      </c>
      <c r="N18">
        <v>4456</v>
      </c>
      <c r="O18">
        <v>4397</v>
      </c>
      <c r="P18">
        <v>4396</v>
      </c>
      <c r="Q18">
        <v>4397</v>
      </c>
      <c r="R18">
        <v>4396</v>
      </c>
      <c r="S18">
        <v>4397</v>
      </c>
      <c r="T18">
        <v>4396</v>
      </c>
      <c r="U18">
        <v>4397</v>
      </c>
      <c r="V18">
        <v>4396</v>
      </c>
      <c r="W18">
        <v>4397</v>
      </c>
      <c r="X18">
        <v>4396</v>
      </c>
      <c r="Y18">
        <v>4397</v>
      </c>
      <c r="Z18">
        <v>4396</v>
      </c>
    </row>
    <row r="19" spans="3:26" x14ac:dyDescent="0.3">
      <c r="C19" t="s">
        <v>109</v>
      </c>
      <c r="D19">
        <v>0</v>
      </c>
      <c r="E19">
        <v>0</v>
      </c>
      <c r="F19">
        <v>0</v>
      </c>
      <c r="G19">
        <v>3427</v>
      </c>
      <c r="H19">
        <v>6598</v>
      </c>
      <c r="I19">
        <v>6102</v>
      </c>
      <c r="J19">
        <v>5645</v>
      </c>
      <c r="K19">
        <v>5221</v>
      </c>
      <c r="L19">
        <v>4830</v>
      </c>
      <c r="M19">
        <v>4467</v>
      </c>
      <c r="N19">
        <v>4133</v>
      </c>
      <c r="O19">
        <v>4078</v>
      </c>
      <c r="P19">
        <v>4077</v>
      </c>
      <c r="Q19">
        <v>4078</v>
      </c>
      <c r="R19">
        <v>4077</v>
      </c>
      <c r="S19">
        <v>4078</v>
      </c>
      <c r="T19">
        <v>4077</v>
      </c>
      <c r="U19">
        <v>4078</v>
      </c>
      <c r="V19">
        <v>4077</v>
      </c>
      <c r="W19">
        <v>4078</v>
      </c>
      <c r="X19">
        <v>4077</v>
      </c>
      <c r="Y19">
        <v>4078</v>
      </c>
      <c r="Z19">
        <v>4077</v>
      </c>
    </row>
    <row r="20" spans="3:26" x14ac:dyDescent="0.3">
      <c r="C20" t="s">
        <v>110</v>
      </c>
      <c r="D20">
        <v>0</v>
      </c>
      <c r="E20">
        <v>0</v>
      </c>
      <c r="F20">
        <v>0</v>
      </c>
      <c r="G20">
        <v>4090</v>
      </c>
      <c r="H20">
        <v>7873</v>
      </c>
      <c r="I20">
        <v>7282</v>
      </c>
      <c r="J20">
        <v>6736</v>
      </c>
      <c r="K20">
        <v>6230</v>
      </c>
      <c r="L20">
        <v>5764</v>
      </c>
      <c r="M20">
        <v>5331</v>
      </c>
      <c r="N20">
        <v>4931</v>
      </c>
      <c r="O20">
        <v>4866</v>
      </c>
      <c r="P20">
        <v>4865</v>
      </c>
      <c r="Q20">
        <v>4866</v>
      </c>
      <c r="R20">
        <v>4865</v>
      </c>
      <c r="S20">
        <v>4866</v>
      </c>
      <c r="T20">
        <v>4865</v>
      </c>
      <c r="U20">
        <v>4866</v>
      </c>
      <c r="V20">
        <v>4865</v>
      </c>
      <c r="W20">
        <v>4866</v>
      </c>
      <c r="X20">
        <v>4865</v>
      </c>
      <c r="Y20">
        <v>4866</v>
      </c>
      <c r="Z20">
        <v>4865</v>
      </c>
    </row>
    <row r="21" spans="3:26" x14ac:dyDescent="0.3">
      <c r="C21" t="s">
        <v>111</v>
      </c>
      <c r="D21">
        <v>0</v>
      </c>
      <c r="E21">
        <v>0</v>
      </c>
      <c r="F21">
        <v>0</v>
      </c>
      <c r="G21">
        <v>5311</v>
      </c>
      <c r="H21">
        <v>10224</v>
      </c>
      <c r="I21">
        <v>9457</v>
      </c>
      <c r="J21">
        <v>8749</v>
      </c>
      <c r="K21">
        <v>8091</v>
      </c>
      <c r="L21">
        <v>7485</v>
      </c>
      <c r="M21">
        <v>6923</v>
      </c>
      <c r="N21">
        <v>6405</v>
      </c>
      <c r="O21">
        <v>6320</v>
      </c>
      <c r="P21">
        <v>6318</v>
      </c>
      <c r="Q21">
        <v>6320</v>
      </c>
      <c r="R21">
        <v>6318</v>
      </c>
      <c r="S21">
        <v>6320</v>
      </c>
      <c r="T21">
        <v>6318</v>
      </c>
      <c r="U21">
        <v>6320</v>
      </c>
      <c r="V21">
        <v>6318</v>
      </c>
      <c r="W21">
        <v>6320</v>
      </c>
      <c r="X21">
        <v>6318</v>
      </c>
      <c r="Y21">
        <v>6320</v>
      </c>
      <c r="Z21">
        <v>6318</v>
      </c>
    </row>
    <row r="22" spans="3:26" x14ac:dyDescent="0.3">
      <c r="C22" t="s">
        <v>112</v>
      </c>
      <c r="D22">
        <v>0</v>
      </c>
      <c r="E22">
        <v>0</v>
      </c>
      <c r="F22">
        <v>0</v>
      </c>
      <c r="G22">
        <v>3566</v>
      </c>
      <c r="H22">
        <v>6864</v>
      </c>
      <c r="I22">
        <v>6349</v>
      </c>
      <c r="J22">
        <v>5873</v>
      </c>
      <c r="K22">
        <v>5432</v>
      </c>
      <c r="L22">
        <v>5025</v>
      </c>
      <c r="M22">
        <v>4648</v>
      </c>
      <c r="N22">
        <v>4300</v>
      </c>
      <c r="O22">
        <v>4243</v>
      </c>
      <c r="P22">
        <v>4242</v>
      </c>
      <c r="Q22">
        <v>4243</v>
      </c>
      <c r="R22">
        <v>4242</v>
      </c>
      <c r="S22">
        <v>4243</v>
      </c>
      <c r="T22">
        <v>4242</v>
      </c>
      <c r="U22">
        <v>4243</v>
      </c>
      <c r="V22">
        <v>4242</v>
      </c>
      <c r="W22">
        <v>4243</v>
      </c>
      <c r="X22">
        <v>4242</v>
      </c>
      <c r="Y22">
        <v>4243</v>
      </c>
      <c r="Z22">
        <v>4242</v>
      </c>
    </row>
    <row r="23" spans="3:26" x14ac:dyDescent="0.3">
      <c r="C23" t="s">
        <v>113</v>
      </c>
      <c r="D23">
        <v>0</v>
      </c>
      <c r="E23">
        <v>0</v>
      </c>
      <c r="F23">
        <v>0</v>
      </c>
      <c r="G23">
        <v>2761</v>
      </c>
      <c r="H23">
        <v>5314</v>
      </c>
      <c r="I23">
        <v>4915</v>
      </c>
      <c r="J23">
        <v>4547</v>
      </c>
      <c r="K23">
        <v>4206</v>
      </c>
      <c r="L23">
        <v>3891</v>
      </c>
      <c r="M23">
        <v>3598</v>
      </c>
      <c r="N23">
        <v>3329</v>
      </c>
      <c r="O23">
        <v>3285</v>
      </c>
      <c r="P23">
        <v>3284</v>
      </c>
      <c r="Q23">
        <v>3285</v>
      </c>
      <c r="R23">
        <v>3284</v>
      </c>
      <c r="S23">
        <v>3285</v>
      </c>
      <c r="T23">
        <v>3284</v>
      </c>
      <c r="U23">
        <v>3285</v>
      </c>
      <c r="V23">
        <v>3284</v>
      </c>
      <c r="W23">
        <v>3285</v>
      </c>
      <c r="X23">
        <v>3284</v>
      </c>
      <c r="Y23">
        <v>3285</v>
      </c>
      <c r="Z23">
        <v>3284</v>
      </c>
    </row>
    <row r="24" spans="3:26" x14ac:dyDescent="0.3">
      <c r="C24" t="s">
        <v>114</v>
      </c>
      <c r="D24">
        <v>0</v>
      </c>
      <c r="E24">
        <v>0</v>
      </c>
      <c r="F24">
        <v>0</v>
      </c>
      <c r="G24">
        <v>3814</v>
      </c>
      <c r="H24">
        <v>7342</v>
      </c>
      <c r="I24">
        <v>6791</v>
      </c>
      <c r="J24">
        <v>6282</v>
      </c>
      <c r="K24">
        <v>5810</v>
      </c>
      <c r="L24">
        <v>5375</v>
      </c>
      <c r="M24">
        <v>4971</v>
      </c>
      <c r="N24">
        <v>4599</v>
      </c>
      <c r="O24">
        <v>4538</v>
      </c>
      <c r="P24">
        <v>4537</v>
      </c>
      <c r="Q24">
        <v>4538</v>
      </c>
      <c r="R24">
        <v>4537</v>
      </c>
      <c r="S24">
        <v>4538</v>
      </c>
      <c r="T24">
        <v>4537</v>
      </c>
      <c r="U24">
        <v>4538</v>
      </c>
      <c r="V24">
        <v>4537</v>
      </c>
      <c r="W24">
        <v>4538</v>
      </c>
      <c r="X24">
        <v>4537</v>
      </c>
      <c r="Y24">
        <v>4538</v>
      </c>
      <c r="Z24">
        <v>4537</v>
      </c>
    </row>
    <row r="25" spans="3:26" x14ac:dyDescent="0.3">
      <c r="C25" t="s">
        <v>115</v>
      </c>
      <c r="D25">
        <v>0</v>
      </c>
      <c r="E25">
        <v>0</v>
      </c>
      <c r="F25">
        <v>0</v>
      </c>
      <c r="G25">
        <v>3814</v>
      </c>
      <c r="H25">
        <v>7342</v>
      </c>
      <c r="I25">
        <v>6791</v>
      </c>
      <c r="J25">
        <v>6282</v>
      </c>
      <c r="K25">
        <v>5810</v>
      </c>
      <c r="L25">
        <v>5375</v>
      </c>
      <c r="M25">
        <v>4971</v>
      </c>
      <c r="N25">
        <v>4599</v>
      </c>
      <c r="O25">
        <v>4538</v>
      </c>
      <c r="P25">
        <v>4537</v>
      </c>
      <c r="Q25">
        <v>4538</v>
      </c>
      <c r="R25">
        <v>4537</v>
      </c>
      <c r="S25">
        <v>4538</v>
      </c>
      <c r="T25">
        <v>4537</v>
      </c>
      <c r="U25">
        <v>4538</v>
      </c>
      <c r="V25">
        <v>4537</v>
      </c>
      <c r="W25">
        <v>4538</v>
      </c>
      <c r="X25">
        <v>4537</v>
      </c>
      <c r="Y25">
        <v>4538</v>
      </c>
      <c r="Z25">
        <v>4537</v>
      </c>
    </row>
    <row r="26" spans="3:26" x14ac:dyDescent="0.3">
      <c r="C26" t="s">
        <v>116</v>
      </c>
      <c r="D26">
        <v>0</v>
      </c>
      <c r="E26">
        <v>0</v>
      </c>
      <c r="F26">
        <v>0</v>
      </c>
      <c r="G26">
        <v>2981</v>
      </c>
      <c r="H26">
        <v>5739</v>
      </c>
      <c r="I26">
        <v>5309</v>
      </c>
      <c r="J26">
        <v>4911</v>
      </c>
      <c r="K26">
        <v>4542</v>
      </c>
      <c r="L26">
        <v>4202</v>
      </c>
      <c r="M26">
        <v>3886</v>
      </c>
      <c r="N26">
        <v>3595</v>
      </c>
      <c r="O26">
        <v>3548</v>
      </c>
      <c r="P26">
        <v>3547</v>
      </c>
      <c r="Q26">
        <v>3548</v>
      </c>
      <c r="R26">
        <v>3547</v>
      </c>
      <c r="S26">
        <v>3548</v>
      </c>
      <c r="T26">
        <v>3547</v>
      </c>
      <c r="U26">
        <v>3548</v>
      </c>
      <c r="V26">
        <v>3547</v>
      </c>
      <c r="W26">
        <v>3548</v>
      </c>
      <c r="X26">
        <v>3547</v>
      </c>
      <c r="Y26">
        <v>3548</v>
      </c>
      <c r="Z26">
        <v>3547</v>
      </c>
    </row>
    <row r="27" spans="3:26" x14ac:dyDescent="0.3">
      <c r="C27" t="s">
        <v>117</v>
      </c>
      <c r="D27">
        <v>0</v>
      </c>
      <c r="E27">
        <v>0</v>
      </c>
      <c r="F27">
        <v>0</v>
      </c>
      <c r="G27">
        <v>31727</v>
      </c>
      <c r="H27">
        <v>61077</v>
      </c>
      <c r="I27">
        <v>56491</v>
      </c>
      <c r="J27">
        <v>52261</v>
      </c>
      <c r="K27">
        <v>48335</v>
      </c>
      <c r="L27">
        <v>44714</v>
      </c>
      <c r="M27">
        <v>41355</v>
      </c>
      <c r="N27">
        <v>38258</v>
      </c>
      <c r="O27">
        <v>37751</v>
      </c>
      <c r="P27">
        <v>37742</v>
      </c>
      <c r="Q27">
        <v>37751</v>
      </c>
      <c r="R27">
        <v>37742</v>
      </c>
      <c r="S27">
        <v>37751</v>
      </c>
      <c r="T27">
        <v>37742</v>
      </c>
      <c r="U27">
        <v>37751</v>
      </c>
      <c r="V27">
        <v>37742</v>
      </c>
      <c r="W27">
        <v>37751</v>
      </c>
      <c r="X27">
        <v>37742</v>
      </c>
      <c r="Y27">
        <v>37751</v>
      </c>
      <c r="Z27">
        <v>37742</v>
      </c>
    </row>
    <row r="28" spans="3:26" x14ac:dyDescent="0.3">
      <c r="C28" t="s">
        <v>118</v>
      </c>
      <c r="D28">
        <v>0</v>
      </c>
      <c r="E28">
        <v>0</v>
      </c>
      <c r="F28">
        <v>0</v>
      </c>
      <c r="G28">
        <v>31727</v>
      </c>
      <c r="H28">
        <v>61077</v>
      </c>
      <c r="I28">
        <v>56491</v>
      </c>
      <c r="J28">
        <v>52261</v>
      </c>
      <c r="K28">
        <v>48335</v>
      </c>
      <c r="L28">
        <v>44714</v>
      </c>
      <c r="M28">
        <v>41355</v>
      </c>
      <c r="N28">
        <v>38258</v>
      </c>
      <c r="O28">
        <v>37751</v>
      </c>
      <c r="P28">
        <v>37742</v>
      </c>
      <c r="Q28">
        <v>37751</v>
      </c>
      <c r="R28">
        <v>37742</v>
      </c>
      <c r="S28">
        <v>37751</v>
      </c>
      <c r="T28">
        <v>37742</v>
      </c>
      <c r="U28">
        <v>37751</v>
      </c>
      <c r="V28">
        <v>37742</v>
      </c>
      <c r="W28">
        <v>37751</v>
      </c>
      <c r="X28">
        <v>37742</v>
      </c>
      <c r="Y28">
        <v>37751</v>
      </c>
      <c r="Z28">
        <v>37742</v>
      </c>
    </row>
    <row r="29" spans="3:26" x14ac:dyDescent="0.3">
      <c r="C29" t="s">
        <v>119</v>
      </c>
      <c r="D29">
        <v>0</v>
      </c>
      <c r="E29">
        <v>0</v>
      </c>
      <c r="F29">
        <v>0</v>
      </c>
      <c r="G29">
        <v>12654</v>
      </c>
      <c r="H29">
        <v>24359</v>
      </c>
      <c r="I29">
        <v>22530</v>
      </c>
      <c r="J29">
        <v>20843</v>
      </c>
      <c r="K29">
        <v>19278</v>
      </c>
      <c r="L29">
        <v>17833</v>
      </c>
      <c r="M29">
        <v>16494</v>
      </c>
      <c r="N29">
        <v>15259</v>
      </c>
      <c r="O29">
        <v>15056</v>
      </c>
      <c r="P29">
        <v>15053</v>
      </c>
      <c r="Q29">
        <v>15056</v>
      </c>
      <c r="R29">
        <v>15053</v>
      </c>
      <c r="S29">
        <v>15056</v>
      </c>
      <c r="T29">
        <v>15053</v>
      </c>
      <c r="U29">
        <v>15056</v>
      </c>
      <c r="V29">
        <v>15053</v>
      </c>
      <c r="W29">
        <v>15056</v>
      </c>
      <c r="X29">
        <v>15053</v>
      </c>
      <c r="Y29">
        <v>15056</v>
      </c>
      <c r="Z29">
        <v>15053</v>
      </c>
    </row>
    <row r="30" spans="3:26" x14ac:dyDescent="0.3">
      <c r="C30" t="s">
        <v>120</v>
      </c>
      <c r="D30">
        <v>0</v>
      </c>
      <c r="E30">
        <v>0</v>
      </c>
      <c r="F30">
        <v>0</v>
      </c>
      <c r="G30">
        <v>12654</v>
      </c>
      <c r="H30">
        <v>24359</v>
      </c>
      <c r="I30">
        <v>22530</v>
      </c>
      <c r="J30">
        <v>20843</v>
      </c>
      <c r="K30">
        <v>19278</v>
      </c>
      <c r="L30">
        <v>17833</v>
      </c>
      <c r="M30">
        <v>16494</v>
      </c>
      <c r="N30">
        <v>15259</v>
      </c>
      <c r="O30">
        <v>15056</v>
      </c>
      <c r="P30">
        <v>15053</v>
      </c>
      <c r="Q30">
        <v>15056</v>
      </c>
      <c r="R30">
        <v>15053</v>
      </c>
      <c r="S30">
        <v>15056</v>
      </c>
      <c r="T30">
        <v>15053</v>
      </c>
      <c r="U30">
        <v>15056</v>
      </c>
      <c r="V30">
        <v>15053</v>
      </c>
      <c r="W30">
        <v>15056</v>
      </c>
      <c r="X30">
        <v>15053</v>
      </c>
      <c r="Y30">
        <v>15056</v>
      </c>
      <c r="Z30">
        <v>15053</v>
      </c>
    </row>
    <row r="31" spans="3:26" x14ac:dyDescent="0.3">
      <c r="C31" t="s">
        <v>121</v>
      </c>
      <c r="D31">
        <v>0</v>
      </c>
      <c r="E31">
        <v>0</v>
      </c>
      <c r="F31">
        <v>0</v>
      </c>
      <c r="G31">
        <v>12654</v>
      </c>
      <c r="H31">
        <v>24359</v>
      </c>
      <c r="I31">
        <v>22530</v>
      </c>
      <c r="J31">
        <v>20843</v>
      </c>
      <c r="K31">
        <v>19278</v>
      </c>
      <c r="L31">
        <v>17833</v>
      </c>
      <c r="M31">
        <v>16494</v>
      </c>
      <c r="N31">
        <v>15259</v>
      </c>
      <c r="O31">
        <v>15056</v>
      </c>
      <c r="P31">
        <v>15053</v>
      </c>
      <c r="Q31">
        <v>15056</v>
      </c>
      <c r="R31">
        <v>15053</v>
      </c>
      <c r="S31">
        <v>15056</v>
      </c>
      <c r="T31">
        <v>15053</v>
      </c>
      <c r="U31">
        <v>15056</v>
      </c>
      <c r="V31">
        <v>15053</v>
      </c>
      <c r="W31">
        <v>15056</v>
      </c>
      <c r="X31">
        <v>15053</v>
      </c>
      <c r="Y31">
        <v>15056</v>
      </c>
      <c r="Z31">
        <v>15053</v>
      </c>
    </row>
    <row r="32" spans="3:26" x14ac:dyDescent="0.3">
      <c r="C32" t="s">
        <v>122</v>
      </c>
      <c r="D32">
        <v>0</v>
      </c>
      <c r="E32">
        <v>0</v>
      </c>
      <c r="F32">
        <v>0</v>
      </c>
      <c r="G32">
        <v>12654</v>
      </c>
      <c r="H32">
        <v>24359</v>
      </c>
      <c r="I32">
        <v>22530</v>
      </c>
      <c r="J32">
        <v>20843</v>
      </c>
      <c r="K32">
        <v>19278</v>
      </c>
      <c r="L32">
        <v>17833</v>
      </c>
      <c r="M32">
        <v>16494</v>
      </c>
      <c r="N32">
        <v>15259</v>
      </c>
      <c r="O32">
        <v>15056</v>
      </c>
      <c r="P32">
        <v>15053</v>
      </c>
      <c r="Q32">
        <v>15056</v>
      </c>
      <c r="R32">
        <v>15053</v>
      </c>
      <c r="S32">
        <v>15056</v>
      </c>
      <c r="T32">
        <v>15053</v>
      </c>
      <c r="U32">
        <v>15056</v>
      </c>
      <c r="V32">
        <v>15053</v>
      </c>
      <c r="W32">
        <v>15056</v>
      </c>
      <c r="X32">
        <v>15053</v>
      </c>
      <c r="Y32">
        <v>15056</v>
      </c>
      <c r="Z32">
        <v>15053</v>
      </c>
    </row>
    <row r="33" spans="3:26" x14ac:dyDescent="0.3">
      <c r="C33" t="s">
        <v>123</v>
      </c>
      <c r="D33">
        <v>0</v>
      </c>
      <c r="E33">
        <v>0</v>
      </c>
      <c r="F33">
        <v>0</v>
      </c>
      <c r="G33">
        <v>12916</v>
      </c>
      <c r="H33">
        <v>24863</v>
      </c>
      <c r="I33">
        <v>22997</v>
      </c>
      <c r="J33">
        <v>21275</v>
      </c>
      <c r="K33">
        <v>19676</v>
      </c>
      <c r="L33">
        <v>18202</v>
      </c>
      <c r="M33">
        <v>16835</v>
      </c>
      <c r="N33">
        <v>15574</v>
      </c>
      <c r="O33">
        <v>15368</v>
      </c>
      <c r="P33">
        <v>15364</v>
      </c>
      <c r="Q33">
        <v>15368</v>
      </c>
      <c r="R33">
        <v>15364</v>
      </c>
      <c r="S33">
        <v>15368</v>
      </c>
      <c r="T33">
        <v>15364</v>
      </c>
      <c r="U33">
        <v>15368</v>
      </c>
      <c r="V33">
        <v>15364</v>
      </c>
      <c r="W33">
        <v>15368</v>
      </c>
      <c r="X33">
        <v>15364</v>
      </c>
      <c r="Y33">
        <v>15368</v>
      </c>
      <c r="Z33">
        <v>15364</v>
      </c>
    </row>
    <row r="34" spans="3:26" x14ac:dyDescent="0.3">
      <c r="C34" t="s">
        <v>124</v>
      </c>
      <c r="D34">
        <v>0</v>
      </c>
      <c r="E34">
        <v>0</v>
      </c>
      <c r="F34">
        <v>0</v>
      </c>
      <c r="G34">
        <v>12916</v>
      </c>
      <c r="H34">
        <v>24863</v>
      </c>
      <c r="I34">
        <v>22997</v>
      </c>
      <c r="J34">
        <v>21275</v>
      </c>
      <c r="K34">
        <v>19676</v>
      </c>
      <c r="L34">
        <v>18202</v>
      </c>
      <c r="M34">
        <v>16835</v>
      </c>
      <c r="N34">
        <v>15574</v>
      </c>
      <c r="O34">
        <v>15368</v>
      </c>
      <c r="P34">
        <v>15364</v>
      </c>
      <c r="Q34">
        <v>15368</v>
      </c>
      <c r="R34">
        <v>15364</v>
      </c>
      <c r="S34">
        <v>15368</v>
      </c>
      <c r="T34">
        <v>15364</v>
      </c>
      <c r="U34">
        <v>15368</v>
      </c>
      <c r="V34">
        <v>15364</v>
      </c>
      <c r="W34">
        <v>15368</v>
      </c>
      <c r="X34">
        <v>15364</v>
      </c>
      <c r="Y34">
        <v>15368</v>
      </c>
      <c r="Z34">
        <v>15364</v>
      </c>
    </row>
    <row r="35" spans="3:26" x14ac:dyDescent="0.3">
      <c r="C35" t="s">
        <v>125</v>
      </c>
      <c r="D35">
        <v>0</v>
      </c>
      <c r="E35">
        <v>0</v>
      </c>
      <c r="F35">
        <v>0</v>
      </c>
      <c r="G35">
        <v>12916</v>
      </c>
      <c r="H35">
        <v>24863</v>
      </c>
      <c r="I35">
        <v>22997</v>
      </c>
      <c r="J35">
        <v>21275</v>
      </c>
      <c r="K35">
        <v>19676</v>
      </c>
      <c r="L35">
        <v>18202</v>
      </c>
      <c r="M35">
        <v>16835</v>
      </c>
      <c r="N35">
        <v>15574</v>
      </c>
      <c r="O35">
        <v>15368</v>
      </c>
      <c r="P35">
        <v>15364</v>
      </c>
      <c r="Q35">
        <v>15368</v>
      </c>
      <c r="R35">
        <v>15364</v>
      </c>
      <c r="S35">
        <v>15368</v>
      </c>
      <c r="T35">
        <v>15364</v>
      </c>
      <c r="U35">
        <v>15368</v>
      </c>
      <c r="V35">
        <v>15364</v>
      </c>
      <c r="W35">
        <v>15368</v>
      </c>
      <c r="X35">
        <v>15364</v>
      </c>
      <c r="Y35">
        <v>15368</v>
      </c>
      <c r="Z35">
        <v>15364</v>
      </c>
    </row>
    <row r="36" spans="3:26" x14ac:dyDescent="0.3">
      <c r="C36" t="s">
        <v>126</v>
      </c>
      <c r="D36">
        <v>0</v>
      </c>
      <c r="E36">
        <v>0</v>
      </c>
      <c r="F36">
        <v>0</v>
      </c>
      <c r="G36">
        <v>12916</v>
      </c>
      <c r="H36">
        <v>24863</v>
      </c>
      <c r="I36">
        <v>22997</v>
      </c>
      <c r="J36">
        <v>21275</v>
      </c>
      <c r="K36">
        <v>19676</v>
      </c>
      <c r="L36">
        <v>18202</v>
      </c>
      <c r="M36">
        <v>16835</v>
      </c>
      <c r="N36">
        <v>15574</v>
      </c>
      <c r="O36">
        <v>15368</v>
      </c>
      <c r="P36">
        <v>15364</v>
      </c>
      <c r="Q36">
        <v>15368</v>
      </c>
      <c r="R36">
        <v>15364</v>
      </c>
      <c r="S36">
        <v>15368</v>
      </c>
      <c r="T36">
        <v>15364</v>
      </c>
      <c r="U36">
        <v>15368</v>
      </c>
      <c r="V36">
        <v>15364</v>
      </c>
      <c r="W36">
        <v>15368</v>
      </c>
      <c r="X36">
        <v>15364</v>
      </c>
      <c r="Y36">
        <v>15368</v>
      </c>
      <c r="Z36">
        <v>15364</v>
      </c>
    </row>
    <row r="37" spans="3:26" x14ac:dyDescent="0.3">
      <c r="C37" t="s">
        <v>127</v>
      </c>
      <c r="D37">
        <v>0</v>
      </c>
      <c r="E37">
        <v>0</v>
      </c>
      <c r="F37">
        <v>0</v>
      </c>
      <c r="G37">
        <v>11455</v>
      </c>
      <c r="H37">
        <v>22051</v>
      </c>
      <c r="I37">
        <v>20396</v>
      </c>
      <c r="J37">
        <v>18868</v>
      </c>
      <c r="K37">
        <v>17451</v>
      </c>
      <c r="L37">
        <v>16144</v>
      </c>
      <c r="M37">
        <v>14931</v>
      </c>
      <c r="N37">
        <v>13813</v>
      </c>
      <c r="O37">
        <v>13630</v>
      </c>
      <c r="P37">
        <v>13627</v>
      </c>
      <c r="Q37">
        <v>13630</v>
      </c>
      <c r="R37">
        <v>13627</v>
      </c>
      <c r="S37">
        <v>13630</v>
      </c>
      <c r="T37">
        <v>13627</v>
      </c>
      <c r="U37">
        <v>13630</v>
      </c>
      <c r="V37">
        <v>13627</v>
      </c>
      <c r="W37">
        <v>13630</v>
      </c>
      <c r="X37">
        <v>13627</v>
      </c>
      <c r="Y37">
        <v>13630</v>
      </c>
      <c r="Z37">
        <v>13627</v>
      </c>
    </row>
    <row r="38" spans="3:26" x14ac:dyDescent="0.3">
      <c r="C38" t="s">
        <v>128</v>
      </c>
      <c r="D38">
        <v>0</v>
      </c>
      <c r="E38">
        <v>0</v>
      </c>
      <c r="F38">
        <v>0</v>
      </c>
      <c r="G38">
        <v>11455</v>
      </c>
      <c r="H38">
        <v>22051</v>
      </c>
      <c r="I38">
        <v>20396</v>
      </c>
      <c r="J38">
        <v>18868</v>
      </c>
      <c r="K38">
        <v>17451</v>
      </c>
      <c r="L38">
        <v>16144</v>
      </c>
      <c r="M38">
        <v>14931</v>
      </c>
      <c r="N38">
        <v>13813</v>
      </c>
      <c r="O38">
        <v>13630</v>
      </c>
      <c r="P38">
        <v>13627</v>
      </c>
      <c r="Q38">
        <v>13630</v>
      </c>
      <c r="R38">
        <v>13627</v>
      </c>
      <c r="S38">
        <v>13630</v>
      </c>
      <c r="T38">
        <v>13627</v>
      </c>
      <c r="U38">
        <v>13630</v>
      </c>
      <c r="V38">
        <v>13627</v>
      </c>
      <c r="W38">
        <v>13630</v>
      </c>
      <c r="X38">
        <v>13627</v>
      </c>
      <c r="Y38">
        <v>13630</v>
      </c>
      <c r="Z38">
        <v>13627</v>
      </c>
    </row>
    <row r="39" spans="3:26" x14ac:dyDescent="0.3">
      <c r="C39" t="s">
        <v>129</v>
      </c>
      <c r="D39">
        <v>0</v>
      </c>
      <c r="E39">
        <v>0</v>
      </c>
      <c r="F39">
        <v>0</v>
      </c>
      <c r="G39">
        <v>5886</v>
      </c>
      <c r="H39">
        <v>11331</v>
      </c>
      <c r="I39">
        <v>10480</v>
      </c>
      <c r="J39">
        <v>9695</v>
      </c>
      <c r="K39">
        <v>8967</v>
      </c>
      <c r="L39">
        <v>8295</v>
      </c>
      <c r="M39">
        <v>7672</v>
      </c>
      <c r="N39">
        <v>7097</v>
      </c>
      <c r="O39">
        <v>7003</v>
      </c>
      <c r="P39">
        <v>7002</v>
      </c>
      <c r="Q39">
        <v>7003</v>
      </c>
      <c r="R39">
        <v>7002</v>
      </c>
      <c r="S39">
        <v>7003</v>
      </c>
      <c r="T39">
        <v>7002</v>
      </c>
      <c r="U39">
        <v>7003</v>
      </c>
      <c r="V39">
        <v>7002</v>
      </c>
      <c r="W39">
        <v>7003</v>
      </c>
      <c r="X39">
        <v>7002</v>
      </c>
      <c r="Y39">
        <v>7003</v>
      </c>
      <c r="Z39">
        <v>7002</v>
      </c>
    </row>
    <row r="40" spans="3:26" x14ac:dyDescent="0.3">
      <c r="C40" t="s">
        <v>130</v>
      </c>
      <c r="D40">
        <v>0</v>
      </c>
      <c r="E40">
        <v>0</v>
      </c>
      <c r="F40">
        <v>0</v>
      </c>
      <c r="G40">
        <v>5886</v>
      </c>
      <c r="H40">
        <v>11331</v>
      </c>
      <c r="I40">
        <v>10480</v>
      </c>
      <c r="J40">
        <v>9695</v>
      </c>
      <c r="K40">
        <v>8967</v>
      </c>
      <c r="L40">
        <v>8295</v>
      </c>
      <c r="M40">
        <v>7672</v>
      </c>
      <c r="N40">
        <v>7097</v>
      </c>
      <c r="O40">
        <v>7003</v>
      </c>
      <c r="P40">
        <v>7002</v>
      </c>
      <c r="Q40">
        <v>7003</v>
      </c>
      <c r="R40">
        <v>7002</v>
      </c>
      <c r="S40">
        <v>7003</v>
      </c>
      <c r="T40">
        <v>7002</v>
      </c>
      <c r="U40">
        <v>7003</v>
      </c>
      <c r="V40">
        <v>7002</v>
      </c>
      <c r="W40">
        <v>7003</v>
      </c>
      <c r="X40">
        <v>7002</v>
      </c>
      <c r="Y40">
        <v>7003</v>
      </c>
      <c r="Z40">
        <v>7002</v>
      </c>
    </row>
    <row r="41" spans="3:26" x14ac:dyDescent="0.3">
      <c r="C41" t="s">
        <v>131</v>
      </c>
      <c r="D41">
        <v>0</v>
      </c>
      <c r="E41">
        <v>0</v>
      </c>
      <c r="F41">
        <v>0</v>
      </c>
      <c r="G41">
        <v>5886</v>
      </c>
      <c r="H41">
        <v>11331</v>
      </c>
      <c r="I41">
        <v>10480</v>
      </c>
      <c r="J41">
        <v>9695</v>
      </c>
      <c r="K41">
        <v>8967</v>
      </c>
      <c r="L41">
        <v>8295</v>
      </c>
      <c r="M41">
        <v>7672</v>
      </c>
      <c r="N41">
        <v>7097</v>
      </c>
      <c r="O41">
        <v>7003</v>
      </c>
      <c r="P41">
        <v>7002</v>
      </c>
      <c r="Q41">
        <v>7003</v>
      </c>
      <c r="R41">
        <v>7002</v>
      </c>
      <c r="S41">
        <v>7003</v>
      </c>
      <c r="T41">
        <v>7002</v>
      </c>
      <c r="U41">
        <v>7003</v>
      </c>
      <c r="V41">
        <v>7002</v>
      </c>
      <c r="W41">
        <v>7003</v>
      </c>
      <c r="X41">
        <v>7002</v>
      </c>
      <c r="Y41">
        <v>7003</v>
      </c>
      <c r="Z41">
        <v>7002</v>
      </c>
    </row>
    <row r="42" spans="3:26" x14ac:dyDescent="0.3">
      <c r="C42" t="s">
        <v>132</v>
      </c>
      <c r="D42">
        <v>0</v>
      </c>
      <c r="E42">
        <v>0</v>
      </c>
      <c r="F42">
        <v>0</v>
      </c>
      <c r="G42">
        <v>5886</v>
      </c>
      <c r="H42">
        <v>11331</v>
      </c>
      <c r="I42">
        <v>10480</v>
      </c>
      <c r="J42">
        <v>9695</v>
      </c>
      <c r="K42">
        <v>8967</v>
      </c>
      <c r="L42">
        <v>8295</v>
      </c>
      <c r="M42">
        <v>7672</v>
      </c>
      <c r="N42">
        <v>7097</v>
      </c>
      <c r="O42">
        <v>7003</v>
      </c>
      <c r="P42">
        <v>7002</v>
      </c>
      <c r="Q42">
        <v>7003</v>
      </c>
      <c r="R42">
        <v>7002</v>
      </c>
      <c r="S42">
        <v>7003</v>
      </c>
      <c r="T42">
        <v>7002</v>
      </c>
      <c r="U42">
        <v>7003</v>
      </c>
      <c r="V42">
        <v>7002</v>
      </c>
      <c r="W42">
        <v>7003</v>
      </c>
      <c r="X42">
        <v>7002</v>
      </c>
      <c r="Y42">
        <v>7003</v>
      </c>
      <c r="Z42">
        <v>7002</v>
      </c>
    </row>
    <row r="43" spans="3:26" x14ac:dyDescent="0.3">
      <c r="C43" t="s">
        <v>133</v>
      </c>
      <c r="D43">
        <v>0</v>
      </c>
      <c r="E43">
        <v>0</v>
      </c>
      <c r="F43">
        <v>0</v>
      </c>
      <c r="G43">
        <v>7140</v>
      </c>
      <c r="H43">
        <v>13566</v>
      </c>
      <c r="I43">
        <v>12210</v>
      </c>
      <c r="J43">
        <v>10996</v>
      </c>
      <c r="K43">
        <v>9896</v>
      </c>
      <c r="L43">
        <v>8897</v>
      </c>
      <c r="M43">
        <v>8425</v>
      </c>
      <c r="N43">
        <v>8425</v>
      </c>
      <c r="O43">
        <v>8440</v>
      </c>
      <c r="P43">
        <v>8425</v>
      </c>
      <c r="Q43">
        <v>8440</v>
      </c>
      <c r="R43">
        <v>8425</v>
      </c>
      <c r="S43">
        <v>8440</v>
      </c>
      <c r="T43">
        <v>8425</v>
      </c>
      <c r="U43">
        <v>8440</v>
      </c>
      <c r="V43">
        <v>4213</v>
      </c>
      <c r="W43">
        <v>0</v>
      </c>
      <c r="X43">
        <v>0</v>
      </c>
      <c r="Y43">
        <v>0</v>
      </c>
      <c r="Z43">
        <v>12896</v>
      </c>
    </row>
    <row r="44" spans="3:26" x14ac:dyDescent="0.3">
      <c r="C44" t="s">
        <v>134</v>
      </c>
      <c r="D44">
        <v>0</v>
      </c>
      <c r="E44">
        <v>0</v>
      </c>
      <c r="F44">
        <v>0</v>
      </c>
      <c r="G44">
        <v>4427</v>
      </c>
      <c r="H44">
        <v>8412</v>
      </c>
      <c r="I44">
        <v>7571</v>
      </c>
      <c r="J44">
        <v>6818</v>
      </c>
      <c r="K44">
        <v>6136</v>
      </c>
      <c r="L44">
        <v>5516</v>
      </c>
      <c r="M44">
        <v>5224</v>
      </c>
      <c r="N44">
        <v>5224</v>
      </c>
      <c r="O44">
        <v>5233</v>
      </c>
      <c r="P44">
        <v>5224</v>
      </c>
      <c r="Q44">
        <v>5233</v>
      </c>
      <c r="R44">
        <v>5224</v>
      </c>
      <c r="S44">
        <v>5233</v>
      </c>
      <c r="T44">
        <v>5224</v>
      </c>
      <c r="U44">
        <v>5233</v>
      </c>
      <c r="V44">
        <v>2612</v>
      </c>
      <c r="W44">
        <v>0</v>
      </c>
      <c r="X44">
        <v>0</v>
      </c>
      <c r="Y44">
        <v>0</v>
      </c>
      <c r="Z44">
        <v>7996</v>
      </c>
    </row>
    <row r="45" spans="3:26" x14ac:dyDescent="0.3">
      <c r="C45" t="s">
        <v>135</v>
      </c>
      <c r="D45">
        <v>0</v>
      </c>
      <c r="E45">
        <v>0</v>
      </c>
      <c r="F45">
        <v>0</v>
      </c>
      <c r="G45">
        <v>4778</v>
      </c>
      <c r="H45">
        <v>9078</v>
      </c>
      <c r="I45">
        <v>8170</v>
      </c>
      <c r="J45">
        <v>7358</v>
      </c>
      <c r="K45">
        <v>6622</v>
      </c>
      <c r="L45">
        <v>5953</v>
      </c>
      <c r="M45">
        <v>5638</v>
      </c>
      <c r="N45">
        <v>5638</v>
      </c>
      <c r="O45">
        <v>5647</v>
      </c>
      <c r="P45">
        <v>5638</v>
      </c>
      <c r="Q45">
        <v>5647</v>
      </c>
      <c r="R45">
        <v>5638</v>
      </c>
      <c r="S45">
        <v>5647</v>
      </c>
      <c r="T45">
        <v>5638</v>
      </c>
      <c r="U45">
        <v>5647</v>
      </c>
      <c r="V45">
        <v>2819</v>
      </c>
      <c r="W45">
        <v>0</v>
      </c>
      <c r="X45">
        <v>0</v>
      </c>
      <c r="Y45">
        <v>0</v>
      </c>
      <c r="Z45">
        <v>8629</v>
      </c>
    </row>
    <row r="46" spans="3:26" x14ac:dyDescent="0.3">
      <c r="C46" t="s">
        <v>136</v>
      </c>
      <c r="D46">
        <v>0</v>
      </c>
      <c r="E46">
        <v>0</v>
      </c>
      <c r="F46">
        <v>0</v>
      </c>
      <c r="G46">
        <v>4302</v>
      </c>
      <c r="H46">
        <v>8174</v>
      </c>
      <c r="I46">
        <v>7356</v>
      </c>
      <c r="J46">
        <v>6625</v>
      </c>
      <c r="K46">
        <v>5963</v>
      </c>
      <c r="L46">
        <v>5360</v>
      </c>
      <c r="M46">
        <v>5076</v>
      </c>
      <c r="N46">
        <v>5076</v>
      </c>
      <c r="O46">
        <v>5085</v>
      </c>
      <c r="P46">
        <v>5076</v>
      </c>
      <c r="Q46">
        <v>5085</v>
      </c>
      <c r="R46">
        <v>5076</v>
      </c>
      <c r="S46">
        <v>5085</v>
      </c>
      <c r="T46">
        <v>5076</v>
      </c>
      <c r="U46">
        <v>5085</v>
      </c>
      <c r="V46">
        <v>2538</v>
      </c>
      <c r="W46">
        <v>0</v>
      </c>
      <c r="X46">
        <v>0</v>
      </c>
      <c r="Y46">
        <v>0</v>
      </c>
      <c r="Z46">
        <v>7770</v>
      </c>
    </row>
    <row r="47" spans="3:26" x14ac:dyDescent="0.3">
      <c r="C47" t="s">
        <v>137</v>
      </c>
      <c r="D47">
        <v>0</v>
      </c>
      <c r="E47">
        <v>0</v>
      </c>
      <c r="F47">
        <v>0</v>
      </c>
      <c r="G47">
        <v>3403</v>
      </c>
      <c r="H47">
        <v>6551</v>
      </c>
      <c r="I47">
        <v>6059</v>
      </c>
      <c r="J47">
        <v>5605</v>
      </c>
      <c r="K47">
        <v>5184</v>
      </c>
      <c r="L47">
        <v>4796</v>
      </c>
      <c r="M47">
        <v>4436</v>
      </c>
      <c r="N47">
        <v>4104</v>
      </c>
      <c r="O47">
        <v>4049</v>
      </c>
      <c r="P47">
        <v>4048</v>
      </c>
      <c r="Q47">
        <v>4049</v>
      </c>
      <c r="R47">
        <v>4048</v>
      </c>
      <c r="S47">
        <v>4049</v>
      </c>
      <c r="T47">
        <v>4048</v>
      </c>
      <c r="U47">
        <v>4049</v>
      </c>
      <c r="V47">
        <v>4048</v>
      </c>
      <c r="W47">
        <v>4049</v>
      </c>
      <c r="X47">
        <v>4048</v>
      </c>
      <c r="Y47">
        <v>4049</v>
      </c>
      <c r="Z47">
        <v>4048</v>
      </c>
    </row>
    <row r="48" spans="3:26" x14ac:dyDescent="0.3">
      <c r="C48" t="s">
        <v>138</v>
      </c>
      <c r="D48">
        <v>0</v>
      </c>
      <c r="E48">
        <v>0</v>
      </c>
      <c r="F48">
        <v>0</v>
      </c>
      <c r="G48">
        <v>1863</v>
      </c>
      <c r="H48">
        <v>3587</v>
      </c>
      <c r="I48">
        <v>3318</v>
      </c>
      <c r="J48">
        <v>3070</v>
      </c>
      <c r="K48">
        <v>2839</v>
      </c>
      <c r="L48">
        <v>2626</v>
      </c>
      <c r="M48">
        <v>2429</v>
      </c>
      <c r="N48">
        <v>2247</v>
      </c>
      <c r="O48">
        <v>2217</v>
      </c>
      <c r="P48">
        <v>2217</v>
      </c>
      <c r="Q48">
        <v>2217</v>
      </c>
      <c r="R48">
        <v>2217</v>
      </c>
      <c r="S48">
        <v>2217</v>
      </c>
      <c r="T48">
        <v>2217</v>
      </c>
      <c r="U48">
        <v>2217</v>
      </c>
      <c r="V48">
        <v>2217</v>
      </c>
      <c r="W48">
        <v>2217</v>
      </c>
      <c r="X48">
        <v>2217</v>
      </c>
      <c r="Y48">
        <v>2217</v>
      </c>
      <c r="Z48">
        <v>2217</v>
      </c>
    </row>
    <row r="49" spans="3:26" x14ac:dyDescent="0.3">
      <c r="C49" t="s">
        <v>139</v>
      </c>
      <c r="D49">
        <v>0</v>
      </c>
      <c r="E49">
        <v>0</v>
      </c>
      <c r="F49">
        <v>0</v>
      </c>
      <c r="G49">
        <v>1863</v>
      </c>
      <c r="H49">
        <v>3587</v>
      </c>
      <c r="I49">
        <v>3318</v>
      </c>
      <c r="J49">
        <v>3070</v>
      </c>
      <c r="K49">
        <v>2839</v>
      </c>
      <c r="L49">
        <v>2626</v>
      </c>
      <c r="M49">
        <v>2429</v>
      </c>
      <c r="N49">
        <v>2247</v>
      </c>
      <c r="O49">
        <v>2217</v>
      </c>
      <c r="P49">
        <v>2217</v>
      </c>
      <c r="Q49">
        <v>2217</v>
      </c>
      <c r="R49">
        <v>2217</v>
      </c>
      <c r="S49">
        <v>2217</v>
      </c>
      <c r="T49">
        <v>2217</v>
      </c>
      <c r="U49">
        <v>2217</v>
      </c>
      <c r="V49">
        <v>2217</v>
      </c>
      <c r="W49">
        <v>2217</v>
      </c>
      <c r="X49">
        <v>2217</v>
      </c>
      <c r="Y49">
        <v>2217</v>
      </c>
      <c r="Z49">
        <v>2217</v>
      </c>
    </row>
    <row r="50" spans="3:26" x14ac:dyDescent="0.3">
      <c r="C50" t="s">
        <v>140</v>
      </c>
      <c r="D50">
        <v>0</v>
      </c>
      <c r="E50">
        <v>0</v>
      </c>
      <c r="F50">
        <v>0</v>
      </c>
      <c r="G50">
        <v>411</v>
      </c>
      <c r="H50">
        <v>782</v>
      </c>
      <c r="I50">
        <v>703</v>
      </c>
      <c r="J50">
        <v>634</v>
      </c>
      <c r="K50">
        <v>570</v>
      </c>
      <c r="L50">
        <v>513</v>
      </c>
      <c r="M50">
        <v>485</v>
      </c>
      <c r="N50">
        <v>485</v>
      </c>
      <c r="O50">
        <v>486</v>
      </c>
      <c r="P50">
        <v>485</v>
      </c>
      <c r="Q50">
        <v>486</v>
      </c>
      <c r="R50">
        <v>485</v>
      </c>
      <c r="S50">
        <v>486</v>
      </c>
      <c r="T50">
        <v>485</v>
      </c>
      <c r="U50">
        <v>486</v>
      </c>
      <c r="V50">
        <v>243</v>
      </c>
      <c r="W50">
        <v>0</v>
      </c>
      <c r="X50">
        <v>0</v>
      </c>
      <c r="Y50">
        <v>0</v>
      </c>
      <c r="Z50">
        <v>743</v>
      </c>
    </row>
    <row r="51" spans="3:26" x14ac:dyDescent="0.3">
      <c r="C51" t="s">
        <v>141</v>
      </c>
      <c r="D51">
        <v>0</v>
      </c>
      <c r="E51">
        <v>0</v>
      </c>
      <c r="F51">
        <v>0</v>
      </c>
      <c r="G51">
        <v>25230</v>
      </c>
      <c r="H51">
        <v>43239</v>
      </c>
      <c r="I51">
        <v>30880</v>
      </c>
      <c r="J51">
        <v>22052</v>
      </c>
      <c r="K51">
        <v>15767</v>
      </c>
      <c r="L51">
        <v>15749</v>
      </c>
      <c r="M51">
        <v>15767</v>
      </c>
      <c r="N51">
        <v>7874</v>
      </c>
      <c r="O51">
        <v>0</v>
      </c>
      <c r="P51">
        <v>33907</v>
      </c>
      <c r="Q51">
        <v>58109</v>
      </c>
      <c r="R51">
        <v>41500</v>
      </c>
      <c r="S51">
        <v>29636</v>
      </c>
      <c r="T51">
        <v>21189</v>
      </c>
      <c r="U51">
        <v>21165</v>
      </c>
      <c r="V51">
        <v>21189</v>
      </c>
      <c r="W51">
        <v>10583</v>
      </c>
      <c r="X51">
        <v>0</v>
      </c>
      <c r="Y51">
        <v>0</v>
      </c>
      <c r="Z51">
        <v>45568</v>
      </c>
    </row>
    <row r="52" spans="3:26" x14ac:dyDescent="0.3">
      <c r="C52" t="s">
        <v>142</v>
      </c>
      <c r="D52">
        <v>0</v>
      </c>
      <c r="E52">
        <v>0</v>
      </c>
      <c r="F52">
        <v>0</v>
      </c>
      <c r="G52">
        <v>73930</v>
      </c>
      <c r="H52">
        <v>140468</v>
      </c>
      <c r="I52">
        <v>126421</v>
      </c>
      <c r="J52">
        <v>113853</v>
      </c>
      <c r="K52">
        <v>102468</v>
      </c>
      <c r="L52">
        <v>92117</v>
      </c>
      <c r="M52">
        <v>87238</v>
      </c>
      <c r="N52">
        <v>87238</v>
      </c>
      <c r="O52">
        <v>87386</v>
      </c>
      <c r="P52">
        <v>87238</v>
      </c>
      <c r="Q52">
        <v>87386</v>
      </c>
      <c r="R52">
        <v>87238</v>
      </c>
      <c r="S52">
        <v>87386</v>
      </c>
      <c r="T52">
        <v>87238</v>
      </c>
      <c r="U52">
        <v>87386</v>
      </c>
      <c r="V52">
        <v>43619</v>
      </c>
      <c r="W52">
        <v>0</v>
      </c>
      <c r="X52">
        <v>0</v>
      </c>
      <c r="Y52">
        <v>0</v>
      </c>
      <c r="Z52">
        <v>133527</v>
      </c>
    </row>
    <row r="53" spans="3:26" x14ac:dyDescent="0.3">
      <c r="C53" t="s">
        <v>143</v>
      </c>
      <c r="D53">
        <v>0</v>
      </c>
      <c r="E53">
        <v>0</v>
      </c>
      <c r="F53">
        <v>0</v>
      </c>
      <c r="G53">
        <v>32750</v>
      </c>
      <c r="H53">
        <v>62225</v>
      </c>
      <c r="I53">
        <v>56002</v>
      </c>
      <c r="J53">
        <v>50435</v>
      </c>
      <c r="K53">
        <v>45391</v>
      </c>
      <c r="L53">
        <v>40806</v>
      </c>
      <c r="M53">
        <v>38645</v>
      </c>
      <c r="N53">
        <v>38645</v>
      </c>
      <c r="O53">
        <v>38710</v>
      </c>
      <c r="P53">
        <v>38645</v>
      </c>
      <c r="Q53">
        <v>38710</v>
      </c>
      <c r="R53">
        <v>38645</v>
      </c>
      <c r="S53">
        <v>38710</v>
      </c>
      <c r="T53">
        <v>38645</v>
      </c>
      <c r="U53">
        <v>38710</v>
      </c>
      <c r="V53">
        <v>19322</v>
      </c>
      <c r="W53">
        <v>0</v>
      </c>
      <c r="X53">
        <v>0</v>
      </c>
      <c r="Y53">
        <v>0</v>
      </c>
      <c r="Z53">
        <v>59150</v>
      </c>
    </row>
    <row r="54" spans="3:26" x14ac:dyDescent="0.3">
      <c r="C54" t="s">
        <v>144</v>
      </c>
      <c r="D54">
        <v>0</v>
      </c>
      <c r="E54">
        <v>0</v>
      </c>
      <c r="F54">
        <v>0</v>
      </c>
      <c r="G54">
        <v>22616</v>
      </c>
      <c r="H54">
        <v>38760</v>
      </c>
      <c r="I54">
        <v>27681</v>
      </c>
      <c r="J54">
        <v>19768</v>
      </c>
      <c r="K54">
        <v>14133</v>
      </c>
      <c r="L54">
        <v>14117</v>
      </c>
      <c r="M54">
        <v>14133</v>
      </c>
      <c r="N54">
        <v>7059</v>
      </c>
      <c r="O54">
        <v>0</v>
      </c>
      <c r="P54">
        <v>30395</v>
      </c>
      <c r="Q54">
        <v>52090</v>
      </c>
      <c r="R54">
        <v>37201</v>
      </c>
      <c r="S54">
        <v>26566</v>
      </c>
      <c r="T54">
        <v>18994</v>
      </c>
      <c r="U54">
        <v>18973</v>
      </c>
      <c r="V54">
        <v>18994</v>
      </c>
      <c r="W54">
        <v>9486</v>
      </c>
      <c r="X54">
        <v>0</v>
      </c>
      <c r="Y54">
        <v>0</v>
      </c>
      <c r="Z54">
        <v>40848</v>
      </c>
    </row>
    <row r="55" spans="3:26" x14ac:dyDescent="0.3">
      <c r="C55" t="s">
        <v>145</v>
      </c>
      <c r="D55">
        <v>0</v>
      </c>
      <c r="E55">
        <v>0</v>
      </c>
      <c r="F55">
        <v>0</v>
      </c>
      <c r="G55">
        <v>7029</v>
      </c>
      <c r="H55">
        <v>13356</v>
      </c>
      <c r="I55">
        <v>12020</v>
      </c>
      <c r="J55">
        <v>10825</v>
      </c>
      <c r="K55">
        <v>9743</v>
      </c>
      <c r="L55">
        <v>8759</v>
      </c>
      <c r="M55">
        <v>8295</v>
      </c>
      <c r="N55">
        <v>8295</v>
      </c>
      <c r="O55">
        <v>8309</v>
      </c>
      <c r="P55">
        <v>8295</v>
      </c>
      <c r="Q55">
        <v>8309</v>
      </c>
      <c r="R55">
        <v>8295</v>
      </c>
      <c r="S55">
        <v>8309</v>
      </c>
      <c r="T55">
        <v>8295</v>
      </c>
      <c r="U55">
        <v>8309</v>
      </c>
      <c r="V55">
        <v>4147</v>
      </c>
      <c r="W55">
        <v>0</v>
      </c>
      <c r="X55">
        <v>0</v>
      </c>
      <c r="Y55">
        <v>0</v>
      </c>
      <c r="Z55">
        <v>12696</v>
      </c>
    </row>
    <row r="56" spans="3:26" x14ac:dyDescent="0.3">
      <c r="C56" t="s">
        <v>146</v>
      </c>
      <c r="D56">
        <v>0</v>
      </c>
      <c r="E56">
        <v>0</v>
      </c>
      <c r="F56">
        <v>0</v>
      </c>
      <c r="G56">
        <v>13660</v>
      </c>
      <c r="H56">
        <v>23410</v>
      </c>
      <c r="I56">
        <v>16718</v>
      </c>
      <c r="J56">
        <v>11939</v>
      </c>
      <c r="K56">
        <v>8536</v>
      </c>
      <c r="L56">
        <v>8527</v>
      </c>
      <c r="M56">
        <v>8536</v>
      </c>
      <c r="N56">
        <v>4263</v>
      </c>
      <c r="O56">
        <v>0</v>
      </c>
      <c r="P56">
        <v>18357</v>
      </c>
      <c r="Q56">
        <v>31461</v>
      </c>
      <c r="R56">
        <v>22468</v>
      </c>
      <c r="S56">
        <v>16045</v>
      </c>
      <c r="T56">
        <v>11472</v>
      </c>
      <c r="U56">
        <v>11459</v>
      </c>
      <c r="V56">
        <v>11472</v>
      </c>
      <c r="W56">
        <v>5729</v>
      </c>
      <c r="X56">
        <v>0</v>
      </c>
      <c r="Y56">
        <v>0</v>
      </c>
      <c r="Z56">
        <v>24671</v>
      </c>
    </row>
    <row r="57" spans="3:26" x14ac:dyDescent="0.3">
      <c r="C57" t="s">
        <v>140</v>
      </c>
      <c r="D57">
        <v>0</v>
      </c>
      <c r="E57">
        <v>0</v>
      </c>
      <c r="F57">
        <v>0</v>
      </c>
      <c r="G57">
        <v>4139</v>
      </c>
      <c r="H57">
        <v>7093</v>
      </c>
      <c r="I57">
        <v>5065</v>
      </c>
      <c r="J57">
        <v>3617</v>
      </c>
      <c r="K57">
        <v>2586</v>
      </c>
      <c r="L57">
        <v>2583</v>
      </c>
      <c r="M57">
        <v>2586</v>
      </c>
      <c r="N57">
        <v>1292</v>
      </c>
      <c r="O57">
        <v>0</v>
      </c>
      <c r="P57">
        <v>5562</v>
      </c>
      <c r="Q57">
        <v>9532</v>
      </c>
      <c r="R57">
        <v>6808</v>
      </c>
      <c r="S57">
        <v>4861</v>
      </c>
      <c r="T57">
        <v>3476</v>
      </c>
      <c r="U57">
        <v>3472</v>
      </c>
      <c r="V57">
        <v>3476</v>
      </c>
      <c r="W57">
        <v>1736</v>
      </c>
      <c r="X57">
        <v>0</v>
      </c>
      <c r="Y57">
        <v>0</v>
      </c>
      <c r="Z57">
        <v>7475</v>
      </c>
    </row>
    <row r="58" spans="3:26" x14ac:dyDescent="0.3">
      <c r="C58" t="s">
        <v>147</v>
      </c>
      <c r="D58">
        <v>0</v>
      </c>
      <c r="E58">
        <v>0</v>
      </c>
      <c r="F58">
        <v>0</v>
      </c>
      <c r="G58">
        <v>7028</v>
      </c>
      <c r="H58">
        <v>12044</v>
      </c>
      <c r="I58">
        <v>8601</v>
      </c>
      <c r="J58">
        <v>6142</v>
      </c>
      <c r="K58">
        <v>4392</v>
      </c>
      <c r="L58">
        <v>4387</v>
      </c>
      <c r="M58">
        <v>4392</v>
      </c>
      <c r="N58">
        <v>2193</v>
      </c>
      <c r="O58">
        <v>0</v>
      </c>
      <c r="P58">
        <v>9445</v>
      </c>
      <c r="Q58">
        <v>16186</v>
      </c>
      <c r="R58">
        <v>11560</v>
      </c>
      <c r="S58">
        <v>8255</v>
      </c>
      <c r="T58">
        <v>5902</v>
      </c>
      <c r="U58">
        <v>5895</v>
      </c>
      <c r="V58">
        <v>5902</v>
      </c>
      <c r="W58">
        <v>2948</v>
      </c>
      <c r="X58">
        <v>0</v>
      </c>
      <c r="Y58">
        <v>0</v>
      </c>
      <c r="Z58">
        <v>12693</v>
      </c>
    </row>
    <row r="59" spans="3:26" x14ac:dyDescent="0.3">
      <c r="C59" t="s">
        <v>148</v>
      </c>
      <c r="D59">
        <v>0</v>
      </c>
      <c r="E59">
        <v>0</v>
      </c>
      <c r="F59">
        <v>0</v>
      </c>
      <c r="G59">
        <v>7028</v>
      </c>
      <c r="H59">
        <v>12044</v>
      </c>
      <c r="I59">
        <v>8601</v>
      </c>
      <c r="J59">
        <v>6142</v>
      </c>
      <c r="K59">
        <v>4392</v>
      </c>
      <c r="L59">
        <v>4387</v>
      </c>
      <c r="M59">
        <v>4392</v>
      </c>
      <c r="N59">
        <v>2193</v>
      </c>
      <c r="O59">
        <v>0</v>
      </c>
      <c r="P59">
        <v>9445</v>
      </c>
      <c r="Q59">
        <v>16186</v>
      </c>
      <c r="R59">
        <v>11560</v>
      </c>
      <c r="S59">
        <v>8255</v>
      </c>
      <c r="T59">
        <v>5902</v>
      </c>
      <c r="U59">
        <v>5895</v>
      </c>
      <c r="V59">
        <v>5902</v>
      </c>
      <c r="W59">
        <v>2948</v>
      </c>
      <c r="X59">
        <v>0</v>
      </c>
      <c r="Y59">
        <v>0</v>
      </c>
      <c r="Z59">
        <v>12693</v>
      </c>
    </row>
    <row r="60" spans="3:26" x14ac:dyDescent="0.3">
      <c r="C60" t="s">
        <v>149</v>
      </c>
      <c r="D60">
        <v>0</v>
      </c>
      <c r="E60">
        <v>0</v>
      </c>
      <c r="F60">
        <v>0</v>
      </c>
      <c r="G60">
        <v>7026</v>
      </c>
      <c r="H60">
        <v>12042</v>
      </c>
      <c r="I60">
        <v>8600</v>
      </c>
      <c r="J60">
        <v>6141</v>
      </c>
      <c r="K60">
        <v>4391</v>
      </c>
      <c r="L60">
        <v>4386</v>
      </c>
      <c r="M60">
        <v>4391</v>
      </c>
      <c r="N60">
        <v>2193</v>
      </c>
      <c r="O60">
        <v>0</v>
      </c>
      <c r="P60">
        <v>9443</v>
      </c>
      <c r="Q60">
        <v>16183</v>
      </c>
      <c r="R60">
        <v>11557</v>
      </c>
      <c r="S60">
        <v>8253</v>
      </c>
      <c r="T60">
        <v>5901</v>
      </c>
      <c r="U60">
        <v>5894</v>
      </c>
      <c r="V60">
        <v>5901</v>
      </c>
      <c r="W60">
        <v>2947</v>
      </c>
      <c r="X60">
        <v>0</v>
      </c>
      <c r="Y60">
        <v>0</v>
      </c>
      <c r="Z60">
        <v>12690</v>
      </c>
    </row>
    <row r="61" spans="3:26" x14ac:dyDescent="0.3">
      <c r="C61" t="s">
        <v>150</v>
      </c>
      <c r="D61">
        <v>0</v>
      </c>
      <c r="E61">
        <v>0</v>
      </c>
      <c r="F61">
        <v>0</v>
      </c>
      <c r="G61">
        <v>7027</v>
      </c>
      <c r="H61">
        <v>12042</v>
      </c>
      <c r="I61">
        <v>8600</v>
      </c>
      <c r="J61">
        <v>6142</v>
      </c>
      <c r="K61">
        <v>4391</v>
      </c>
      <c r="L61">
        <v>4386</v>
      </c>
      <c r="M61">
        <v>4391</v>
      </c>
      <c r="N61">
        <v>2193</v>
      </c>
      <c r="O61">
        <v>0</v>
      </c>
      <c r="P61">
        <v>9443</v>
      </c>
      <c r="Q61">
        <v>16184</v>
      </c>
      <c r="R61">
        <v>11558</v>
      </c>
      <c r="S61">
        <v>8254</v>
      </c>
      <c r="T61">
        <v>5901</v>
      </c>
      <c r="U61">
        <v>5895</v>
      </c>
      <c r="V61">
        <v>5901</v>
      </c>
      <c r="W61">
        <v>2947</v>
      </c>
      <c r="X61">
        <v>0</v>
      </c>
      <c r="Y61">
        <v>0</v>
      </c>
      <c r="Z61">
        <v>12691</v>
      </c>
    </row>
    <row r="62" spans="3:26" x14ac:dyDescent="0.3">
      <c r="C62" t="s">
        <v>151</v>
      </c>
      <c r="D62">
        <v>0</v>
      </c>
      <c r="E62">
        <v>0</v>
      </c>
      <c r="F62">
        <v>0</v>
      </c>
      <c r="G62">
        <v>29117</v>
      </c>
      <c r="H62">
        <v>56053</v>
      </c>
      <c r="I62">
        <v>51845</v>
      </c>
      <c r="J62">
        <v>47962</v>
      </c>
      <c r="K62">
        <v>44360</v>
      </c>
      <c r="L62">
        <v>41036</v>
      </c>
      <c r="M62">
        <v>37954</v>
      </c>
      <c r="N62">
        <v>35112</v>
      </c>
      <c r="O62">
        <v>34646</v>
      </c>
      <c r="P62">
        <v>34638</v>
      </c>
      <c r="Q62">
        <v>34646</v>
      </c>
      <c r="R62">
        <v>34638</v>
      </c>
      <c r="S62">
        <v>34646</v>
      </c>
      <c r="T62">
        <v>34638</v>
      </c>
      <c r="U62">
        <v>34646</v>
      </c>
      <c r="V62">
        <v>34638</v>
      </c>
      <c r="W62">
        <v>34646</v>
      </c>
      <c r="X62">
        <v>34638</v>
      </c>
      <c r="Y62">
        <v>34646</v>
      </c>
      <c r="Z62">
        <v>34638</v>
      </c>
    </row>
    <row r="63" spans="3:26" x14ac:dyDescent="0.3">
      <c r="C63" t="s">
        <v>152</v>
      </c>
      <c r="D63">
        <v>0</v>
      </c>
      <c r="E63">
        <v>0</v>
      </c>
      <c r="F63">
        <v>0</v>
      </c>
      <c r="G63">
        <v>2956</v>
      </c>
      <c r="H63">
        <v>5616</v>
      </c>
      <c r="I63">
        <v>5054</v>
      </c>
      <c r="J63">
        <v>4552</v>
      </c>
      <c r="K63">
        <v>4097</v>
      </c>
      <c r="L63">
        <v>3683</v>
      </c>
      <c r="M63">
        <v>3488</v>
      </c>
      <c r="N63">
        <v>3488</v>
      </c>
      <c r="O63">
        <v>3494</v>
      </c>
      <c r="P63">
        <v>3488</v>
      </c>
      <c r="Q63">
        <v>3494</v>
      </c>
      <c r="R63">
        <v>3488</v>
      </c>
      <c r="S63">
        <v>3494</v>
      </c>
      <c r="T63">
        <v>3488</v>
      </c>
      <c r="U63">
        <v>3494</v>
      </c>
      <c r="V63">
        <v>1744</v>
      </c>
      <c r="W63">
        <v>0</v>
      </c>
      <c r="X63">
        <v>0</v>
      </c>
      <c r="Y63">
        <v>0</v>
      </c>
      <c r="Z63">
        <v>5338</v>
      </c>
    </row>
    <row r="64" spans="3:26" x14ac:dyDescent="0.3">
      <c r="C64" t="s">
        <v>153</v>
      </c>
      <c r="D64">
        <v>0</v>
      </c>
      <c r="E64">
        <v>0</v>
      </c>
      <c r="F64">
        <v>0</v>
      </c>
      <c r="G64">
        <v>2956</v>
      </c>
      <c r="H64">
        <v>5616</v>
      </c>
      <c r="I64">
        <v>5054</v>
      </c>
      <c r="J64">
        <v>4552</v>
      </c>
      <c r="K64">
        <v>4097</v>
      </c>
      <c r="L64">
        <v>3683</v>
      </c>
      <c r="M64">
        <v>3488</v>
      </c>
      <c r="N64">
        <v>3488</v>
      </c>
      <c r="O64">
        <v>3494</v>
      </c>
      <c r="P64">
        <v>3488</v>
      </c>
      <c r="Q64">
        <v>3494</v>
      </c>
      <c r="R64">
        <v>3488</v>
      </c>
      <c r="S64">
        <v>3494</v>
      </c>
      <c r="T64">
        <v>3488</v>
      </c>
      <c r="U64">
        <v>3494</v>
      </c>
      <c r="V64">
        <v>1744</v>
      </c>
      <c r="W64">
        <v>0</v>
      </c>
      <c r="X64">
        <v>0</v>
      </c>
      <c r="Y64">
        <v>0</v>
      </c>
      <c r="Z64">
        <v>5338</v>
      </c>
    </row>
    <row r="65" spans="3:26" x14ac:dyDescent="0.3">
      <c r="C65" t="s">
        <v>154</v>
      </c>
      <c r="D65">
        <v>0</v>
      </c>
      <c r="E65">
        <v>0</v>
      </c>
      <c r="F65">
        <v>0</v>
      </c>
      <c r="G65">
        <v>2940</v>
      </c>
      <c r="H65">
        <v>5585</v>
      </c>
      <c r="I65">
        <v>5027</v>
      </c>
      <c r="J65">
        <v>4527</v>
      </c>
      <c r="K65">
        <v>4074</v>
      </c>
      <c r="L65">
        <v>3663</v>
      </c>
      <c r="M65">
        <v>3469</v>
      </c>
      <c r="N65">
        <v>3469</v>
      </c>
      <c r="O65">
        <v>3475</v>
      </c>
      <c r="P65">
        <v>3469</v>
      </c>
      <c r="Q65">
        <v>3475</v>
      </c>
      <c r="R65">
        <v>3469</v>
      </c>
      <c r="S65">
        <v>3475</v>
      </c>
      <c r="T65">
        <v>3469</v>
      </c>
      <c r="U65">
        <v>3475</v>
      </c>
      <c r="V65">
        <v>1734</v>
      </c>
      <c r="W65">
        <v>0</v>
      </c>
      <c r="X65">
        <v>0</v>
      </c>
      <c r="Y65">
        <v>0</v>
      </c>
      <c r="Z65">
        <v>5309</v>
      </c>
    </row>
    <row r="66" spans="3:26" x14ac:dyDescent="0.3">
      <c r="C66" t="s">
        <v>155</v>
      </c>
      <c r="D66">
        <v>0</v>
      </c>
      <c r="E66">
        <v>0</v>
      </c>
      <c r="F66">
        <v>0</v>
      </c>
      <c r="G66">
        <v>2924</v>
      </c>
      <c r="H66">
        <v>5555</v>
      </c>
      <c r="I66">
        <v>5000</v>
      </c>
      <c r="J66">
        <v>4503</v>
      </c>
      <c r="K66">
        <v>4052</v>
      </c>
      <c r="L66">
        <v>3643</v>
      </c>
      <c r="M66">
        <v>3450</v>
      </c>
      <c r="N66">
        <v>3450</v>
      </c>
      <c r="O66">
        <v>3456</v>
      </c>
      <c r="P66">
        <v>3450</v>
      </c>
      <c r="Q66">
        <v>3456</v>
      </c>
      <c r="R66">
        <v>3450</v>
      </c>
      <c r="S66">
        <v>3456</v>
      </c>
      <c r="T66">
        <v>3450</v>
      </c>
      <c r="U66">
        <v>3456</v>
      </c>
      <c r="V66">
        <v>1725</v>
      </c>
      <c r="W66">
        <v>0</v>
      </c>
      <c r="X66">
        <v>0</v>
      </c>
      <c r="Y66">
        <v>0</v>
      </c>
      <c r="Z66">
        <v>5281</v>
      </c>
    </row>
    <row r="67" spans="3:26" x14ac:dyDescent="0.3">
      <c r="C67" t="s">
        <v>156</v>
      </c>
      <c r="D67">
        <v>0</v>
      </c>
      <c r="E67">
        <v>0</v>
      </c>
      <c r="F67">
        <v>0</v>
      </c>
      <c r="G67">
        <v>2924</v>
      </c>
      <c r="H67">
        <v>5555</v>
      </c>
      <c r="I67">
        <v>5000</v>
      </c>
      <c r="J67">
        <v>4503</v>
      </c>
      <c r="K67">
        <v>4052</v>
      </c>
      <c r="L67">
        <v>3643</v>
      </c>
      <c r="M67">
        <v>3450</v>
      </c>
      <c r="N67">
        <v>3450</v>
      </c>
      <c r="O67">
        <v>3456</v>
      </c>
      <c r="P67">
        <v>3450</v>
      </c>
      <c r="Q67">
        <v>3456</v>
      </c>
      <c r="R67">
        <v>3450</v>
      </c>
      <c r="S67">
        <v>3456</v>
      </c>
      <c r="T67">
        <v>3450</v>
      </c>
      <c r="U67">
        <v>3456</v>
      </c>
      <c r="V67">
        <v>1725</v>
      </c>
      <c r="W67">
        <v>0</v>
      </c>
      <c r="X67">
        <v>0</v>
      </c>
      <c r="Y67">
        <v>0</v>
      </c>
      <c r="Z67">
        <v>5281</v>
      </c>
    </row>
    <row r="68" spans="3:26" x14ac:dyDescent="0.3">
      <c r="C68" t="s">
        <v>157</v>
      </c>
      <c r="D68">
        <v>0</v>
      </c>
      <c r="E68">
        <v>0</v>
      </c>
      <c r="F68">
        <v>0</v>
      </c>
      <c r="G68">
        <v>2956</v>
      </c>
      <c r="H68">
        <v>5616</v>
      </c>
      <c r="I68">
        <v>5054</v>
      </c>
      <c r="J68">
        <v>4552</v>
      </c>
      <c r="K68">
        <v>4097</v>
      </c>
      <c r="L68">
        <v>3683</v>
      </c>
      <c r="M68">
        <v>3488</v>
      </c>
      <c r="N68">
        <v>3488</v>
      </c>
      <c r="O68">
        <v>3494</v>
      </c>
      <c r="P68">
        <v>3488</v>
      </c>
      <c r="Q68">
        <v>3494</v>
      </c>
      <c r="R68">
        <v>3488</v>
      </c>
      <c r="S68">
        <v>3494</v>
      </c>
      <c r="T68">
        <v>3488</v>
      </c>
      <c r="U68">
        <v>3494</v>
      </c>
      <c r="V68">
        <v>1744</v>
      </c>
      <c r="W68">
        <v>0</v>
      </c>
      <c r="X68">
        <v>0</v>
      </c>
      <c r="Y68">
        <v>0</v>
      </c>
      <c r="Z68">
        <v>5338</v>
      </c>
    </row>
    <row r="69" spans="3:26" x14ac:dyDescent="0.3">
      <c r="C69" t="s">
        <v>158</v>
      </c>
      <c r="D69">
        <v>0</v>
      </c>
      <c r="E69">
        <v>0</v>
      </c>
      <c r="F69">
        <v>0</v>
      </c>
      <c r="G69">
        <v>3072</v>
      </c>
      <c r="H69">
        <v>5836</v>
      </c>
      <c r="I69">
        <v>5253</v>
      </c>
      <c r="J69">
        <v>4730</v>
      </c>
      <c r="K69">
        <v>4257</v>
      </c>
      <c r="L69">
        <v>3827</v>
      </c>
      <c r="M69">
        <v>3625</v>
      </c>
      <c r="N69">
        <v>3625</v>
      </c>
      <c r="O69">
        <v>3631</v>
      </c>
      <c r="P69">
        <v>3625</v>
      </c>
      <c r="Q69">
        <v>3631</v>
      </c>
      <c r="R69">
        <v>3625</v>
      </c>
      <c r="S69">
        <v>3631</v>
      </c>
      <c r="T69">
        <v>3625</v>
      </c>
      <c r="U69">
        <v>3631</v>
      </c>
      <c r="V69">
        <v>1812</v>
      </c>
      <c r="W69">
        <v>0</v>
      </c>
      <c r="X69">
        <v>0</v>
      </c>
      <c r="Y69">
        <v>0</v>
      </c>
      <c r="Z69">
        <v>5548</v>
      </c>
    </row>
    <row r="70" spans="3:26" x14ac:dyDescent="0.3">
      <c r="C70" t="s">
        <v>159</v>
      </c>
      <c r="D70">
        <v>0</v>
      </c>
      <c r="E70">
        <v>0</v>
      </c>
      <c r="F70">
        <v>0</v>
      </c>
      <c r="G70">
        <v>2924</v>
      </c>
      <c r="H70">
        <v>5555</v>
      </c>
      <c r="I70">
        <v>5000</v>
      </c>
      <c r="J70">
        <v>4503</v>
      </c>
      <c r="K70">
        <v>4052</v>
      </c>
      <c r="L70">
        <v>3643</v>
      </c>
      <c r="M70">
        <v>3450</v>
      </c>
      <c r="N70">
        <v>3450</v>
      </c>
      <c r="O70">
        <v>3456</v>
      </c>
      <c r="P70">
        <v>3450</v>
      </c>
      <c r="Q70">
        <v>3456</v>
      </c>
      <c r="R70">
        <v>3450</v>
      </c>
      <c r="S70">
        <v>3456</v>
      </c>
      <c r="T70">
        <v>3450</v>
      </c>
      <c r="U70">
        <v>3456</v>
      </c>
      <c r="V70">
        <v>1725</v>
      </c>
      <c r="W70">
        <v>0</v>
      </c>
      <c r="X70">
        <v>0</v>
      </c>
      <c r="Y70">
        <v>0</v>
      </c>
      <c r="Z70">
        <v>5281</v>
      </c>
    </row>
    <row r="71" spans="3:26" x14ac:dyDescent="0.3">
      <c r="C71" t="s">
        <v>160</v>
      </c>
      <c r="D71">
        <v>0</v>
      </c>
      <c r="E71">
        <v>0</v>
      </c>
      <c r="F71">
        <v>0</v>
      </c>
      <c r="G71">
        <v>2956</v>
      </c>
      <c r="H71">
        <v>5616</v>
      </c>
      <c r="I71">
        <v>5054</v>
      </c>
      <c r="J71">
        <v>4552</v>
      </c>
      <c r="K71">
        <v>4097</v>
      </c>
      <c r="L71">
        <v>3683</v>
      </c>
      <c r="M71">
        <v>3488</v>
      </c>
      <c r="N71">
        <v>3488</v>
      </c>
      <c r="O71">
        <v>3494</v>
      </c>
      <c r="P71">
        <v>3488</v>
      </c>
      <c r="Q71">
        <v>3494</v>
      </c>
      <c r="R71">
        <v>3488</v>
      </c>
      <c r="S71">
        <v>3494</v>
      </c>
      <c r="T71">
        <v>3488</v>
      </c>
      <c r="U71">
        <v>3494</v>
      </c>
      <c r="V71">
        <v>1744</v>
      </c>
      <c r="W71">
        <v>0</v>
      </c>
      <c r="X71">
        <v>0</v>
      </c>
      <c r="Y71">
        <v>0</v>
      </c>
      <c r="Z71">
        <v>5338</v>
      </c>
    </row>
    <row r="72" spans="3:26" x14ac:dyDescent="0.3">
      <c r="C72" t="s">
        <v>161</v>
      </c>
      <c r="D72">
        <v>0</v>
      </c>
      <c r="E72">
        <v>0</v>
      </c>
      <c r="F72">
        <v>0</v>
      </c>
      <c r="G72">
        <v>2956</v>
      </c>
      <c r="H72">
        <v>5616</v>
      </c>
      <c r="I72">
        <v>5054</v>
      </c>
      <c r="J72">
        <v>4552</v>
      </c>
      <c r="K72">
        <v>4097</v>
      </c>
      <c r="L72">
        <v>3683</v>
      </c>
      <c r="M72">
        <v>3488</v>
      </c>
      <c r="N72">
        <v>3488</v>
      </c>
      <c r="O72">
        <v>3494</v>
      </c>
      <c r="P72">
        <v>3488</v>
      </c>
      <c r="Q72">
        <v>3494</v>
      </c>
      <c r="R72">
        <v>3488</v>
      </c>
      <c r="S72">
        <v>3494</v>
      </c>
      <c r="T72">
        <v>3488</v>
      </c>
      <c r="U72">
        <v>3494</v>
      </c>
      <c r="V72">
        <v>1744</v>
      </c>
      <c r="W72">
        <v>0</v>
      </c>
      <c r="X72">
        <v>0</v>
      </c>
      <c r="Y72">
        <v>0</v>
      </c>
      <c r="Z72">
        <v>5338</v>
      </c>
    </row>
    <row r="73" spans="3:26" x14ac:dyDescent="0.3">
      <c r="C73" t="s">
        <v>162</v>
      </c>
      <c r="D73">
        <v>0</v>
      </c>
      <c r="E73">
        <v>0</v>
      </c>
      <c r="F73">
        <v>0</v>
      </c>
      <c r="G73">
        <v>2956</v>
      </c>
      <c r="H73">
        <v>5616</v>
      </c>
      <c r="I73">
        <v>5054</v>
      </c>
      <c r="J73">
        <v>4552</v>
      </c>
      <c r="K73">
        <v>4097</v>
      </c>
      <c r="L73">
        <v>3683</v>
      </c>
      <c r="M73">
        <v>3488</v>
      </c>
      <c r="N73">
        <v>3488</v>
      </c>
      <c r="O73">
        <v>3494</v>
      </c>
      <c r="P73">
        <v>3488</v>
      </c>
      <c r="Q73">
        <v>3494</v>
      </c>
      <c r="R73">
        <v>3488</v>
      </c>
      <c r="S73">
        <v>3494</v>
      </c>
      <c r="T73">
        <v>3488</v>
      </c>
      <c r="U73">
        <v>3494</v>
      </c>
      <c r="V73">
        <v>1744</v>
      </c>
      <c r="W73">
        <v>0</v>
      </c>
      <c r="X73">
        <v>0</v>
      </c>
      <c r="Y73">
        <v>0</v>
      </c>
      <c r="Z73">
        <v>5338</v>
      </c>
    </row>
    <row r="74" spans="3:26" x14ac:dyDescent="0.3">
      <c r="C74" t="s">
        <v>163</v>
      </c>
      <c r="D74">
        <v>0</v>
      </c>
      <c r="E74">
        <v>0</v>
      </c>
      <c r="F74">
        <v>0</v>
      </c>
      <c r="G74">
        <v>2956</v>
      </c>
      <c r="H74">
        <v>5616</v>
      </c>
      <c r="I74">
        <v>5054</v>
      </c>
      <c r="J74">
        <v>4552</v>
      </c>
      <c r="K74">
        <v>4097</v>
      </c>
      <c r="L74">
        <v>3683</v>
      </c>
      <c r="M74">
        <v>3488</v>
      </c>
      <c r="N74">
        <v>3488</v>
      </c>
      <c r="O74">
        <v>3494</v>
      </c>
      <c r="P74">
        <v>3488</v>
      </c>
      <c r="Q74">
        <v>3494</v>
      </c>
      <c r="R74">
        <v>3488</v>
      </c>
      <c r="S74">
        <v>3494</v>
      </c>
      <c r="T74">
        <v>3488</v>
      </c>
      <c r="U74">
        <v>3494</v>
      </c>
      <c r="V74">
        <v>1744</v>
      </c>
      <c r="W74">
        <v>0</v>
      </c>
      <c r="X74">
        <v>0</v>
      </c>
      <c r="Y74">
        <v>0</v>
      </c>
      <c r="Z74">
        <v>5338</v>
      </c>
    </row>
    <row r="75" spans="3:26" x14ac:dyDescent="0.3">
      <c r="C75" t="s">
        <v>164</v>
      </c>
      <c r="D75">
        <v>0</v>
      </c>
      <c r="E75">
        <v>0</v>
      </c>
      <c r="F75">
        <v>0</v>
      </c>
      <c r="G75">
        <v>2956</v>
      </c>
      <c r="H75">
        <v>5616</v>
      </c>
      <c r="I75">
        <v>5054</v>
      </c>
      <c r="J75">
        <v>4552</v>
      </c>
      <c r="K75">
        <v>4097</v>
      </c>
      <c r="L75">
        <v>3683</v>
      </c>
      <c r="M75">
        <v>3488</v>
      </c>
      <c r="N75">
        <v>3488</v>
      </c>
      <c r="O75">
        <v>3494</v>
      </c>
      <c r="P75">
        <v>3488</v>
      </c>
      <c r="Q75">
        <v>3494</v>
      </c>
      <c r="R75">
        <v>3488</v>
      </c>
      <c r="S75">
        <v>3494</v>
      </c>
      <c r="T75">
        <v>3488</v>
      </c>
      <c r="U75">
        <v>3494</v>
      </c>
      <c r="V75">
        <v>1744</v>
      </c>
      <c r="W75">
        <v>0</v>
      </c>
      <c r="X75">
        <v>0</v>
      </c>
      <c r="Y75">
        <v>0</v>
      </c>
      <c r="Z75">
        <v>5338</v>
      </c>
    </row>
    <row r="76" spans="3:26" x14ac:dyDescent="0.3">
      <c r="C76" t="s">
        <v>165</v>
      </c>
      <c r="D76">
        <v>0</v>
      </c>
      <c r="E76">
        <v>0</v>
      </c>
      <c r="F76">
        <v>0</v>
      </c>
      <c r="G76">
        <v>3072</v>
      </c>
      <c r="H76">
        <v>5836</v>
      </c>
      <c r="I76">
        <v>5253</v>
      </c>
      <c r="J76">
        <v>4730</v>
      </c>
      <c r="K76">
        <v>4257</v>
      </c>
      <c r="L76">
        <v>3827</v>
      </c>
      <c r="M76">
        <v>3625</v>
      </c>
      <c r="N76">
        <v>3625</v>
      </c>
      <c r="O76">
        <v>3631</v>
      </c>
      <c r="P76">
        <v>3625</v>
      </c>
      <c r="Q76">
        <v>3631</v>
      </c>
      <c r="R76">
        <v>3625</v>
      </c>
      <c r="S76">
        <v>3631</v>
      </c>
      <c r="T76">
        <v>3625</v>
      </c>
      <c r="U76">
        <v>3631</v>
      </c>
      <c r="V76">
        <v>1812</v>
      </c>
      <c r="W76">
        <v>0</v>
      </c>
      <c r="X76">
        <v>0</v>
      </c>
      <c r="Y76">
        <v>0</v>
      </c>
      <c r="Z76">
        <v>5548</v>
      </c>
    </row>
    <row r="77" spans="3:26" x14ac:dyDescent="0.3">
      <c r="C77" t="s">
        <v>166</v>
      </c>
      <c r="D77">
        <v>0</v>
      </c>
      <c r="E77">
        <v>0</v>
      </c>
      <c r="F77">
        <v>0</v>
      </c>
      <c r="G77">
        <v>2924</v>
      </c>
      <c r="H77">
        <v>5555</v>
      </c>
      <c r="I77">
        <v>5000</v>
      </c>
      <c r="J77">
        <v>4503</v>
      </c>
      <c r="K77">
        <v>4052</v>
      </c>
      <c r="L77">
        <v>3643</v>
      </c>
      <c r="M77">
        <v>3450</v>
      </c>
      <c r="N77">
        <v>3450</v>
      </c>
      <c r="O77">
        <v>3456</v>
      </c>
      <c r="P77">
        <v>3450</v>
      </c>
      <c r="Q77">
        <v>3456</v>
      </c>
      <c r="R77">
        <v>3450</v>
      </c>
      <c r="S77">
        <v>3456</v>
      </c>
      <c r="T77">
        <v>3450</v>
      </c>
      <c r="U77">
        <v>3456</v>
      </c>
      <c r="V77">
        <v>1725</v>
      </c>
      <c r="W77">
        <v>0</v>
      </c>
      <c r="X77">
        <v>0</v>
      </c>
      <c r="Y77">
        <v>0</v>
      </c>
      <c r="Z77">
        <v>5281</v>
      </c>
    </row>
    <row r="78" spans="3:26" x14ac:dyDescent="0.3">
      <c r="C78" t="s">
        <v>167</v>
      </c>
      <c r="D78">
        <v>0</v>
      </c>
      <c r="E78">
        <v>0</v>
      </c>
      <c r="F78">
        <v>0</v>
      </c>
      <c r="G78">
        <v>3120</v>
      </c>
      <c r="H78">
        <v>5928</v>
      </c>
      <c r="I78">
        <v>5335</v>
      </c>
      <c r="J78">
        <v>4805</v>
      </c>
      <c r="K78">
        <v>4324</v>
      </c>
      <c r="L78">
        <v>3887</v>
      </c>
      <c r="M78">
        <v>3681</v>
      </c>
      <c r="N78">
        <v>3681</v>
      </c>
      <c r="O78">
        <v>3688</v>
      </c>
      <c r="P78">
        <v>3681</v>
      </c>
      <c r="Q78">
        <v>3688</v>
      </c>
      <c r="R78">
        <v>3681</v>
      </c>
      <c r="S78">
        <v>3688</v>
      </c>
      <c r="T78">
        <v>3681</v>
      </c>
      <c r="U78">
        <v>3688</v>
      </c>
      <c r="V78">
        <v>1841</v>
      </c>
      <c r="W78">
        <v>0</v>
      </c>
      <c r="X78">
        <v>0</v>
      </c>
      <c r="Y78">
        <v>0</v>
      </c>
      <c r="Z78">
        <v>5635</v>
      </c>
    </row>
    <row r="79" spans="3:26" x14ac:dyDescent="0.3">
      <c r="C79" t="s">
        <v>168</v>
      </c>
      <c r="D79">
        <v>0</v>
      </c>
      <c r="E79">
        <v>0</v>
      </c>
      <c r="F79">
        <v>0</v>
      </c>
      <c r="G79">
        <v>2924</v>
      </c>
      <c r="H79">
        <v>5555</v>
      </c>
      <c r="I79">
        <v>5000</v>
      </c>
      <c r="J79">
        <v>4503</v>
      </c>
      <c r="K79">
        <v>4052</v>
      </c>
      <c r="L79">
        <v>3643</v>
      </c>
      <c r="M79">
        <v>3450</v>
      </c>
      <c r="N79">
        <v>3450</v>
      </c>
      <c r="O79">
        <v>3456</v>
      </c>
      <c r="P79">
        <v>3450</v>
      </c>
      <c r="Q79">
        <v>3456</v>
      </c>
      <c r="R79">
        <v>3450</v>
      </c>
      <c r="S79">
        <v>3456</v>
      </c>
      <c r="T79">
        <v>3450</v>
      </c>
      <c r="U79">
        <v>3456</v>
      </c>
      <c r="V79">
        <v>1725</v>
      </c>
      <c r="W79">
        <v>0</v>
      </c>
      <c r="X79">
        <v>0</v>
      </c>
      <c r="Y79">
        <v>0</v>
      </c>
      <c r="Z79">
        <v>5281</v>
      </c>
    </row>
    <row r="80" spans="3:26" x14ac:dyDescent="0.3">
      <c r="C80" t="s">
        <v>169</v>
      </c>
      <c r="D80">
        <v>0</v>
      </c>
      <c r="E80">
        <v>0</v>
      </c>
      <c r="F80">
        <v>0</v>
      </c>
      <c r="G80">
        <v>2924</v>
      </c>
      <c r="H80">
        <v>5555</v>
      </c>
      <c r="I80">
        <v>5000</v>
      </c>
      <c r="J80">
        <v>4503</v>
      </c>
      <c r="K80">
        <v>4052</v>
      </c>
      <c r="L80">
        <v>3643</v>
      </c>
      <c r="M80">
        <v>3450</v>
      </c>
      <c r="N80">
        <v>3450</v>
      </c>
      <c r="O80">
        <v>3456</v>
      </c>
      <c r="P80">
        <v>3450</v>
      </c>
      <c r="Q80">
        <v>3456</v>
      </c>
      <c r="R80">
        <v>3450</v>
      </c>
      <c r="S80">
        <v>3456</v>
      </c>
      <c r="T80">
        <v>3450</v>
      </c>
      <c r="U80">
        <v>3456</v>
      </c>
      <c r="V80">
        <v>1725</v>
      </c>
      <c r="W80">
        <v>0</v>
      </c>
      <c r="X80">
        <v>0</v>
      </c>
      <c r="Y80">
        <v>0</v>
      </c>
      <c r="Z80">
        <v>5281</v>
      </c>
    </row>
    <row r="81" spans="3:26" x14ac:dyDescent="0.3">
      <c r="C81" t="s">
        <v>170</v>
      </c>
      <c r="D81">
        <v>0</v>
      </c>
      <c r="E81">
        <v>0</v>
      </c>
      <c r="F81">
        <v>0</v>
      </c>
      <c r="G81">
        <v>2924</v>
      </c>
      <c r="H81">
        <v>5555</v>
      </c>
      <c r="I81">
        <v>5000</v>
      </c>
      <c r="J81">
        <v>4503</v>
      </c>
      <c r="K81">
        <v>4052</v>
      </c>
      <c r="L81">
        <v>3643</v>
      </c>
      <c r="M81">
        <v>3450</v>
      </c>
      <c r="N81">
        <v>3450</v>
      </c>
      <c r="O81">
        <v>3456</v>
      </c>
      <c r="P81">
        <v>3450</v>
      </c>
      <c r="Q81">
        <v>3456</v>
      </c>
      <c r="R81">
        <v>3450</v>
      </c>
      <c r="S81">
        <v>3456</v>
      </c>
      <c r="T81">
        <v>3450</v>
      </c>
      <c r="U81">
        <v>3456</v>
      </c>
      <c r="V81">
        <v>1725</v>
      </c>
      <c r="W81">
        <v>0</v>
      </c>
      <c r="X81">
        <v>0</v>
      </c>
      <c r="Y81">
        <v>0</v>
      </c>
      <c r="Z81">
        <v>5281</v>
      </c>
    </row>
    <row r="82" spans="3:26" x14ac:dyDescent="0.3">
      <c r="C82" t="s">
        <v>171</v>
      </c>
      <c r="D82">
        <v>0</v>
      </c>
      <c r="E82">
        <v>0</v>
      </c>
      <c r="F82">
        <v>0</v>
      </c>
      <c r="G82">
        <v>2924</v>
      </c>
      <c r="H82">
        <v>5555</v>
      </c>
      <c r="I82">
        <v>5000</v>
      </c>
      <c r="J82">
        <v>4503</v>
      </c>
      <c r="K82">
        <v>4052</v>
      </c>
      <c r="L82">
        <v>3643</v>
      </c>
      <c r="M82">
        <v>3450</v>
      </c>
      <c r="N82">
        <v>3450</v>
      </c>
      <c r="O82">
        <v>3456</v>
      </c>
      <c r="P82">
        <v>3450</v>
      </c>
      <c r="Q82">
        <v>3456</v>
      </c>
      <c r="R82">
        <v>3450</v>
      </c>
      <c r="S82">
        <v>3456</v>
      </c>
      <c r="T82">
        <v>3450</v>
      </c>
      <c r="U82">
        <v>3456</v>
      </c>
      <c r="V82">
        <v>1725</v>
      </c>
      <c r="W82">
        <v>0</v>
      </c>
      <c r="X82">
        <v>0</v>
      </c>
      <c r="Y82">
        <v>0</v>
      </c>
      <c r="Z82">
        <v>5281</v>
      </c>
    </row>
    <row r="83" spans="3:26" x14ac:dyDescent="0.3">
      <c r="C83" t="s">
        <v>172</v>
      </c>
      <c r="D83">
        <v>0</v>
      </c>
      <c r="E83">
        <v>0</v>
      </c>
      <c r="F83">
        <v>0</v>
      </c>
      <c r="G83">
        <v>3072</v>
      </c>
      <c r="H83">
        <v>5836</v>
      </c>
      <c r="I83">
        <v>5253</v>
      </c>
      <c r="J83">
        <v>4730</v>
      </c>
      <c r="K83">
        <v>4257</v>
      </c>
      <c r="L83">
        <v>3827</v>
      </c>
      <c r="M83">
        <v>3625</v>
      </c>
      <c r="N83">
        <v>3625</v>
      </c>
      <c r="O83">
        <v>3631</v>
      </c>
      <c r="P83">
        <v>3625</v>
      </c>
      <c r="Q83">
        <v>3631</v>
      </c>
      <c r="R83">
        <v>3625</v>
      </c>
      <c r="S83">
        <v>3631</v>
      </c>
      <c r="T83">
        <v>3625</v>
      </c>
      <c r="U83">
        <v>3631</v>
      </c>
      <c r="V83">
        <v>1812</v>
      </c>
      <c r="W83">
        <v>0</v>
      </c>
      <c r="X83">
        <v>0</v>
      </c>
      <c r="Y83">
        <v>0</v>
      </c>
      <c r="Z83">
        <v>5548</v>
      </c>
    </row>
    <row r="84" spans="3:26" x14ac:dyDescent="0.3">
      <c r="C84" t="s">
        <v>173</v>
      </c>
      <c r="D84">
        <v>0</v>
      </c>
      <c r="E84">
        <v>0</v>
      </c>
      <c r="F84">
        <v>0</v>
      </c>
      <c r="G84">
        <v>20403</v>
      </c>
      <c r="H84">
        <v>39277</v>
      </c>
      <c r="I84">
        <v>36328</v>
      </c>
      <c r="J84">
        <v>33608</v>
      </c>
      <c r="K84">
        <v>31083</v>
      </c>
      <c r="L84">
        <v>28754</v>
      </c>
      <c r="M84">
        <v>26594</v>
      </c>
      <c r="N84">
        <v>24603</v>
      </c>
      <c r="O84">
        <v>24277</v>
      </c>
      <c r="P84">
        <v>24271</v>
      </c>
      <c r="Q84">
        <v>24277</v>
      </c>
      <c r="R84">
        <v>24271</v>
      </c>
      <c r="S84">
        <v>24277</v>
      </c>
      <c r="T84">
        <v>24271</v>
      </c>
      <c r="U84">
        <v>24277</v>
      </c>
      <c r="V84">
        <v>24271</v>
      </c>
      <c r="W84">
        <v>24277</v>
      </c>
      <c r="X84">
        <v>24271</v>
      </c>
      <c r="Y84">
        <v>24277</v>
      </c>
      <c r="Z84">
        <v>24271</v>
      </c>
    </row>
    <row r="85" spans="3:26" x14ac:dyDescent="0.3">
      <c r="C85" t="s">
        <v>174</v>
      </c>
      <c r="D85">
        <v>0</v>
      </c>
      <c r="E85">
        <v>0</v>
      </c>
      <c r="F85">
        <v>0</v>
      </c>
      <c r="G85">
        <v>6692</v>
      </c>
      <c r="H85">
        <v>11469</v>
      </c>
      <c r="I85">
        <v>8191</v>
      </c>
      <c r="J85">
        <v>5849</v>
      </c>
      <c r="K85">
        <v>4182</v>
      </c>
      <c r="L85">
        <v>4177</v>
      </c>
      <c r="M85">
        <v>4182</v>
      </c>
      <c r="N85">
        <v>2089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10426</v>
      </c>
      <c r="W85">
        <v>17868</v>
      </c>
      <c r="X85">
        <v>12761</v>
      </c>
      <c r="Y85">
        <v>9113</v>
      </c>
      <c r="Z85">
        <v>6515</v>
      </c>
    </row>
    <row r="86" spans="3:26" x14ac:dyDescent="0.3">
      <c r="C86" t="s">
        <v>175</v>
      </c>
      <c r="D86">
        <v>0</v>
      </c>
      <c r="E86">
        <v>0</v>
      </c>
      <c r="F86">
        <v>0</v>
      </c>
      <c r="G86">
        <v>6692</v>
      </c>
      <c r="H86">
        <v>11469</v>
      </c>
      <c r="I86">
        <v>8191</v>
      </c>
      <c r="J86">
        <v>5849</v>
      </c>
      <c r="K86">
        <v>4182</v>
      </c>
      <c r="L86">
        <v>4177</v>
      </c>
      <c r="M86">
        <v>4182</v>
      </c>
      <c r="N86">
        <v>2089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10426</v>
      </c>
      <c r="W86">
        <v>17868</v>
      </c>
      <c r="X86">
        <v>12761</v>
      </c>
      <c r="Y86">
        <v>9113</v>
      </c>
      <c r="Z86">
        <v>6515</v>
      </c>
    </row>
    <row r="87" spans="3:26" x14ac:dyDescent="0.3">
      <c r="C87" t="s">
        <v>176</v>
      </c>
      <c r="D87">
        <v>0</v>
      </c>
      <c r="E87">
        <v>0</v>
      </c>
      <c r="F87">
        <v>0</v>
      </c>
      <c r="G87">
        <v>6692</v>
      </c>
      <c r="H87">
        <v>11469</v>
      </c>
      <c r="I87">
        <v>8191</v>
      </c>
      <c r="J87">
        <v>5849</v>
      </c>
      <c r="K87">
        <v>4182</v>
      </c>
      <c r="L87">
        <v>4177</v>
      </c>
      <c r="M87">
        <v>4182</v>
      </c>
      <c r="N87">
        <v>2089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10426</v>
      </c>
      <c r="W87">
        <v>17868</v>
      </c>
      <c r="X87">
        <v>12761</v>
      </c>
      <c r="Y87">
        <v>9113</v>
      </c>
      <c r="Z87">
        <v>6515</v>
      </c>
    </row>
    <row r="88" spans="3:26" x14ac:dyDescent="0.3">
      <c r="C88" t="s">
        <v>177</v>
      </c>
      <c r="D88">
        <v>0</v>
      </c>
      <c r="E88">
        <v>0</v>
      </c>
      <c r="F88">
        <v>0</v>
      </c>
      <c r="G88">
        <v>6722</v>
      </c>
      <c r="H88">
        <v>11520</v>
      </c>
      <c r="I88">
        <v>8227</v>
      </c>
      <c r="J88">
        <v>5875</v>
      </c>
      <c r="K88">
        <v>4201</v>
      </c>
      <c r="L88">
        <v>4196</v>
      </c>
      <c r="M88">
        <v>4201</v>
      </c>
      <c r="N88">
        <v>2098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10473</v>
      </c>
      <c r="W88">
        <v>17948</v>
      </c>
      <c r="X88">
        <v>12818</v>
      </c>
      <c r="Y88">
        <v>9154</v>
      </c>
      <c r="Z88">
        <v>6545</v>
      </c>
    </row>
    <row r="89" spans="3:26" x14ac:dyDescent="0.3">
      <c r="C89" t="s">
        <v>178</v>
      </c>
      <c r="D89">
        <v>0</v>
      </c>
      <c r="E89">
        <v>0</v>
      </c>
      <c r="F89">
        <v>0</v>
      </c>
      <c r="G89">
        <v>6722</v>
      </c>
      <c r="H89">
        <v>11520</v>
      </c>
      <c r="I89">
        <v>8227</v>
      </c>
      <c r="J89">
        <v>5875</v>
      </c>
      <c r="K89">
        <v>4201</v>
      </c>
      <c r="L89">
        <v>4196</v>
      </c>
      <c r="M89">
        <v>4201</v>
      </c>
      <c r="N89">
        <v>2098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10473</v>
      </c>
      <c r="W89">
        <v>17948</v>
      </c>
      <c r="X89">
        <v>12818</v>
      </c>
      <c r="Y89">
        <v>9154</v>
      </c>
      <c r="Z89">
        <v>6545</v>
      </c>
    </row>
    <row r="90" spans="3:26" x14ac:dyDescent="0.3">
      <c r="C90" t="s">
        <v>179</v>
      </c>
      <c r="D90">
        <v>0</v>
      </c>
      <c r="E90">
        <v>0</v>
      </c>
      <c r="F90">
        <v>0</v>
      </c>
      <c r="G90">
        <v>6737</v>
      </c>
      <c r="H90">
        <v>11546</v>
      </c>
      <c r="I90">
        <v>8246</v>
      </c>
      <c r="J90">
        <v>5889</v>
      </c>
      <c r="K90">
        <v>4210</v>
      </c>
      <c r="L90">
        <v>4205</v>
      </c>
      <c r="M90">
        <v>4210</v>
      </c>
      <c r="N90">
        <v>2103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10496</v>
      </c>
      <c r="W90">
        <v>17989</v>
      </c>
      <c r="X90">
        <v>12847</v>
      </c>
      <c r="Y90">
        <v>9174</v>
      </c>
      <c r="Z90">
        <v>6559</v>
      </c>
    </row>
    <row r="91" spans="3:26" x14ac:dyDescent="0.3">
      <c r="C91" t="s">
        <v>180</v>
      </c>
      <c r="D91">
        <v>0</v>
      </c>
      <c r="E91">
        <v>0</v>
      </c>
      <c r="F91">
        <v>0</v>
      </c>
      <c r="G91">
        <v>6696</v>
      </c>
      <c r="H91">
        <v>11476</v>
      </c>
      <c r="I91">
        <v>8196</v>
      </c>
      <c r="J91">
        <v>5853</v>
      </c>
      <c r="K91">
        <v>4185</v>
      </c>
      <c r="L91">
        <v>4180</v>
      </c>
      <c r="M91">
        <v>4185</v>
      </c>
      <c r="N91">
        <v>2090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10433</v>
      </c>
      <c r="W91">
        <v>17879</v>
      </c>
      <c r="X91">
        <v>12769</v>
      </c>
      <c r="Y91">
        <v>9119</v>
      </c>
      <c r="Z91">
        <v>6519</v>
      </c>
    </row>
    <row r="92" spans="3:26" x14ac:dyDescent="0.3">
      <c r="C92" t="s">
        <v>181</v>
      </c>
      <c r="D92">
        <v>0</v>
      </c>
      <c r="E92">
        <v>0</v>
      </c>
      <c r="F92">
        <v>0</v>
      </c>
      <c r="G92">
        <v>6692</v>
      </c>
      <c r="H92">
        <v>11468</v>
      </c>
      <c r="I92">
        <v>8190</v>
      </c>
      <c r="J92">
        <v>5849</v>
      </c>
      <c r="K92">
        <v>4182</v>
      </c>
      <c r="L92">
        <v>4177</v>
      </c>
      <c r="M92">
        <v>4182</v>
      </c>
      <c r="N92">
        <v>2088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10425</v>
      </c>
      <c r="W92">
        <v>17867</v>
      </c>
      <c r="X92">
        <v>12760</v>
      </c>
      <c r="Y92">
        <v>9112</v>
      </c>
      <c r="Z92">
        <v>6515</v>
      </c>
    </row>
    <row r="93" spans="3:26" x14ac:dyDescent="0.3">
      <c r="C93" t="s">
        <v>182</v>
      </c>
      <c r="D93">
        <v>0</v>
      </c>
      <c r="E93">
        <v>0</v>
      </c>
      <c r="F93">
        <v>0</v>
      </c>
      <c r="G93">
        <v>6725</v>
      </c>
      <c r="H93">
        <v>11525</v>
      </c>
      <c r="I93">
        <v>8231</v>
      </c>
      <c r="J93">
        <v>5878</v>
      </c>
      <c r="K93">
        <v>4203</v>
      </c>
      <c r="L93">
        <v>4198</v>
      </c>
      <c r="M93">
        <v>4203</v>
      </c>
      <c r="N93">
        <v>2099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10477</v>
      </c>
      <c r="W93">
        <v>17956</v>
      </c>
      <c r="X93">
        <v>12824</v>
      </c>
      <c r="Y93">
        <v>9158</v>
      </c>
      <c r="Z93">
        <v>6547</v>
      </c>
    </row>
    <row r="94" spans="3:26" x14ac:dyDescent="0.3">
      <c r="C94" t="s">
        <v>183</v>
      </c>
      <c r="D94">
        <v>0</v>
      </c>
      <c r="E94">
        <v>0</v>
      </c>
      <c r="F94">
        <v>0</v>
      </c>
      <c r="G94">
        <v>6702</v>
      </c>
      <c r="H94">
        <v>11487</v>
      </c>
      <c r="I94">
        <v>8203</v>
      </c>
      <c r="J94">
        <v>5858</v>
      </c>
      <c r="K94">
        <v>4188</v>
      </c>
      <c r="L94">
        <v>4184</v>
      </c>
      <c r="M94">
        <v>4188</v>
      </c>
      <c r="N94">
        <v>2092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10442</v>
      </c>
      <c r="W94">
        <v>17896</v>
      </c>
      <c r="X94">
        <v>12781</v>
      </c>
      <c r="Y94">
        <v>9127</v>
      </c>
      <c r="Z94">
        <v>6525</v>
      </c>
    </row>
    <row r="95" spans="3:26" x14ac:dyDescent="0.3">
      <c r="C95" t="s">
        <v>184</v>
      </c>
      <c r="D95">
        <v>0</v>
      </c>
      <c r="E95">
        <v>0</v>
      </c>
      <c r="F95">
        <v>0</v>
      </c>
      <c r="G95">
        <v>6692</v>
      </c>
      <c r="H95">
        <v>11468</v>
      </c>
      <c r="I95">
        <v>8190</v>
      </c>
      <c r="J95">
        <v>5849</v>
      </c>
      <c r="K95">
        <v>4182</v>
      </c>
      <c r="L95">
        <v>4177</v>
      </c>
      <c r="M95">
        <v>4182</v>
      </c>
      <c r="N95">
        <v>2089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10426</v>
      </c>
      <c r="W95">
        <v>17867</v>
      </c>
      <c r="X95">
        <v>12760</v>
      </c>
      <c r="Y95">
        <v>9112</v>
      </c>
      <c r="Z95">
        <v>6515</v>
      </c>
    </row>
    <row r="96" spans="3:26" x14ac:dyDescent="0.3">
      <c r="C96" t="s">
        <v>185</v>
      </c>
      <c r="D96">
        <v>0</v>
      </c>
      <c r="E96">
        <v>0</v>
      </c>
      <c r="F96">
        <v>0</v>
      </c>
      <c r="G96">
        <v>6692</v>
      </c>
      <c r="H96">
        <v>11468</v>
      </c>
      <c r="I96">
        <v>8190</v>
      </c>
      <c r="J96">
        <v>5849</v>
      </c>
      <c r="K96">
        <v>4182</v>
      </c>
      <c r="L96">
        <v>4177</v>
      </c>
      <c r="M96">
        <v>4182</v>
      </c>
      <c r="N96">
        <v>2089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10426</v>
      </c>
      <c r="W96">
        <v>17867</v>
      </c>
      <c r="X96">
        <v>12760</v>
      </c>
      <c r="Y96">
        <v>9112</v>
      </c>
      <c r="Z96">
        <v>6515</v>
      </c>
    </row>
    <row r="97" spans="3:26" x14ac:dyDescent="0.3">
      <c r="C97" t="s">
        <v>186</v>
      </c>
      <c r="D97">
        <v>0</v>
      </c>
      <c r="E97">
        <v>0</v>
      </c>
      <c r="F97">
        <v>0</v>
      </c>
      <c r="G97">
        <v>6692</v>
      </c>
      <c r="H97">
        <v>11468</v>
      </c>
      <c r="I97">
        <v>8190</v>
      </c>
      <c r="J97">
        <v>5849</v>
      </c>
      <c r="K97">
        <v>4182</v>
      </c>
      <c r="L97">
        <v>4177</v>
      </c>
      <c r="M97">
        <v>4182</v>
      </c>
      <c r="N97">
        <v>2089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10426</v>
      </c>
      <c r="W97">
        <v>17867</v>
      </c>
      <c r="X97">
        <v>12760</v>
      </c>
      <c r="Y97">
        <v>9112</v>
      </c>
      <c r="Z97">
        <v>6515</v>
      </c>
    </row>
    <row r="98" spans="3:26" x14ac:dyDescent="0.3">
      <c r="C98" t="s">
        <v>187</v>
      </c>
      <c r="D98">
        <v>0</v>
      </c>
      <c r="E98">
        <v>0</v>
      </c>
      <c r="F98">
        <v>0</v>
      </c>
      <c r="G98">
        <v>6705</v>
      </c>
      <c r="H98">
        <v>11492</v>
      </c>
      <c r="I98">
        <v>8207</v>
      </c>
      <c r="J98">
        <v>5861</v>
      </c>
      <c r="K98">
        <v>4190</v>
      </c>
      <c r="L98">
        <v>4186</v>
      </c>
      <c r="M98">
        <v>4190</v>
      </c>
      <c r="N98">
        <v>2093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10447</v>
      </c>
      <c r="W98">
        <v>17903</v>
      </c>
      <c r="X98">
        <v>12786</v>
      </c>
      <c r="Y98">
        <v>9131</v>
      </c>
      <c r="Z98">
        <v>6528</v>
      </c>
    </row>
    <row r="99" spans="3:26" x14ac:dyDescent="0.3">
      <c r="C99" t="s">
        <v>188</v>
      </c>
      <c r="D99">
        <v>0</v>
      </c>
      <c r="E99">
        <v>0</v>
      </c>
      <c r="F99">
        <v>0</v>
      </c>
      <c r="G99">
        <v>6692</v>
      </c>
      <c r="H99">
        <v>11468</v>
      </c>
      <c r="I99">
        <v>8190</v>
      </c>
      <c r="J99">
        <v>5849</v>
      </c>
      <c r="K99">
        <v>4182</v>
      </c>
      <c r="L99">
        <v>4177</v>
      </c>
      <c r="M99">
        <v>4182</v>
      </c>
      <c r="N99">
        <v>2089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10426</v>
      </c>
      <c r="W99">
        <v>17867</v>
      </c>
      <c r="X99">
        <v>12760</v>
      </c>
      <c r="Y99">
        <v>9112</v>
      </c>
      <c r="Z99">
        <v>6515</v>
      </c>
    </row>
    <row r="100" spans="3:26" x14ac:dyDescent="0.3">
      <c r="C100" t="s">
        <v>189</v>
      </c>
      <c r="D100">
        <v>0</v>
      </c>
      <c r="E100">
        <v>0</v>
      </c>
      <c r="F100">
        <v>0</v>
      </c>
      <c r="G100">
        <v>6715</v>
      </c>
      <c r="H100">
        <v>11507</v>
      </c>
      <c r="I100">
        <v>8218</v>
      </c>
      <c r="J100">
        <v>5869</v>
      </c>
      <c r="K100">
        <v>4196</v>
      </c>
      <c r="L100">
        <v>4191</v>
      </c>
      <c r="M100">
        <v>4196</v>
      </c>
      <c r="N100">
        <v>2096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10461</v>
      </c>
      <c r="W100">
        <v>17928</v>
      </c>
      <c r="X100">
        <v>12804</v>
      </c>
      <c r="Y100">
        <v>9143</v>
      </c>
      <c r="Z100">
        <v>6537</v>
      </c>
    </row>
    <row r="101" spans="3:26" x14ac:dyDescent="0.3">
      <c r="C101" t="s">
        <v>190</v>
      </c>
      <c r="D101">
        <v>0</v>
      </c>
      <c r="E101">
        <v>0</v>
      </c>
      <c r="F101">
        <v>0</v>
      </c>
      <c r="G101">
        <v>6684</v>
      </c>
      <c r="H101">
        <v>11455</v>
      </c>
      <c r="I101">
        <v>8181</v>
      </c>
      <c r="J101">
        <v>5842</v>
      </c>
      <c r="K101">
        <v>4177</v>
      </c>
      <c r="L101">
        <v>4172</v>
      </c>
      <c r="M101">
        <v>4177</v>
      </c>
      <c r="N101">
        <v>2086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10414</v>
      </c>
      <c r="W101">
        <v>17847</v>
      </c>
      <c r="X101">
        <v>12746</v>
      </c>
      <c r="Y101">
        <v>9102</v>
      </c>
      <c r="Z101">
        <v>6508</v>
      </c>
    </row>
    <row r="102" spans="3:26" x14ac:dyDescent="0.3">
      <c r="C102" t="s">
        <v>191</v>
      </c>
      <c r="D102">
        <v>0</v>
      </c>
      <c r="E102">
        <v>0</v>
      </c>
      <c r="F102">
        <v>0</v>
      </c>
      <c r="G102">
        <v>6696</v>
      </c>
      <c r="H102">
        <v>11476</v>
      </c>
      <c r="I102">
        <v>8196</v>
      </c>
      <c r="J102">
        <v>5853</v>
      </c>
      <c r="K102">
        <v>4185</v>
      </c>
      <c r="L102">
        <v>4180</v>
      </c>
      <c r="M102">
        <v>4185</v>
      </c>
      <c r="N102">
        <v>2090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10433</v>
      </c>
      <c r="W102">
        <v>17879</v>
      </c>
      <c r="X102">
        <v>12769</v>
      </c>
      <c r="Y102">
        <v>9119</v>
      </c>
      <c r="Z102">
        <v>6519</v>
      </c>
    </row>
    <row r="103" spans="3:26" x14ac:dyDescent="0.3">
      <c r="C103" t="s">
        <v>192</v>
      </c>
      <c r="D103">
        <v>0</v>
      </c>
      <c r="E103">
        <v>0</v>
      </c>
      <c r="F103">
        <v>0</v>
      </c>
      <c r="G103">
        <v>6692</v>
      </c>
      <c r="H103">
        <v>11468</v>
      </c>
      <c r="I103">
        <v>8190</v>
      </c>
      <c r="J103">
        <v>5849</v>
      </c>
      <c r="K103">
        <v>4182</v>
      </c>
      <c r="L103">
        <v>4177</v>
      </c>
      <c r="M103">
        <v>4182</v>
      </c>
      <c r="N103">
        <v>2089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10426</v>
      </c>
      <c r="W103">
        <v>17867</v>
      </c>
      <c r="X103">
        <v>12760</v>
      </c>
      <c r="Y103">
        <v>9112</v>
      </c>
      <c r="Z103">
        <v>6515</v>
      </c>
    </row>
    <row r="104" spans="3:26" x14ac:dyDescent="0.3">
      <c r="C104" t="s">
        <v>193</v>
      </c>
      <c r="D104">
        <v>0</v>
      </c>
      <c r="E104">
        <v>0</v>
      </c>
      <c r="F104">
        <v>0</v>
      </c>
      <c r="G104">
        <v>6692</v>
      </c>
      <c r="H104">
        <v>11468</v>
      </c>
      <c r="I104">
        <v>8190</v>
      </c>
      <c r="J104">
        <v>5849</v>
      </c>
      <c r="K104">
        <v>4182</v>
      </c>
      <c r="L104">
        <v>4177</v>
      </c>
      <c r="M104">
        <v>4182</v>
      </c>
      <c r="N104">
        <v>2089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10426</v>
      </c>
      <c r="W104">
        <v>17867</v>
      </c>
      <c r="X104">
        <v>12760</v>
      </c>
      <c r="Y104">
        <v>9112</v>
      </c>
      <c r="Z104">
        <v>6515</v>
      </c>
    </row>
    <row r="105" spans="3:26" x14ac:dyDescent="0.3">
      <c r="C105" t="s">
        <v>194</v>
      </c>
      <c r="D105">
        <v>0</v>
      </c>
      <c r="E105">
        <v>0</v>
      </c>
      <c r="F105">
        <v>0</v>
      </c>
      <c r="G105">
        <v>6692</v>
      </c>
      <c r="H105">
        <v>11468</v>
      </c>
      <c r="I105">
        <v>8190</v>
      </c>
      <c r="J105">
        <v>5849</v>
      </c>
      <c r="K105">
        <v>4182</v>
      </c>
      <c r="L105">
        <v>4177</v>
      </c>
      <c r="M105">
        <v>4182</v>
      </c>
      <c r="N105">
        <v>2089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10426</v>
      </c>
      <c r="W105">
        <v>17867</v>
      </c>
      <c r="X105">
        <v>12760</v>
      </c>
      <c r="Y105">
        <v>9112</v>
      </c>
      <c r="Z105">
        <v>6515</v>
      </c>
    </row>
    <row r="106" spans="3:26" x14ac:dyDescent="0.3">
      <c r="C106" t="s">
        <v>195</v>
      </c>
      <c r="D106">
        <v>0</v>
      </c>
      <c r="E106">
        <v>0</v>
      </c>
      <c r="F106">
        <v>0</v>
      </c>
      <c r="G106">
        <v>6692</v>
      </c>
      <c r="H106">
        <v>11468</v>
      </c>
      <c r="I106">
        <v>8190</v>
      </c>
      <c r="J106">
        <v>5849</v>
      </c>
      <c r="K106">
        <v>4182</v>
      </c>
      <c r="L106">
        <v>4177</v>
      </c>
      <c r="M106">
        <v>4182</v>
      </c>
      <c r="N106">
        <v>2089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10426</v>
      </c>
      <c r="W106">
        <v>17867</v>
      </c>
      <c r="X106">
        <v>12760</v>
      </c>
      <c r="Y106">
        <v>9112</v>
      </c>
      <c r="Z106">
        <v>6515</v>
      </c>
    </row>
    <row r="107" spans="3:26" x14ac:dyDescent="0.3">
      <c r="C107" t="s">
        <v>196</v>
      </c>
      <c r="D107">
        <v>0</v>
      </c>
      <c r="E107">
        <v>0</v>
      </c>
      <c r="F107">
        <v>0</v>
      </c>
      <c r="G107">
        <v>6692</v>
      </c>
      <c r="H107">
        <v>11468</v>
      </c>
      <c r="I107">
        <v>8190</v>
      </c>
      <c r="J107">
        <v>5849</v>
      </c>
      <c r="K107">
        <v>4182</v>
      </c>
      <c r="L107">
        <v>4177</v>
      </c>
      <c r="M107">
        <v>4182</v>
      </c>
      <c r="N107">
        <v>2089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10426</v>
      </c>
      <c r="W107">
        <v>17867</v>
      </c>
      <c r="X107">
        <v>12760</v>
      </c>
      <c r="Y107">
        <v>9112</v>
      </c>
      <c r="Z107">
        <v>6515</v>
      </c>
    </row>
    <row r="108" spans="3:26" x14ac:dyDescent="0.3">
      <c r="C108" t="s">
        <v>197</v>
      </c>
      <c r="D108">
        <v>0</v>
      </c>
      <c r="E108">
        <v>0</v>
      </c>
      <c r="F108">
        <v>0</v>
      </c>
      <c r="G108">
        <v>6692</v>
      </c>
      <c r="H108">
        <v>11468</v>
      </c>
      <c r="I108">
        <v>8190</v>
      </c>
      <c r="J108">
        <v>5849</v>
      </c>
      <c r="K108">
        <v>4182</v>
      </c>
      <c r="L108">
        <v>4177</v>
      </c>
      <c r="M108">
        <v>4182</v>
      </c>
      <c r="N108">
        <v>2089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10426</v>
      </c>
      <c r="W108">
        <v>17867</v>
      </c>
      <c r="X108">
        <v>12760</v>
      </c>
      <c r="Y108">
        <v>9112</v>
      </c>
      <c r="Z108">
        <v>6515</v>
      </c>
    </row>
    <row r="109" spans="3:26" x14ac:dyDescent="0.3">
      <c r="C109" t="s">
        <v>198</v>
      </c>
      <c r="D109">
        <v>0</v>
      </c>
      <c r="E109">
        <v>0</v>
      </c>
      <c r="F109">
        <v>0</v>
      </c>
      <c r="G109">
        <v>6692</v>
      </c>
      <c r="H109">
        <v>11468</v>
      </c>
      <c r="I109">
        <v>8190</v>
      </c>
      <c r="J109">
        <v>5849</v>
      </c>
      <c r="K109">
        <v>4182</v>
      </c>
      <c r="L109">
        <v>4177</v>
      </c>
      <c r="M109">
        <v>4182</v>
      </c>
      <c r="N109">
        <v>2089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10426</v>
      </c>
      <c r="W109">
        <v>17867</v>
      </c>
      <c r="X109">
        <v>12760</v>
      </c>
      <c r="Y109">
        <v>9112</v>
      </c>
      <c r="Z109">
        <v>6515</v>
      </c>
    </row>
    <row r="110" spans="3:26" x14ac:dyDescent="0.3">
      <c r="C110" t="s">
        <v>199</v>
      </c>
      <c r="D110">
        <v>0</v>
      </c>
      <c r="E110">
        <v>0</v>
      </c>
      <c r="F110">
        <v>0</v>
      </c>
      <c r="G110">
        <v>6692</v>
      </c>
      <c r="H110">
        <v>11468</v>
      </c>
      <c r="I110">
        <v>8190</v>
      </c>
      <c r="J110">
        <v>5849</v>
      </c>
      <c r="K110">
        <v>4182</v>
      </c>
      <c r="L110">
        <v>4177</v>
      </c>
      <c r="M110">
        <v>4182</v>
      </c>
      <c r="N110">
        <v>2089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10426</v>
      </c>
      <c r="W110">
        <v>17867</v>
      </c>
      <c r="X110">
        <v>12760</v>
      </c>
      <c r="Y110">
        <v>9112</v>
      </c>
      <c r="Z110">
        <v>6515</v>
      </c>
    </row>
    <row r="111" spans="3:26" x14ac:dyDescent="0.3">
      <c r="C111" t="s">
        <v>200</v>
      </c>
      <c r="D111">
        <v>0</v>
      </c>
      <c r="E111">
        <v>0</v>
      </c>
      <c r="F111">
        <v>0</v>
      </c>
      <c r="G111">
        <v>6692</v>
      </c>
      <c r="H111">
        <v>11468</v>
      </c>
      <c r="I111">
        <v>8190</v>
      </c>
      <c r="J111">
        <v>5849</v>
      </c>
      <c r="K111">
        <v>4182</v>
      </c>
      <c r="L111">
        <v>4177</v>
      </c>
      <c r="M111">
        <v>4182</v>
      </c>
      <c r="N111">
        <v>2089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10426</v>
      </c>
      <c r="W111">
        <v>17867</v>
      </c>
      <c r="X111">
        <v>12760</v>
      </c>
      <c r="Y111">
        <v>9112</v>
      </c>
      <c r="Z111">
        <v>6515</v>
      </c>
    </row>
    <row r="112" spans="3:26" x14ac:dyDescent="0.3">
      <c r="C112" t="s">
        <v>201</v>
      </c>
      <c r="D112">
        <v>0</v>
      </c>
      <c r="E112">
        <v>0</v>
      </c>
      <c r="F112">
        <v>0</v>
      </c>
      <c r="G112">
        <v>6692</v>
      </c>
      <c r="H112">
        <v>11468</v>
      </c>
      <c r="I112">
        <v>8190</v>
      </c>
      <c r="J112">
        <v>5849</v>
      </c>
      <c r="K112">
        <v>4182</v>
      </c>
      <c r="L112">
        <v>4177</v>
      </c>
      <c r="M112">
        <v>4182</v>
      </c>
      <c r="N112">
        <v>2089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10426</v>
      </c>
      <c r="W112">
        <v>17867</v>
      </c>
      <c r="X112">
        <v>12760</v>
      </c>
      <c r="Y112">
        <v>9112</v>
      </c>
      <c r="Z112">
        <v>6515</v>
      </c>
    </row>
    <row r="113" spans="3:26" x14ac:dyDescent="0.3">
      <c r="C113" t="s">
        <v>202</v>
      </c>
      <c r="D113">
        <v>0</v>
      </c>
      <c r="E113">
        <v>0</v>
      </c>
      <c r="F113">
        <v>0</v>
      </c>
      <c r="G113">
        <v>6692</v>
      </c>
      <c r="H113">
        <v>11468</v>
      </c>
      <c r="I113">
        <v>8190</v>
      </c>
      <c r="J113">
        <v>5849</v>
      </c>
      <c r="K113">
        <v>4182</v>
      </c>
      <c r="L113">
        <v>4177</v>
      </c>
      <c r="M113">
        <v>4182</v>
      </c>
      <c r="N113">
        <v>2089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10426</v>
      </c>
      <c r="W113">
        <v>17867</v>
      </c>
      <c r="X113">
        <v>12760</v>
      </c>
      <c r="Y113">
        <v>9112</v>
      </c>
      <c r="Z113">
        <v>6515</v>
      </c>
    </row>
    <row r="114" spans="3:26" x14ac:dyDescent="0.3">
      <c r="C114" t="s">
        <v>203</v>
      </c>
      <c r="D114">
        <v>0</v>
      </c>
      <c r="E114">
        <v>0</v>
      </c>
      <c r="F114">
        <v>0</v>
      </c>
      <c r="G114">
        <v>6692</v>
      </c>
      <c r="H114">
        <v>11468</v>
      </c>
      <c r="I114">
        <v>8190</v>
      </c>
      <c r="J114">
        <v>5849</v>
      </c>
      <c r="K114">
        <v>4182</v>
      </c>
      <c r="L114">
        <v>4177</v>
      </c>
      <c r="M114">
        <v>4182</v>
      </c>
      <c r="N114">
        <v>2089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10426</v>
      </c>
      <c r="W114">
        <v>17867</v>
      </c>
      <c r="X114">
        <v>12760</v>
      </c>
      <c r="Y114">
        <v>9112</v>
      </c>
      <c r="Z114">
        <v>6515</v>
      </c>
    </row>
    <row r="115" spans="3:26" x14ac:dyDescent="0.3">
      <c r="C115" t="s">
        <v>204</v>
      </c>
      <c r="D115">
        <v>0</v>
      </c>
      <c r="E115">
        <v>0</v>
      </c>
      <c r="F115">
        <v>0</v>
      </c>
      <c r="G115">
        <v>10553</v>
      </c>
      <c r="H115">
        <v>18086</v>
      </c>
      <c r="I115">
        <v>12917</v>
      </c>
      <c r="J115">
        <v>9224</v>
      </c>
      <c r="K115">
        <v>6595</v>
      </c>
      <c r="L115">
        <v>6588</v>
      </c>
      <c r="M115">
        <v>6595</v>
      </c>
      <c r="N115">
        <v>3294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16442</v>
      </c>
      <c r="W115">
        <v>28178</v>
      </c>
      <c r="X115">
        <v>20124</v>
      </c>
      <c r="Y115">
        <v>14371</v>
      </c>
      <c r="Z115">
        <v>10275</v>
      </c>
    </row>
    <row r="116" spans="3:26" x14ac:dyDescent="0.3">
      <c r="C116" t="s">
        <v>205</v>
      </c>
      <c r="D116">
        <v>0</v>
      </c>
      <c r="E116">
        <v>0</v>
      </c>
      <c r="F116">
        <v>0</v>
      </c>
      <c r="G116">
        <v>72816</v>
      </c>
      <c r="H116">
        <v>138350</v>
      </c>
      <c r="I116">
        <v>124515</v>
      </c>
      <c r="J116">
        <v>112136</v>
      </c>
      <c r="K116">
        <v>100922</v>
      </c>
      <c r="L116">
        <v>90728</v>
      </c>
      <c r="M116">
        <v>85922</v>
      </c>
      <c r="N116">
        <v>85922</v>
      </c>
      <c r="O116">
        <v>86068</v>
      </c>
      <c r="P116">
        <v>85922</v>
      </c>
      <c r="Q116">
        <v>86068</v>
      </c>
      <c r="R116">
        <v>85922</v>
      </c>
      <c r="S116">
        <v>86068</v>
      </c>
      <c r="T116">
        <v>85922</v>
      </c>
      <c r="U116">
        <v>86068</v>
      </c>
      <c r="V116">
        <v>42961</v>
      </c>
      <c r="W116">
        <v>0</v>
      </c>
      <c r="X116">
        <v>0</v>
      </c>
      <c r="Y116">
        <v>0</v>
      </c>
      <c r="Z116">
        <v>0</v>
      </c>
    </row>
    <row r="117" spans="3:26" x14ac:dyDescent="0.3">
      <c r="C117" t="s">
        <v>206</v>
      </c>
      <c r="D117">
        <v>0</v>
      </c>
      <c r="E117">
        <v>0</v>
      </c>
      <c r="F117">
        <v>0</v>
      </c>
      <c r="G117">
        <v>6070</v>
      </c>
      <c r="H117">
        <v>10402</v>
      </c>
      <c r="I117">
        <v>7429</v>
      </c>
      <c r="J117">
        <v>5305</v>
      </c>
      <c r="K117">
        <v>3793</v>
      </c>
      <c r="L117">
        <v>3789</v>
      </c>
      <c r="M117">
        <v>3793</v>
      </c>
      <c r="N117">
        <v>1894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9457</v>
      </c>
      <c r="W117">
        <v>16206</v>
      </c>
      <c r="X117">
        <v>11574</v>
      </c>
      <c r="Y117">
        <v>8265</v>
      </c>
      <c r="Z117">
        <v>5909</v>
      </c>
    </row>
    <row r="118" spans="3:26" x14ac:dyDescent="0.3">
      <c r="C118" t="s">
        <v>207</v>
      </c>
      <c r="D118">
        <v>0</v>
      </c>
      <c r="E118">
        <v>0</v>
      </c>
      <c r="F118">
        <v>0</v>
      </c>
      <c r="G118">
        <v>780</v>
      </c>
      <c r="H118">
        <v>1337</v>
      </c>
      <c r="I118">
        <v>955</v>
      </c>
      <c r="J118">
        <v>682</v>
      </c>
      <c r="K118">
        <v>488</v>
      </c>
      <c r="L118">
        <v>487</v>
      </c>
      <c r="M118">
        <v>488</v>
      </c>
      <c r="N118">
        <v>244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1216</v>
      </c>
      <c r="W118">
        <v>2084</v>
      </c>
      <c r="X118">
        <v>1488</v>
      </c>
      <c r="Y118">
        <v>1063</v>
      </c>
      <c r="Z118">
        <v>760</v>
      </c>
    </row>
    <row r="119" spans="3:26" x14ac:dyDescent="0.3">
      <c r="C119" t="s">
        <v>208</v>
      </c>
      <c r="D119">
        <v>0</v>
      </c>
      <c r="E119">
        <v>0</v>
      </c>
      <c r="F119">
        <v>0</v>
      </c>
      <c r="G119">
        <v>780</v>
      </c>
      <c r="H119">
        <v>1337</v>
      </c>
      <c r="I119">
        <v>955</v>
      </c>
      <c r="J119">
        <v>682</v>
      </c>
      <c r="K119">
        <v>488</v>
      </c>
      <c r="L119">
        <v>487</v>
      </c>
      <c r="M119">
        <v>488</v>
      </c>
      <c r="N119">
        <v>244</v>
      </c>
      <c r="O119">
        <v>0</v>
      </c>
      <c r="P119">
        <v>0</v>
      </c>
      <c r="Q119">
        <v>0</v>
      </c>
      <c r="R119">
        <v>0</v>
      </c>
      <c r="S119">
        <v>1113</v>
      </c>
      <c r="T119">
        <v>1907</v>
      </c>
      <c r="U119">
        <v>1362</v>
      </c>
      <c r="V119">
        <v>973</v>
      </c>
      <c r="W119">
        <v>695</v>
      </c>
      <c r="X119">
        <v>695</v>
      </c>
      <c r="Y119">
        <v>695</v>
      </c>
      <c r="Z119">
        <v>347</v>
      </c>
    </row>
    <row r="120" spans="3:26" x14ac:dyDescent="0.3">
      <c r="C120" t="s">
        <v>209</v>
      </c>
      <c r="D120">
        <v>0</v>
      </c>
      <c r="E120">
        <v>0</v>
      </c>
      <c r="F120">
        <v>0</v>
      </c>
      <c r="G120">
        <v>103686</v>
      </c>
      <c r="H120">
        <v>197003</v>
      </c>
      <c r="I120">
        <v>177302</v>
      </c>
      <c r="J120">
        <v>159676</v>
      </c>
      <c r="K120">
        <v>143708</v>
      </c>
      <c r="L120">
        <v>129192</v>
      </c>
      <c r="M120">
        <v>122349</v>
      </c>
      <c r="N120">
        <v>122349</v>
      </c>
      <c r="O120">
        <v>122556</v>
      </c>
      <c r="P120">
        <v>122349</v>
      </c>
      <c r="Q120">
        <v>122556</v>
      </c>
      <c r="R120">
        <v>122349</v>
      </c>
      <c r="S120">
        <v>122556</v>
      </c>
      <c r="T120">
        <v>122349</v>
      </c>
      <c r="U120">
        <v>122556</v>
      </c>
      <c r="V120">
        <v>61174</v>
      </c>
      <c r="W120">
        <v>0</v>
      </c>
      <c r="X120">
        <v>0</v>
      </c>
      <c r="Y120">
        <v>0</v>
      </c>
      <c r="Z120">
        <v>187268</v>
      </c>
    </row>
    <row r="121" spans="3:26" x14ac:dyDescent="0.3">
      <c r="C121" t="s">
        <v>221</v>
      </c>
      <c r="D121">
        <v>0</v>
      </c>
      <c r="E121">
        <v>0</v>
      </c>
      <c r="F121">
        <v>0</v>
      </c>
      <c r="G121">
        <v>69796</v>
      </c>
      <c r="H121">
        <v>132612</v>
      </c>
      <c r="I121">
        <v>119351</v>
      </c>
      <c r="J121">
        <v>107486</v>
      </c>
      <c r="K121">
        <v>96737</v>
      </c>
      <c r="L121">
        <v>86966</v>
      </c>
      <c r="M121">
        <v>82359</v>
      </c>
      <c r="N121">
        <v>82359</v>
      </c>
      <c r="O121">
        <v>82499</v>
      </c>
      <c r="P121">
        <v>82359</v>
      </c>
      <c r="Q121">
        <v>82499</v>
      </c>
      <c r="R121">
        <v>82359</v>
      </c>
      <c r="S121">
        <v>82499</v>
      </c>
      <c r="T121">
        <v>82359</v>
      </c>
      <c r="U121">
        <v>82499</v>
      </c>
      <c r="V121">
        <v>41180</v>
      </c>
      <c r="W121">
        <v>0</v>
      </c>
      <c r="X121">
        <v>0</v>
      </c>
      <c r="Y121">
        <v>0</v>
      </c>
      <c r="Z121">
        <v>0</v>
      </c>
    </row>
    <row r="122" spans="3:26" x14ac:dyDescent="0.3">
      <c r="C122" t="s">
        <v>222</v>
      </c>
      <c r="D122">
        <v>0</v>
      </c>
      <c r="E122">
        <v>0</v>
      </c>
      <c r="F122">
        <v>0</v>
      </c>
      <c r="G122">
        <v>18118</v>
      </c>
      <c r="H122">
        <v>34424</v>
      </c>
      <c r="I122">
        <v>30981</v>
      </c>
      <c r="J122">
        <v>27901</v>
      </c>
      <c r="K122">
        <v>25111</v>
      </c>
      <c r="L122">
        <v>22575</v>
      </c>
      <c r="M122">
        <v>21379</v>
      </c>
      <c r="N122">
        <v>21379</v>
      </c>
      <c r="O122">
        <v>21415</v>
      </c>
      <c r="P122">
        <v>21379</v>
      </c>
      <c r="Q122">
        <v>21415</v>
      </c>
      <c r="R122">
        <v>21379</v>
      </c>
      <c r="S122">
        <v>21415</v>
      </c>
      <c r="T122">
        <v>21379</v>
      </c>
      <c r="U122">
        <v>21415</v>
      </c>
      <c r="V122">
        <v>10689</v>
      </c>
      <c r="W122">
        <v>0</v>
      </c>
      <c r="X122">
        <v>0</v>
      </c>
      <c r="Y122">
        <v>0</v>
      </c>
      <c r="Z122">
        <v>0</v>
      </c>
    </row>
    <row r="123" spans="3:26" x14ac:dyDescent="0.3">
      <c r="C123" t="s">
        <v>226</v>
      </c>
      <c r="D123">
        <v>0</v>
      </c>
      <c r="E123">
        <v>0</v>
      </c>
      <c r="F123">
        <v>0</v>
      </c>
      <c r="G123">
        <v>99891</v>
      </c>
      <c r="H123">
        <v>171192</v>
      </c>
      <c r="I123">
        <v>122260</v>
      </c>
      <c r="J123">
        <v>87309</v>
      </c>
      <c r="K123">
        <v>62423</v>
      </c>
      <c r="L123">
        <v>62353</v>
      </c>
      <c r="M123">
        <v>62423</v>
      </c>
      <c r="N123">
        <v>31177</v>
      </c>
      <c r="O123">
        <v>0</v>
      </c>
      <c r="P123">
        <v>0</v>
      </c>
      <c r="Q123">
        <v>134246</v>
      </c>
      <c r="R123">
        <v>230068</v>
      </c>
      <c r="S123">
        <v>164307</v>
      </c>
      <c r="T123">
        <v>117336</v>
      </c>
      <c r="U123">
        <v>83892</v>
      </c>
      <c r="V123">
        <v>83798</v>
      </c>
      <c r="W123">
        <v>83892</v>
      </c>
      <c r="X123">
        <v>41899</v>
      </c>
      <c r="Y123">
        <v>0</v>
      </c>
      <c r="Z123">
        <v>0</v>
      </c>
    </row>
    <row r="124" spans="3:26" x14ac:dyDescent="0.3">
      <c r="C124" t="s">
        <v>227</v>
      </c>
      <c r="D124">
        <v>0</v>
      </c>
      <c r="E124">
        <v>0</v>
      </c>
      <c r="F124">
        <v>0</v>
      </c>
      <c r="G124">
        <v>5244</v>
      </c>
      <c r="H124">
        <v>8988</v>
      </c>
      <c r="I124">
        <v>6419</v>
      </c>
      <c r="J124">
        <v>4584</v>
      </c>
      <c r="K124">
        <v>3277</v>
      </c>
      <c r="L124">
        <v>3274</v>
      </c>
      <c r="M124">
        <v>3277</v>
      </c>
      <c r="N124">
        <v>1637</v>
      </c>
      <c r="O124">
        <v>0</v>
      </c>
      <c r="P124">
        <v>0</v>
      </c>
      <c r="Q124">
        <v>7048</v>
      </c>
      <c r="R124">
        <v>12079</v>
      </c>
      <c r="S124">
        <v>8626</v>
      </c>
      <c r="T124">
        <v>6160</v>
      </c>
      <c r="U124">
        <v>4404</v>
      </c>
      <c r="V124">
        <v>4399</v>
      </c>
      <c r="W124">
        <v>4404</v>
      </c>
      <c r="X124">
        <v>2200</v>
      </c>
      <c r="Y124">
        <v>0</v>
      </c>
      <c r="Z124">
        <v>0</v>
      </c>
    </row>
    <row r="125" spans="3:26" x14ac:dyDescent="0.3">
      <c r="C125" t="s">
        <v>228</v>
      </c>
      <c r="D125">
        <v>0</v>
      </c>
      <c r="E125">
        <v>0</v>
      </c>
      <c r="F125">
        <v>0</v>
      </c>
      <c r="G125">
        <v>888</v>
      </c>
      <c r="H125">
        <v>1522</v>
      </c>
      <c r="I125">
        <v>1087</v>
      </c>
      <c r="J125">
        <v>776</v>
      </c>
      <c r="K125">
        <v>555</v>
      </c>
      <c r="L125">
        <v>554</v>
      </c>
      <c r="M125">
        <v>555</v>
      </c>
      <c r="N125">
        <v>277</v>
      </c>
      <c r="O125">
        <v>0</v>
      </c>
      <c r="P125">
        <v>0</v>
      </c>
      <c r="Q125">
        <v>1193</v>
      </c>
      <c r="R125">
        <v>2045</v>
      </c>
      <c r="S125">
        <v>1461</v>
      </c>
      <c r="T125">
        <v>1043</v>
      </c>
      <c r="U125">
        <v>746</v>
      </c>
      <c r="V125">
        <v>745</v>
      </c>
      <c r="W125">
        <v>746</v>
      </c>
      <c r="X125">
        <v>372</v>
      </c>
      <c r="Y125">
        <v>0</v>
      </c>
      <c r="Z125">
        <v>0</v>
      </c>
    </row>
    <row r="126" spans="3:26" x14ac:dyDescent="0.3">
      <c r="C126" t="s">
        <v>229</v>
      </c>
      <c r="D126">
        <v>0</v>
      </c>
      <c r="E126">
        <v>0</v>
      </c>
      <c r="F126">
        <v>0</v>
      </c>
      <c r="G126">
        <v>4370</v>
      </c>
      <c r="H126">
        <v>7490</v>
      </c>
      <c r="I126">
        <v>5349</v>
      </c>
      <c r="J126">
        <v>3820</v>
      </c>
      <c r="K126">
        <v>2731</v>
      </c>
      <c r="L126">
        <v>2728</v>
      </c>
      <c r="M126">
        <v>2731</v>
      </c>
      <c r="N126">
        <v>1364</v>
      </c>
      <c r="O126">
        <v>0</v>
      </c>
      <c r="P126">
        <v>0</v>
      </c>
      <c r="Q126">
        <v>5873</v>
      </c>
      <c r="R126">
        <v>10065</v>
      </c>
      <c r="S126">
        <v>7188</v>
      </c>
      <c r="T126">
        <v>5133</v>
      </c>
      <c r="U126">
        <v>3670</v>
      </c>
      <c r="V126">
        <v>3666</v>
      </c>
      <c r="W126">
        <v>3670</v>
      </c>
      <c r="X126">
        <v>1833</v>
      </c>
      <c r="Y126">
        <v>0</v>
      </c>
      <c r="Z126">
        <v>0</v>
      </c>
    </row>
    <row r="127" spans="3:26" x14ac:dyDescent="0.3">
      <c r="C127" t="s">
        <v>230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3:26" x14ac:dyDescent="0.3">
      <c r="C128" t="s">
        <v>231</v>
      </c>
      <c r="D128">
        <v>0</v>
      </c>
      <c r="E128">
        <v>0</v>
      </c>
      <c r="F128">
        <v>0</v>
      </c>
      <c r="G128">
        <v>5272</v>
      </c>
      <c r="H128">
        <v>9035</v>
      </c>
      <c r="I128">
        <v>6453</v>
      </c>
      <c r="J128">
        <v>4608</v>
      </c>
      <c r="K128">
        <v>3295</v>
      </c>
      <c r="L128">
        <v>3291</v>
      </c>
      <c r="M128">
        <v>3295</v>
      </c>
      <c r="N128">
        <v>1645</v>
      </c>
      <c r="O128">
        <v>0</v>
      </c>
      <c r="P128">
        <v>0</v>
      </c>
      <c r="Q128">
        <v>7085</v>
      </c>
      <c r="R128">
        <v>12142</v>
      </c>
      <c r="S128">
        <v>8672</v>
      </c>
      <c r="T128">
        <v>6193</v>
      </c>
      <c r="U128">
        <v>4428</v>
      </c>
      <c r="V128">
        <v>4423</v>
      </c>
      <c r="W128">
        <v>4428</v>
      </c>
      <c r="X128">
        <v>2211</v>
      </c>
      <c r="Y128">
        <v>0</v>
      </c>
      <c r="Z128">
        <v>0</v>
      </c>
    </row>
    <row r="129" spans="3:26" x14ac:dyDescent="0.3">
      <c r="C129" t="s">
        <v>232</v>
      </c>
      <c r="D129">
        <v>0</v>
      </c>
      <c r="E129">
        <v>0</v>
      </c>
      <c r="F129">
        <v>0</v>
      </c>
      <c r="G129">
        <v>5550</v>
      </c>
      <c r="H129">
        <v>9511</v>
      </c>
      <c r="I129">
        <v>6792</v>
      </c>
      <c r="J129">
        <v>4850</v>
      </c>
      <c r="K129">
        <v>3468</v>
      </c>
      <c r="L129">
        <v>3464</v>
      </c>
      <c r="M129">
        <v>3468</v>
      </c>
      <c r="N129">
        <v>1732</v>
      </c>
      <c r="O129">
        <v>0</v>
      </c>
      <c r="P129">
        <v>0</v>
      </c>
      <c r="Q129">
        <v>7458</v>
      </c>
      <c r="R129">
        <v>12782</v>
      </c>
      <c r="S129">
        <v>9128</v>
      </c>
      <c r="T129">
        <v>6519</v>
      </c>
      <c r="U129">
        <v>4661</v>
      </c>
      <c r="V129">
        <v>4655</v>
      </c>
      <c r="W129">
        <v>4661</v>
      </c>
      <c r="X129">
        <v>2328</v>
      </c>
      <c r="Y129">
        <v>0</v>
      </c>
      <c r="Z129">
        <v>0</v>
      </c>
    </row>
    <row r="130" spans="3:26" x14ac:dyDescent="0.3">
      <c r="C130" t="s">
        <v>233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3:26" x14ac:dyDescent="0.3">
      <c r="C131" t="s">
        <v>234</v>
      </c>
      <c r="D131">
        <v>0</v>
      </c>
      <c r="E131">
        <v>0</v>
      </c>
      <c r="F131">
        <v>0</v>
      </c>
      <c r="G131">
        <v>7769</v>
      </c>
      <c r="H131">
        <v>13315</v>
      </c>
      <c r="I131">
        <v>9509</v>
      </c>
      <c r="J131">
        <v>6791</v>
      </c>
      <c r="K131">
        <v>4855</v>
      </c>
      <c r="L131">
        <v>4850</v>
      </c>
      <c r="M131">
        <v>4855</v>
      </c>
      <c r="N131">
        <v>2425</v>
      </c>
      <c r="O131">
        <v>0</v>
      </c>
      <c r="P131">
        <v>0</v>
      </c>
      <c r="Q131">
        <v>10441</v>
      </c>
      <c r="R131">
        <v>17894</v>
      </c>
      <c r="S131">
        <v>12779</v>
      </c>
      <c r="T131">
        <v>9126</v>
      </c>
      <c r="U131">
        <v>6525</v>
      </c>
      <c r="V131">
        <v>6518</v>
      </c>
      <c r="W131">
        <v>6525</v>
      </c>
      <c r="X131">
        <v>3259</v>
      </c>
      <c r="Y131">
        <v>0</v>
      </c>
      <c r="Z131">
        <v>0</v>
      </c>
    </row>
    <row r="132" spans="3:26" x14ac:dyDescent="0.3">
      <c r="C132" t="s">
        <v>235</v>
      </c>
      <c r="D132">
        <v>0</v>
      </c>
      <c r="E132">
        <v>0</v>
      </c>
      <c r="F132">
        <v>0</v>
      </c>
      <c r="G132">
        <v>44951</v>
      </c>
      <c r="H132">
        <v>77037</v>
      </c>
      <c r="I132">
        <v>55017</v>
      </c>
      <c r="J132">
        <v>39289</v>
      </c>
      <c r="K132">
        <v>28090</v>
      </c>
      <c r="L132">
        <v>28059</v>
      </c>
      <c r="M132">
        <v>28090</v>
      </c>
      <c r="N132">
        <v>14030</v>
      </c>
      <c r="O132">
        <v>0</v>
      </c>
      <c r="P132">
        <v>0</v>
      </c>
      <c r="Q132">
        <v>60410</v>
      </c>
      <c r="R132">
        <v>103531</v>
      </c>
      <c r="S132">
        <v>73938</v>
      </c>
      <c r="T132">
        <v>52801</v>
      </c>
      <c r="U132">
        <v>37751</v>
      </c>
      <c r="V132">
        <v>37709</v>
      </c>
      <c r="W132">
        <v>37751</v>
      </c>
      <c r="X132">
        <v>18854</v>
      </c>
      <c r="Y132">
        <v>0</v>
      </c>
      <c r="Z132">
        <v>0</v>
      </c>
    </row>
    <row r="133" spans="3:26" x14ac:dyDescent="0.3">
      <c r="C133" t="s">
        <v>236</v>
      </c>
      <c r="D133">
        <v>0</v>
      </c>
      <c r="E133">
        <v>0</v>
      </c>
      <c r="F133">
        <v>0</v>
      </c>
      <c r="G133">
        <v>9989</v>
      </c>
      <c r="H133">
        <v>17119</v>
      </c>
      <c r="I133">
        <v>12226</v>
      </c>
      <c r="J133">
        <v>8731</v>
      </c>
      <c r="K133">
        <v>6242</v>
      </c>
      <c r="L133">
        <v>6235</v>
      </c>
      <c r="M133">
        <v>6242</v>
      </c>
      <c r="N133">
        <v>3118</v>
      </c>
      <c r="O133">
        <v>0</v>
      </c>
      <c r="P133">
        <v>0</v>
      </c>
      <c r="Q133">
        <v>13425</v>
      </c>
      <c r="R133">
        <v>23007</v>
      </c>
      <c r="S133">
        <v>16431</v>
      </c>
      <c r="T133">
        <v>11734</v>
      </c>
      <c r="U133">
        <v>8389</v>
      </c>
      <c r="V133">
        <v>8380</v>
      </c>
      <c r="W133">
        <v>8389</v>
      </c>
      <c r="X133">
        <v>4190</v>
      </c>
      <c r="Y133">
        <v>0</v>
      </c>
      <c r="Z133">
        <v>0</v>
      </c>
    </row>
    <row r="134" spans="3:26" x14ac:dyDescent="0.3">
      <c r="C134" t="s">
        <v>237</v>
      </c>
      <c r="D134">
        <v>0</v>
      </c>
      <c r="E134">
        <v>0</v>
      </c>
      <c r="F134">
        <v>0</v>
      </c>
      <c r="G134">
        <v>25250</v>
      </c>
      <c r="H134">
        <v>43274</v>
      </c>
      <c r="I134">
        <v>30905</v>
      </c>
      <c r="J134">
        <v>22070</v>
      </c>
      <c r="K134">
        <v>15779</v>
      </c>
      <c r="L134">
        <v>15762</v>
      </c>
      <c r="M134">
        <v>15779</v>
      </c>
      <c r="N134">
        <v>7881</v>
      </c>
      <c r="O134">
        <v>0</v>
      </c>
      <c r="P134">
        <v>0</v>
      </c>
      <c r="Q134">
        <v>33934</v>
      </c>
      <c r="R134">
        <v>58156</v>
      </c>
      <c r="S134">
        <v>41533</v>
      </c>
      <c r="T134">
        <v>29660</v>
      </c>
      <c r="U134">
        <v>21206</v>
      </c>
      <c r="V134">
        <v>21182</v>
      </c>
      <c r="W134">
        <v>21206</v>
      </c>
      <c r="X134">
        <v>10591</v>
      </c>
      <c r="Y134">
        <v>0</v>
      </c>
      <c r="Z134">
        <v>0</v>
      </c>
    </row>
    <row r="135" spans="3:26" x14ac:dyDescent="0.3">
      <c r="C135" t="s">
        <v>238</v>
      </c>
      <c r="D135">
        <v>0</v>
      </c>
      <c r="E135">
        <v>0</v>
      </c>
      <c r="F135">
        <v>0</v>
      </c>
      <c r="G135">
        <v>555</v>
      </c>
      <c r="H135">
        <v>951</v>
      </c>
      <c r="I135">
        <v>679</v>
      </c>
      <c r="J135">
        <v>485</v>
      </c>
      <c r="K135">
        <v>347</v>
      </c>
      <c r="L135">
        <v>346</v>
      </c>
      <c r="M135">
        <v>347</v>
      </c>
      <c r="N135">
        <v>173</v>
      </c>
      <c r="O135">
        <v>0</v>
      </c>
      <c r="P135">
        <v>0</v>
      </c>
      <c r="Q135">
        <v>746</v>
      </c>
      <c r="R135">
        <v>1278</v>
      </c>
      <c r="S135">
        <v>913</v>
      </c>
      <c r="T135">
        <v>652</v>
      </c>
      <c r="U135">
        <v>466</v>
      </c>
      <c r="V135">
        <v>466</v>
      </c>
      <c r="W135">
        <v>466</v>
      </c>
      <c r="X135">
        <v>233</v>
      </c>
      <c r="Y135">
        <v>0</v>
      </c>
      <c r="Z135">
        <v>0</v>
      </c>
    </row>
  </sheetData>
  <hyperlinks>
    <hyperlink ref="B2" location="'Home Sheet'!B2" display="BACK TO HOME SHEET" xr:uid="{DA20A188-FC85-4985-85F1-17A7BF292C35}"/>
  </hyperlinks>
  <pageMargins left="0.75" right="0.75" top="1" bottom="1" header="0.5" footer="0.5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B2:I27"/>
  <sheetViews>
    <sheetView workbookViewId="0">
      <selection activeCell="B2" sqref="B2"/>
    </sheetView>
  </sheetViews>
  <sheetFormatPr defaultRowHeight="14.4" x14ac:dyDescent="0.3"/>
  <cols>
    <col min="2" max="2" width="19.5546875" bestFit="1" customWidth="1"/>
    <col min="3" max="3" width="8.33203125" customWidth="1"/>
    <col min="4" max="4" width="15.77734375" customWidth="1"/>
    <col min="5" max="5" width="23.44140625" customWidth="1"/>
    <col min="6" max="6" width="22.6640625" customWidth="1"/>
    <col min="7" max="7" width="33.44140625" customWidth="1"/>
    <col min="8" max="8" width="32.6640625" customWidth="1"/>
    <col min="9" max="9" width="22.44140625" customWidth="1"/>
  </cols>
  <sheetData>
    <row r="2" spans="2:9" x14ac:dyDescent="0.3">
      <c r="B2" s="2" t="s">
        <v>372</v>
      </c>
    </row>
    <row r="3" spans="2:9" x14ac:dyDescent="0.3">
      <c r="C3" s="3" t="s">
        <v>338</v>
      </c>
      <c r="D3" s="3" t="s">
        <v>339</v>
      </c>
      <c r="E3" s="3" t="s">
        <v>340</v>
      </c>
      <c r="F3" s="3" t="s">
        <v>341</v>
      </c>
      <c r="G3" s="3" t="s">
        <v>342</v>
      </c>
      <c r="H3" s="3" t="s">
        <v>343</v>
      </c>
      <c r="I3" s="3" t="s">
        <v>344</v>
      </c>
    </row>
    <row r="4" spans="2:9" x14ac:dyDescent="0.3">
      <c r="C4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14471209.582291869</v>
      </c>
    </row>
    <row r="5" spans="2:9" x14ac:dyDescent="0.3">
      <c r="C5">
        <v>1</v>
      </c>
      <c r="D5" s="8">
        <v>1452503.173928631</v>
      </c>
      <c r="E5" s="8">
        <v>222450.3594338219</v>
      </c>
      <c r="F5" s="8">
        <v>1230052.8144948089</v>
      </c>
      <c r="G5" s="8">
        <v>222450.3594338219</v>
      </c>
      <c r="H5" s="8">
        <v>1230052.8144948089</v>
      </c>
      <c r="I5" s="8">
        <v>14248759.222858051</v>
      </c>
    </row>
    <row r="6" spans="2:9" x14ac:dyDescent="0.3">
      <c r="C6">
        <v>2</v>
      </c>
      <c r="D6" s="8">
        <v>1452503.173928631</v>
      </c>
      <c r="E6" s="8">
        <v>241358.63998569659</v>
      </c>
      <c r="F6" s="8">
        <v>1211144.5339429339</v>
      </c>
      <c r="G6" s="8">
        <v>463808.99941951851</v>
      </c>
      <c r="H6" s="8">
        <v>2441197.3484377428</v>
      </c>
      <c r="I6" s="8">
        <v>14007400.58287235</v>
      </c>
    </row>
    <row r="7" spans="2:9" x14ac:dyDescent="0.3">
      <c r="C7">
        <v>3</v>
      </c>
      <c r="D7" s="8">
        <v>1452503.173928631</v>
      </c>
      <c r="E7" s="8">
        <v>261874.12438448099</v>
      </c>
      <c r="F7" s="8">
        <v>1190629.04954415</v>
      </c>
      <c r="G7" s="8">
        <v>725683.12380399951</v>
      </c>
      <c r="H7" s="8">
        <v>3631826.3979818928</v>
      </c>
      <c r="I7" s="8">
        <v>13745526.45848787</v>
      </c>
    </row>
    <row r="8" spans="2:9" x14ac:dyDescent="0.3">
      <c r="C8">
        <v>4</v>
      </c>
      <c r="D8" s="8">
        <v>1452503.173928631</v>
      </c>
      <c r="E8" s="8">
        <v>284133.42495716183</v>
      </c>
      <c r="F8" s="8">
        <v>1168369.748971469</v>
      </c>
      <c r="G8" s="8">
        <v>1009816.548761161</v>
      </c>
      <c r="H8" s="8">
        <v>4800196.146953362</v>
      </c>
      <c r="I8" s="8">
        <v>13461393.03353071</v>
      </c>
    </row>
    <row r="9" spans="2:9" x14ac:dyDescent="0.3">
      <c r="C9">
        <v>5</v>
      </c>
      <c r="D9" s="8">
        <v>1452503.173928631</v>
      </c>
      <c r="E9" s="8">
        <v>308284.76607852062</v>
      </c>
      <c r="F9" s="8">
        <v>1144218.40785011</v>
      </c>
      <c r="G9" s="8">
        <v>1318101.3148396821</v>
      </c>
      <c r="H9" s="8">
        <v>5944414.554803472</v>
      </c>
      <c r="I9" s="8">
        <v>13153108.26745219</v>
      </c>
    </row>
    <row r="10" spans="2:9" x14ac:dyDescent="0.3">
      <c r="C10">
        <v>6</v>
      </c>
      <c r="D10" s="8">
        <v>1452503.173928631</v>
      </c>
      <c r="E10" s="8">
        <v>334488.97119519493</v>
      </c>
      <c r="F10" s="8">
        <v>1118014.2027334359</v>
      </c>
      <c r="G10" s="8">
        <v>1652590.2860348769</v>
      </c>
      <c r="H10" s="8">
        <v>7062428.7575369077</v>
      </c>
      <c r="I10" s="8">
        <v>12818619.296256989</v>
      </c>
    </row>
    <row r="11" spans="2:9" x14ac:dyDescent="0.3">
      <c r="C11">
        <v>7</v>
      </c>
      <c r="D11" s="8">
        <v>1452503.173928631</v>
      </c>
      <c r="E11" s="8">
        <v>362920.53374678642</v>
      </c>
      <c r="F11" s="8">
        <v>1089582.6401818439</v>
      </c>
      <c r="G11" s="8">
        <v>2015510.8197816629</v>
      </c>
      <c r="H11" s="8">
        <v>8152011.3977187518</v>
      </c>
      <c r="I11" s="8">
        <v>12455698.762510199</v>
      </c>
    </row>
    <row r="12" spans="2:9" x14ac:dyDescent="0.3">
      <c r="C12">
        <v>8</v>
      </c>
      <c r="D12" s="8">
        <v>1452503.173928631</v>
      </c>
      <c r="E12" s="8">
        <v>393768.77911526337</v>
      </c>
      <c r="F12" s="8">
        <v>1058734.3948133669</v>
      </c>
      <c r="G12" s="8">
        <v>2409279.5988969258</v>
      </c>
      <c r="H12" s="8">
        <v>9210745.7925321199</v>
      </c>
      <c r="I12" s="8">
        <v>12061929.983394939</v>
      </c>
    </row>
    <row r="13" spans="2:9" x14ac:dyDescent="0.3">
      <c r="C13">
        <v>9</v>
      </c>
      <c r="D13" s="8">
        <v>1452503.173928631</v>
      </c>
      <c r="E13" s="8">
        <v>427239.12534006068</v>
      </c>
      <c r="F13" s="8">
        <v>1025264.04858857</v>
      </c>
      <c r="G13" s="8">
        <v>2836518.7242369871</v>
      </c>
      <c r="H13" s="8">
        <v>10236009.84112069</v>
      </c>
      <c r="I13" s="8">
        <v>11634690.85805488</v>
      </c>
    </row>
    <row r="14" spans="2:9" x14ac:dyDescent="0.3">
      <c r="C14">
        <v>10</v>
      </c>
      <c r="D14" s="8">
        <v>1452503.173928631</v>
      </c>
      <c r="E14" s="8">
        <v>463554.45099396579</v>
      </c>
      <c r="F14" s="8">
        <v>988948.72293466493</v>
      </c>
      <c r="G14" s="8">
        <v>3300073.1752309529</v>
      </c>
      <c r="H14" s="8">
        <v>11224958.564055361</v>
      </c>
      <c r="I14" s="8">
        <v>11171136.40706091</v>
      </c>
    </row>
    <row r="15" spans="2:9" x14ac:dyDescent="0.3">
      <c r="C15">
        <v>11</v>
      </c>
      <c r="D15" s="8">
        <v>1452503.173928631</v>
      </c>
      <c r="E15" s="8">
        <v>502956.57932845311</v>
      </c>
      <c r="F15" s="8">
        <v>949546.59460017772</v>
      </c>
      <c r="G15" s="8">
        <v>3803029.7545594061</v>
      </c>
      <c r="H15" s="8">
        <v>12174505.15865553</v>
      </c>
      <c r="I15" s="8">
        <v>10668179.827732461</v>
      </c>
    </row>
    <row r="16" spans="2:9" x14ac:dyDescent="0.3">
      <c r="C16">
        <v>12</v>
      </c>
      <c r="D16" s="8">
        <v>1452503.173928631</v>
      </c>
      <c r="E16" s="8">
        <v>545707.88857137156</v>
      </c>
      <c r="F16" s="8">
        <v>906795.28535725921</v>
      </c>
      <c r="G16" s="8">
        <v>4348737.6431307774</v>
      </c>
      <c r="H16" s="8">
        <v>13081300.444012791</v>
      </c>
      <c r="I16" s="8">
        <v>10122471.93916109</v>
      </c>
    </row>
    <row r="17" spans="3:9" x14ac:dyDescent="0.3">
      <c r="C17">
        <v>13</v>
      </c>
      <c r="D17" s="8">
        <v>1452503.173928631</v>
      </c>
      <c r="E17" s="8">
        <v>592093.05909993825</v>
      </c>
      <c r="F17" s="8">
        <v>860410.11482869252</v>
      </c>
      <c r="G17" s="8">
        <v>4940830.7022307161</v>
      </c>
      <c r="H17" s="8">
        <v>13941710.558841489</v>
      </c>
      <c r="I17" s="8">
        <v>9530378.8800611496</v>
      </c>
    </row>
    <row r="18" spans="3:9" x14ac:dyDescent="0.3">
      <c r="C18">
        <v>14</v>
      </c>
      <c r="D18" s="8">
        <v>1452503.173928631</v>
      </c>
      <c r="E18" s="8">
        <v>642420.96912343299</v>
      </c>
      <c r="F18" s="8">
        <v>810082.20480519778</v>
      </c>
      <c r="G18" s="8">
        <v>5583251.6713541485</v>
      </c>
      <c r="H18" s="8">
        <v>14751792.763646681</v>
      </c>
      <c r="I18" s="8">
        <v>8887957.9109377172</v>
      </c>
    </row>
    <row r="19" spans="3:9" x14ac:dyDescent="0.3">
      <c r="C19">
        <v>15</v>
      </c>
      <c r="D19" s="8">
        <v>1452503.173928631</v>
      </c>
      <c r="E19" s="8">
        <v>697026.7514989248</v>
      </c>
      <c r="F19" s="8">
        <v>755476.42242970597</v>
      </c>
      <c r="G19" s="8">
        <v>6280278.422853074</v>
      </c>
      <c r="H19" s="8">
        <v>15507269.18607639</v>
      </c>
      <c r="I19" s="8">
        <v>8190931.1594387926</v>
      </c>
    </row>
    <row r="20" spans="3:9" x14ac:dyDescent="0.3">
      <c r="C20">
        <v>16</v>
      </c>
      <c r="D20" s="8">
        <v>1452503.173928631</v>
      </c>
      <c r="E20" s="8">
        <v>756274.02537633339</v>
      </c>
      <c r="F20" s="8">
        <v>696229.14855229738</v>
      </c>
      <c r="G20" s="8">
        <v>7036552.4482294079</v>
      </c>
      <c r="H20" s="8">
        <v>16203498.334628681</v>
      </c>
      <c r="I20" s="8">
        <v>7434657.1340624597</v>
      </c>
    </row>
    <row r="21" spans="3:9" x14ac:dyDescent="0.3">
      <c r="C21">
        <v>17</v>
      </c>
      <c r="D21" s="8">
        <v>1452503.173928631</v>
      </c>
      <c r="E21" s="8">
        <v>820557.31753332168</v>
      </c>
      <c r="F21" s="8">
        <v>631945.85639530909</v>
      </c>
      <c r="G21" s="8">
        <v>7857109.7657627296</v>
      </c>
      <c r="H21" s="8">
        <v>16835444.191023991</v>
      </c>
      <c r="I21" s="8">
        <v>6614099.816529138</v>
      </c>
    </row>
    <row r="22" spans="3:9" x14ac:dyDescent="0.3">
      <c r="C22">
        <v>18</v>
      </c>
      <c r="D22" s="8">
        <v>1452503.173928631</v>
      </c>
      <c r="E22" s="8">
        <v>890304.68952365394</v>
      </c>
      <c r="F22" s="8">
        <v>562198.48440497683</v>
      </c>
      <c r="G22" s="8">
        <v>8747414.4552863836</v>
      </c>
      <c r="H22" s="8">
        <v>17397642.675428972</v>
      </c>
      <c r="I22" s="8">
        <v>5723795.127005484</v>
      </c>
    </row>
    <row r="23" spans="3:9" x14ac:dyDescent="0.3">
      <c r="C23">
        <v>19</v>
      </c>
      <c r="D23" s="8">
        <v>1452503.173928631</v>
      </c>
      <c r="E23" s="8">
        <v>965980.58813316468</v>
      </c>
      <c r="F23" s="8">
        <v>486522.58579546609</v>
      </c>
      <c r="G23" s="8">
        <v>9713395.0434195474</v>
      </c>
      <c r="H23" s="8">
        <v>17884165.261224441</v>
      </c>
      <c r="I23" s="8">
        <v>4757814.5388723193</v>
      </c>
    </row>
    <row r="24" spans="3:9" x14ac:dyDescent="0.3">
      <c r="C24">
        <v>20</v>
      </c>
      <c r="D24" s="8">
        <v>1452503.173928631</v>
      </c>
      <c r="E24" s="8">
        <v>1048088.938124484</v>
      </c>
      <c r="F24" s="8">
        <v>404414.23580414709</v>
      </c>
      <c r="G24" s="8">
        <v>10761483.981544031</v>
      </c>
      <c r="H24" s="8">
        <v>18288579.497028589</v>
      </c>
      <c r="I24" s="8">
        <v>3709725.6007478358</v>
      </c>
    </row>
    <row r="25" spans="3:9" x14ac:dyDescent="0.3">
      <c r="C25">
        <v>21</v>
      </c>
      <c r="D25" s="8">
        <v>1452503.173928631</v>
      </c>
      <c r="E25" s="8">
        <v>1137176.497865065</v>
      </c>
      <c r="F25" s="8">
        <v>315326.67606356612</v>
      </c>
      <c r="G25" s="8">
        <v>11898660.479409089</v>
      </c>
      <c r="H25" s="8">
        <v>18603906.173092149</v>
      </c>
      <c r="I25" s="8">
        <v>2572549.1028827708</v>
      </c>
    </row>
    <row r="26" spans="3:9" x14ac:dyDescent="0.3">
      <c r="C26">
        <v>22</v>
      </c>
      <c r="D26" s="8">
        <v>1452503.173928631</v>
      </c>
      <c r="E26" s="8">
        <v>1233836.5001835951</v>
      </c>
      <c r="F26" s="8">
        <v>218666.67374503551</v>
      </c>
      <c r="G26" s="8">
        <v>13132496.97959269</v>
      </c>
      <c r="H26" s="8">
        <v>18822572.846837189</v>
      </c>
      <c r="I26" s="8">
        <v>1338712.602699175</v>
      </c>
    </row>
    <row r="27" spans="3:9" x14ac:dyDescent="0.3">
      <c r="C27">
        <v>23</v>
      </c>
      <c r="D27" s="8">
        <v>1452503.173928631</v>
      </c>
      <c r="E27" s="8">
        <v>1338712.6026992011</v>
      </c>
      <c r="F27" s="8">
        <v>113790.5712294299</v>
      </c>
      <c r="G27" s="8">
        <v>14471209.58229189</v>
      </c>
      <c r="H27" s="8">
        <v>18936363.418066621</v>
      </c>
      <c r="I27" s="8">
        <v>-2.537854015827179E-8</v>
      </c>
    </row>
  </sheetData>
  <hyperlinks>
    <hyperlink ref="B2" location="'Home Sheet'!B2" display="BACK TO HOME SHEET" xr:uid="{D4C429B5-0CBD-4559-9C4A-2CD8D4666825}"/>
  </hyperlinks>
  <pageMargins left="0.75" right="0.75" top="1" bottom="1" header="0.5" footer="0.5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B2:Z135"/>
  <sheetViews>
    <sheetView workbookViewId="0">
      <selection activeCell="B2" sqref="B2"/>
    </sheetView>
  </sheetViews>
  <sheetFormatPr defaultRowHeight="14.4" x14ac:dyDescent="0.3"/>
  <cols>
    <col min="2" max="2" width="19.5546875" bestFit="1" customWidth="1"/>
    <col min="3" max="3" width="20.77734375" bestFit="1" customWidth="1"/>
    <col min="4" max="5" width="7" bestFit="1" customWidth="1"/>
    <col min="6" max="26" width="8" bestFit="1" customWidth="1"/>
  </cols>
  <sheetData>
    <row r="2" spans="2:26" x14ac:dyDescent="0.3">
      <c r="B2" s="2" t="s">
        <v>372</v>
      </c>
    </row>
    <row r="3" spans="2:26" x14ac:dyDescent="0.3">
      <c r="C3" s="3" t="s">
        <v>6</v>
      </c>
      <c r="D3" s="3" t="s">
        <v>7</v>
      </c>
      <c r="E3" s="3" t="s">
        <v>8</v>
      </c>
      <c r="F3" s="3" t="s">
        <v>9</v>
      </c>
      <c r="G3" s="3" t="s">
        <v>10</v>
      </c>
      <c r="H3" s="3" t="s">
        <v>11</v>
      </c>
      <c r="I3" s="3" t="s">
        <v>12</v>
      </c>
      <c r="J3" s="3" t="s">
        <v>13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3" t="s">
        <v>19</v>
      </c>
      <c r="Q3" s="3" t="s">
        <v>20</v>
      </c>
      <c r="R3" s="3" t="s">
        <v>21</v>
      </c>
      <c r="S3" s="3" t="s">
        <v>22</v>
      </c>
      <c r="T3" s="3" t="s">
        <v>23</v>
      </c>
      <c r="U3" s="3" t="s">
        <v>24</v>
      </c>
      <c r="V3" s="3" t="s">
        <v>25</v>
      </c>
      <c r="W3" s="3" t="s">
        <v>26</v>
      </c>
      <c r="X3" s="3" t="s">
        <v>27</v>
      </c>
      <c r="Y3" s="3" t="s">
        <v>28</v>
      </c>
      <c r="Z3" s="3" t="s">
        <v>29</v>
      </c>
    </row>
    <row r="4" spans="2:26" x14ac:dyDescent="0.3">
      <c r="C4" t="s">
        <v>213</v>
      </c>
      <c r="D4">
        <v>725000</v>
      </c>
      <c r="E4">
        <v>725000</v>
      </c>
      <c r="F4">
        <v>725000</v>
      </c>
      <c r="G4">
        <v>725000</v>
      </c>
      <c r="H4">
        <v>725000</v>
      </c>
      <c r="I4">
        <v>725000</v>
      </c>
      <c r="J4">
        <v>725000</v>
      </c>
      <c r="K4">
        <v>725000</v>
      </c>
      <c r="L4">
        <v>725000</v>
      </c>
      <c r="M4">
        <v>725000</v>
      </c>
      <c r="N4">
        <v>725000</v>
      </c>
      <c r="O4">
        <v>725000</v>
      </c>
      <c r="P4">
        <v>725000</v>
      </c>
      <c r="Q4">
        <v>725000</v>
      </c>
      <c r="R4">
        <v>725000</v>
      </c>
      <c r="S4">
        <v>725000</v>
      </c>
      <c r="T4">
        <v>725000</v>
      </c>
      <c r="U4">
        <v>725000</v>
      </c>
      <c r="V4">
        <v>725000</v>
      </c>
      <c r="W4">
        <v>725000</v>
      </c>
      <c r="X4">
        <v>725000</v>
      </c>
      <c r="Y4">
        <v>725000</v>
      </c>
      <c r="Z4">
        <v>725000</v>
      </c>
    </row>
    <row r="5" spans="2:26" x14ac:dyDescent="0.3">
      <c r="C5" t="s">
        <v>214</v>
      </c>
      <c r="D5">
        <v>0</v>
      </c>
      <c r="E5">
        <v>0</v>
      </c>
      <c r="F5">
        <v>61864</v>
      </c>
      <c r="G5">
        <v>58770</v>
      </c>
      <c r="H5">
        <v>52893</v>
      </c>
      <c r="I5">
        <v>47604</v>
      </c>
      <c r="J5">
        <v>42841</v>
      </c>
      <c r="K5">
        <v>38553</v>
      </c>
      <c r="L5">
        <v>34699</v>
      </c>
      <c r="M5">
        <v>31049</v>
      </c>
      <c r="N5">
        <v>27399</v>
      </c>
      <c r="O5">
        <v>23743</v>
      </c>
      <c r="P5">
        <v>20093</v>
      </c>
      <c r="Q5">
        <v>16437</v>
      </c>
      <c r="R5">
        <v>12787</v>
      </c>
      <c r="S5">
        <v>9131</v>
      </c>
      <c r="T5">
        <v>5481</v>
      </c>
      <c r="U5">
        <v>1825</v>
      </c>
      <c r="V5">
        <v>0</v>
      </c>
      <c r="W5">
        <v>0</v>
      </c>
      <c r="X5">
        <v>111732</v>
      </c>
      <c r="Y5">
        <v>106146</v>
      </c>
      <c r="Z5">
        <v>95531</v>
      </c>
    </row>
    <row r="6" spans="2:26" x14ac:dyDescent="0.3">
      <c r="C6" t="s">
        <v>215</v>
      </c>
      <c r="D6">
        <v>0</v>
      </c>
      <c r="E6">
        <v>0</v>
      </c>
      <c r="F6">
        <v>560726</v>
      </c>
      <c r="G6">
        <v>539698</v>
      </c>
      <c r="H6">
        <v>499220</v>
      </c>
      <c r="I6">
        <v>461780</v>
      </c>
      <c r="J6">
        <v>427144</v>
      </c>
      <c r="K6">
        <v>395110</v>
      </c>
      <c r="L6">
        <v>365475</v>
      </c>
      <c r="M6">
        <v>338067</v>
      </c>
      <c r="N6">
        <v>312711</v>
      </c>
      <c r="O6">
        <v>287691</v>
      </c>
      <c r="P6">
        <v>262678</v>
      </c>
      <c r="Q6">
        <v>237658</v>
      </c>
      <c r="R6">
        <v>212644</v>
      </c>
      <c r="S6">
        <v>187624</v>
      </c>
      <c r="T6">
        <v>162610</v>
      </c>
      <c r="U6">
        <v>137591</v>
      </c>
      <c r="V6">
        <v>112577</v>
      </c>
      <c r="W6">
        <v>87557</v>
      </c>
      <c r="X6">
        <v>62543</v>
      </c>
      <c r="Y6">
        <v>37524</v>
      </c>
      <c r="Z6">
        <v>12510</v>
      </c>
    </row>
    <row r="7" spans="2:26" x14ac:dyDescent="0.3">
      <c r="C7" t="s">
        <v>216</v>
      </c>
      <c r="D7">
        <v>0</v>
      </c>
      <c r="E7">
        <v>0</v>
      </c>
      <c r="F7">
        <v>72754</v>
      </c>
      <c r="G7">
        <v>69116</v>
      </c>
      <c r="H7">
        <v>62204</v>
      </c>
      <c r="I7">
        <v>55984</v>
      </c>
      <c r="J7">
        <v>50382</v>
      </c>
      <c r="K7">
        <v>45340</v>
      </c>
      <c r="L7">
        <v>40808</v>
      </c>
      <c r="M7">
        <v>36515</v>
      </c>
      <c r="N7">
        <v>32223</v>
      </c>
      <c r="O7">
        <v>27923</v>
      </c>
      <c r="P7">
        <v>23630</v>
      </c>
      <c r="Q7">
        <v>19331</v>
      </c>
      <c r="R7">
        <v>15038</v>
      </c>
      <c r="S7">
        <v>10738</v>
      </c>
      <c r="T7">
        <v>6446</v>
      </c>
      <c r="U7">
        <v>2146</v>
      </c>
      <c r="V7">
        <v>0</v>
      </c>
      <c r="W7">
        <v>0</v>
      </c>
      <c r="X7">
        <v>131401</v>
      </c>
      <c r="Y7">
        <v>124831</v>
      </c>
      <c r="Z7">
        <v>112348</v>
      </c>
    </row>
    <row r="8" spans="2:26" x14ac:dyDescent="0.3">
      <c r="C8" t="s">
        <v>217</v>
      </c>
      <c r="D8">
        <v>0</v>
      </c>
      <c r="E8">
        <v>0</v>
      </c>
      <c r="F8">
        <v>187604</v>
      </c>
      <c r="G8">
        <v>178224</v>
      </c>
      <c r="H8">
        <v>160401</v>
      </c>
      <c r="I8">
        <v>144361</v>
      </c>
      <c r="J8">
        <v>129916</v>
      </c>
      <c r="K8">
        <v>116915</v>
      </c>
      <c r="L8">
        <v>105227</v>
      </c>
      <c r="M8">
        <v>94158</v>
      </c>
      <c r="N8">
        <v>83090</v>
      </c>
      <c r="O8">
        <v>72002</v>
      </c>
      <c r="P8">
        <v>60934</v>
      </c>
      <c r="Q8">
        <v>49846</v>
      </c>
      <c r="R8">
        <v>38778</v>
      </c>
      <c r="S8">
        <v>27690</v>
      </c>
      <c r="T8">
        <v>16622</v>
      </c>
      <c r="U8">
        <v>5534</v>
      </c>
      <c r="V8">
        <v>0</v>
      </c>
      <c r="W8">
        <v>0</v>
      </c>
      <c r="X8">
        <v>338834</v>
      </c>
      <c r="Y8">
        <v>321892</v>
      </c>
      <c r="Z8">
        <v>289703</v>
      </c>
    </row>
    <row r="9" spans="2:26" x14ac:dyDescent="0.3">
      <c r="C9" t="s">
        <v>218</v>
      </c>
      <c r="D9">
        <v>0</v>
      </c>
      <c r="E9">
        <v>0</v>
      </c>
      <c r="F9">
        <v>6032614</v>
      </c>
      <c r="G9">
        <v>5881798</v>
      </c>
      <c r="H9">
        <v>5730983</v>
      </c>
      <c r="I9">
        <v>5580168</v>
      </c>
      <c r="J9">
        <v>5429352</v>
      </c>
      <c r="K9">
        <v>5278537</v>
      </c>
      <c r="L9">
        <v>5127722</v>
      </c>
      <c r="M9">
        <v>4976906</v>
      </c>
      <c r="N9">
        <v>4826091</v>
      </c>
      <c r="O9">
        <v>4675276</v>
      </c>
      <c r="P9">
        <v>4524460</v>
      </c>
      <c r="Q9">
        <v>4373645</v>
      </c>
      <c r="R9">
        <v>4222830</v>
      </c>
      <c r="S9">
        <v>4072014</v>
      </c>
      <c r="T9">
        <v>3921199</v>
      </c>
      <c r="U9">
        <v>3770384</v>
      </c>
      <c r="V9">
        <v>3619568</v>
      </c>
      <c r="W9">
        <v>3468753</v>
      </c>
      <c r="X9">
        <v>3317938</v>
      </c>
      <c r="Y9">
        <v>3167122</v>
      </c>
      <c r="Z9">
        <v>3016307</v>
      </c>
    </row>
    <row r="10" spans="2:26" x14ac:dyDescent="0.3">
      <c r="C10" t="s">
        <v>219</v>
      </c>
      <c r="D10">
        <v>0</v>
      </c>
      <c r="E10">
        <v>0</v>
      </c>
      <c r="F10">
        <v>141389</v>
      </c>
      <c r="G10">
        <v>134320</v>
      </c>
      <c r="H10">
        <v>120888</v>
      </c>
      <c r="I10">
        <v>108799</v>
      </c>
      <c r="J10">
        <v>97912</v>
      </c>
      <c r="K10">
        <v>88114</v>
      </c>
      <c r="L10">
        <v>79305</v>
      </c>
      <c r="M10">
        <v>70963</v>
      </c>
      <c r="N10">
        <v>62621</v>
      </c>
      <c r="O10">
        <v>54265</v>
      </c>
      <c r="P10">
        <v>45923</v>
      </c>
      <c r="Q10">
        <v>37567</v>
      </c>
      <c r="R10">
        <v>29225</v>
      </c>
      <c r="S10">
        <v>20869</v>
      </c>
      <c r="T10">
        <v>12527</v>
      </c>
      <c r="U10">
        <v>4171</v>
      </c>
      <c r="V10">
        <v>0</v>
      </c>
      <c r="W10">
        <v>0</v>
      </c>
      <c r="X10">
        <v>0</v>
      </c>
      <c r="Y10">
        <v>255365</v>
      </c>
      <c r="Z10">
        <v>242597</v>
      </c>
    </row>
    <row r="11" spans="2:26" x14ac:dyDescent="0.3">
      <c r="C11" t="s">
        <v>220</v>
      </c>
      <c r="D11">
        <v>0</v>
      </c>
      <c r="E11">
        <v>0</v>
      </c>
      <c r="F11">
        <v>129144</v>
      </c>
      <c r="G11">
        <v>110689</v>
      </c>
      <c r="H11">
        <v>79062</v>
      </c>
      <c r="I11">
        <v>56475</v>
      </c>
      <c r="J11">
        <v>40345</v>
      </c>
      <c r="K11">
        <v>28812</v>
      </c>
      <c r="L11">
        <v>17292</v>
      </c>
      <c r="M11">
        <v>5760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201202</v>
      </c>
      <c r="U11">
        <v>172451</v>
      </c>
      <c r="V11">
        <v>123176</v>
      </c>
      <c r="W11">
        <v>87986</v>
      </c>
      <c r="X11">
        <v>62856</v>
      </c>
      <c r="Y11">
        <v>44888</v>
      </c>
      <c r="Z11">
        <v>26941</v>
      </c>
    </row>
    <row r="12" spans="2:26" x14ac:dyDescent="0.3">
      <c r="C12" t="s">
        <v>102</v>
      </c>
      <c r="D12">
        <v>0</v>
      </c>
      <c r="E12">
        <v>0</v>
      </c>
      <c r="F12">
        <v>111820</v>
      </c>
      <c r="G12">
        <v>107626</v>
      </c>
      <c r="H12">
        <v>99554</v>
      </c>
      <c r="I12">
        <v>92088</v>
      </c>
      <c r="J12">
        <v>85181</v>
      </c>
      <c r="K12">
        <v>78793</v>
      </c>
      <c r="L12">
        <v>72883</v>
      </c>
      <c r="M12">
        <v>67417</v>
      </c>
      <c r="N12">
        <v>62361</v>
      </c>
      <c r="O12">
        <v>57371</v>
      </c>
      <c r="P12">
        <v>52383</v>
      </c>
      <c r="Q12">
        <v>47394</v>
      </c>
      <c r="R12">
        <v>42405</v>
      </c>
      <c r="S12">
        <v>37416</v>
      </c>
      <c r="T12">
        <v>32428</v>
      </c>
      <c r="U12">
        <v>27438</v>
      </c>
      <c r="V12">
        <v>22450</v>
      </c>
      <c r="W12">
        <v>17461</v>
      </c>
      <c r="X12">
        <v>12472</v>
      </c>
      <c r="Y12">
        <v>7483</v>
      </c>
      <c r="Z12">
        <v>2495</v>
      </c>
    </row>
    <row r="13" spans="2:26" x14ac:dyDescent="0.3">
      <c r="C13" t="s">
        <v>103</v>
      </c>
      <c r="D13">
        <v>0</v>
      </c>
      <c r="E13">
        <v>0</v>
      </c>
      <c r="F13">
        <v>111820</v>
      </c>
      <c r="G13">
        <v>107626</v>
      </c>
      <c r="H13">
        <v>99554</v>
      </c>
      <c r="I13">
        <v>92088</v>
      </c>
      <c r="J13">
        <v>85181</v>
      </c>
      <c r="K13">
        <v>78793</v>
      </c>
      <c r="L13">
        <v>72883</v>
      </c>
      <c r="M13">
        <v>67417</v>
      </c>
      <c r="N13">
        <v>62361</v>
      </c>
      <c r="O13">
        <v>57371</v>
      </c>
      <c r="P13">
        <v>52383</v>
      </c>
      <c r="Q13">
        <v>47394</v>
      </c>
      <c r="R13">
        <v>42405</v>
      </c>
      <c r="S13">
        <v>37416</v>
      </c>
      <c r="T13">
        <v>32428</v>
      </c>
      <c r="U13">
        <v>27438</v>
      </c>
      <c r="V13">
        <v>22450</v>
      </c>
      <c r="W13">
        <v>17461</v>
      </c>
      <c r="X13">
        <v>12472</v>
      </c>
      <c r="Y13">
        <v>7483</v>
      </c>
      <c r="Z13">
        <v>2495</v>
      </c>
    </row>
    <row r="14" spans="2:26" x14ac:dyDescent="0.3">
      <c r="C14" t="s">
        <v>104</v>
      </c>
      <c r="D14">
        <v>0</v>
      </c>
      <c r="E14">
        <v>0</v>
      </c>
      <c r="F14">
        <v>95402</v>
      </c>
      <c r="G14">
        <v>91824</v>
      </c>
      <c r="H14">
        <v>84937</v>
      </c>
      <c r="I14">
        <v>78567</v>
      </c>
      <c r="J14">
        <v>72674</v>
      </c>
      <c r="K14">
        <v>67224</v>
      </c>
      <c r="L14">
        <v>62182</v>
      </c>
      <c r="M14">
        <v>57519</v>
      </c>
      <c r="N14">
        <v>53205</v>
      </c>
      <c r="O14">
        <v>48948</v>
      </c>
      <c r="P14">
        <v>44692</v>
      </c>
      <c r="Q14">
        <v>40435</v>
      </c>
      <c r="R14">
        <v>36179</v>
      </c>
      <c r="S14">
        <v>31922</v>
      </c>
      <c r="T14">
        <v>27666</v>
      </c>
      <c r="U14">
        <v>23410</v>
      </c>
      <c r="V14">
        <v>19154</v>
      </c>
      <c r="W14">
        <v>14897</v>
      </c>
      <c r="X14">
        <v>10641</v>
      </c>
      <c r="Y14">
        <v>6384</v>
      </c>
      <c r="Z14">
        <v>2128</v>
      </c>
    </row>
    <row r="15" spans="2:26" x14ac:dyDescent="0.3">
      <c r="C15" t="s">
        <v>105</v>
      </c>
      <c r="D15">
        <v>0</v>
      </c>
      <c r="E15">
        <v>0</v>
      </c>
      <c r="F15">
        <v>93809</v>
      </c>
      <c r="G15">
        <v>90291</v>
      </c>
      <c r="H15">
        <v>83519</v>
      </c>
      <c r="I15">
        <v>77256</v>
      </c>
      <c r="J15">
        <v>71461</v>
      </c>
      <c r="K15">
        <v>66102</v>
      </c>
      <c r="L15">
        <v>61144</v>
      </c>
      <c r="M15">
        <v>56559</v>
      </c>
      <c r="N15">
        <v>52316</v>
      </c>
      <c r="O15">
        <v>48131</v>
      </c>
      <c r="P15">
        <v>43946</v>
      </c>
      <c r="Q15">
        <v>39760</v>
      </c>
      <c r="R15">
        <v>35575</v>
      </c>
      <c r="S15">
        <v>31390</v>
      </c>
      <c r="T15">
        <v>27205</v>
      </c>
      <c r="U15">
        <v>23019</v>
      </c>
      <c r="V15">
        <v>18834</v>
      </c>
      <c r="W15">
        <v>14648</v>
      </c>
      <c r="X15">
        <v>10463</v>
      </c>
      <c r="Y15">
        <v>6278</v>
      </c>
      <c r="Z15">
        <v>2093</v>
      </c>
    </row>
    <row r="16" spans="2:26" x14ac:dyDescent="0.3">
      <c r="C16" t="s">
        <v>106</v>
      </c>
      <c r="D16">
        <v>0</v>
      </c>
      <c r="E16">
        <v>0</v>
      </c>
      <c r="F16">
        <v>96195</v>
      </c>
      <c r="G16">
        <v>92588</v>
      </c>
      <c r="H16">
        <v>85644</v>
      </c>
      <c r="I16">
        <v>79221</v>
      </c>
      <c r="J16">
        <v>73279</v>
      </c>
      <c r="K16">
        <v>67783</v>
      </c>
      <c r="L16">
        <v>62699</v>
      </c>
      <c r="M16">
        <v>57997</v>
      </c>
      <c r="N16">
        <v>53647</v>
      </c>
      <c r="O16">
        <v>49355</v>
      </c>
      <c r="P16">
        <v>45064</v>
      </c>
      <c r="Q16">
        <v>40771</v>
      </c>
      <c r="R16">
        <v>36480</v>
      </c>
      <c r="S16">
        <v>32188</v>
      </c>
      <c r="T16">
        <v>27897</v>
      </c>
      <c r="U16">
        <v>23604</v>
      </c>
      <c r="V16">
        <v>19313</v>
      </c>
      <c r="W16">
        <v>15021</v>
      </c>
      <c r="X16">
        <v>10730</v>
      </c>
      <c r="Y16">
        <v>6437</v>
      </c>
      <c r="Z16">
        <v>2146</v>
      </c>
    </row>
    <row r="17" spans="3:26" x14ac:dyDescent="0.3">
      <c r="C17" t="s">
        <v>107</v>
      </c>
      <c r="D17">
        <v>0</v>
      </c>
      <c r="E17">
        <v>0</v>
      </c>
      <c r="F17">
        <v>93809</v>
      </c>
      <c r="G17">
        <v>90291</v>
      </c>
      <c r="H17">
        <v>83519</v>
      </c>
      <c r="I17">
        <v>77256</v>
      </c>
      <c r="J17">
        <v>71461</v>
      </c>
      <c r="K17">
        <v>66102</v>
      </c>
      <c r="L17">
        <v>61144</v>
      </c>
      <c r="M17">
        <v>56559</v>
      </c>
      <c r="N17">
        <v>52316</v>
      </c>
      <c r="O17">
        <v>48131</v>
      </c>
      <c r="P17">
        <v>43946</v>
      </c>
      <c r="Q17">
        <v>39760</v>
      </c>
      <c r="R17">
        <v>35575</v>
      </c>
      <c r="S17">
        <v>31390</v>
      </c>
      <c r="T17">
        <v>27205</v>
      </c>
      <c r="U17">
        <v>23019</v>
      </c>
      <c r="V17">
        <v>18834</v>
      </c>
      <c r="W17">
        <v>14648</v>
      </c>
      <c r="X17">
        <v>10463</v>
      </c>
      <c r="Y17">
        <v>6278</v>
      </c>
      <c r="Z17">
        <v>2093</v>
      </c>
    </row>
    <row r="18" spans="3:26" x14ac:dyDescent="0.3">
      <c r="C18" t="s">
        <v>108</v>
      </c>
      <c r="D18">
        <v>0</v>
      </c>
      <c r="E18">
        <v>0</v>
      </c>
      <c r="F18">
        <v>98541</v>
      </c>
      <c r="G18">
        <v>94845</v>
      </c>
      <c r="H18">
        <v>87732</v>
      </c>
      <c r="I18">
        <v>81152</v>
      </c>
      <c r="J18">
        <v>75065</v>
      </c>
      <c r="K18">
        <v>69436</v>
      </c>
      <c r="L18">
        <v>64228</v>
      </c>
      <c r="M18">
        <v>59411</v>
      </c>
      <c r="N18">
        <v>54955</v>
      </c>
      <c r="O18">
        <v>50558</v>
      </c>
      <c r="P18">
        <v>46162</v>
      </c>
      <c r="Q18">
        <v>41765</v>
      </c>
      <c r="R18">
        <v>37370</v>
      </c>
      <c r="S18">
        <v>32973</v>
      </c>
      <c r="T18">
        <v>28577</v>
      </c>
      <c r="U18">
        <v>24180</v>
      </c>
      <c r="V18">
        <v>19784</v>
      </c>
      <c r="W18">
        <v>15387</v>
      </c>
      <c r="X18">
        <v>10991</v>
      </c>
      <c r="Y18">
        <v>6594</v>
      </c>
      <c r="Z18">
        <v>2198</v>
      </c>
    </row>
    <row r="19" spans="3:26" x14ac:dyDescent="0.3">
      <c r="C19" t="s">
        <v>109</v>
      </c>
      <c r="D19">
        <v>0</v>
      </c>
      <c r="E19">
        <v>0</v>
      </c>
      <c r="F19">
        <v>91395</v>
      </c>
      <c r="G19">
        <v>87968</v>
      </c>
      <c r="H19">
        <v>81370</v>
      </c>
      <c r="I19">
        <v>75267</v>
      </c>
      <c r="J19">
        <v>69622</v>
      </c>
      <c r="K19">
        <v>64401</v>
      </c>
      <c r="L19">
        <v>59570</v>
      </c>
      <c r="M19">
        <v>55103</v>
      </c>
      <c r="N19">
        <v>50970</v>
      </c>
      <c r="O19">
        <v>46892</v>
      </c>
      <c r="P19">
        <v>42815</v>
      </c>
      <c r="Q19">
        <v>38737</v>
      </c>
      <c r="R19">
        <v>34660</v>
      </c>
      <c r="S19">
        <v>30582</v>
      </c>
      <c r="T19">
        <v>26505</v>
      </c>
      <c r="U19">
        <v>22426</v>
      </c>
      <c r="V19">
        <v>18349</v>
      </c>
      <c r="W19">
        <v>14271</v>
      </c>
      <c r="X19">
        <v>10194</v>
      </c>
      <c r="Y19">
        <v>6116</v>
      </c>
      <c r="Z19">
        <v>2039</v>
      </c>
    </row>
    <row r="20" spans="3:26" x14ac:dyDescent="0.3">
      <c r="C20" t="s">
        <v>110</v>
      </c>
      <c r="D20">
        <v>0</v>
      </c>
      <c r="E20">
        <v>0</v>
      </c>
      <c r="F20">
        <v>109056</v>
      </c>
      <c r="G20">
        <v>104966</v>
      </c>
      <c r="H20">
        <v>97093</v>
      </c>
      <c r="I20">
        <v>89812</v>
      </c>
      <c r="J20">
        <v>83075</v>
      </c>
      <c r="K20">
        <v>76845</v>
      </c>
      <c r="L20">
        <v>71081</v>
      </c>
      <c r="M20">
        <v>65751</v>
      </c>
      <c r="N20">
        <v>60819</v>
      </c>
      <c r="O20">
        <v>55953</v>
      </c>
      <c r="P20">
        <v>51088</v>
      </c>
      <c r="Q20">
        <v>46222</v>
      </c>
      <c r="R20">
        <v>41357</v>
      </c>
      <c r="S20">
        <v>36491</v>
      </c>
      <c r="T20">
        <v>31626</v>
      </c>
      <c r="U20">
        <v>26760</v>
      </c>
      <c r="V20">
        <v>21895</v>
      </c>
      <c r="W20">
        <v>17029</v>
      </c>
      <c r="X20">
        <v>12164</v>
      </c>
      <c r="Y20">
        <v>7298</v>
      </c>
      <c r="Z20">
        <v>2433</v>
      </c>
    </row>
    <row r="21" spans="3:26" x14ac:dyDescent="0.3">
      <c r="C21" t="s">
        <v>111</v>
      </c>
      <c r="D21">
        <v>0</v>
      </c>
      <c r="E21">
        <v>0</v>
      </c>
      <c r="F21">
        <v>141631</v>
      </c>
      <c r="G21">
        <v>136320</v>
      </c>
      <c r="H21">
        <v>126095</v>
      </c>
      <c r="I21">
        <v>116639</v>
      </c>
      <c r="J21">
        <v>107890</v>
      </c>
      <c r="K21">
        <v>99799</v>
      </c>
      <c r="L21">
        <v>92314</v>
      </c>
      <c r="M21">
        <v>85391</v>
      </c>
      <c r="N21">
        <v>78986</v>
      </c>
      <c r="O21">
        <v>72667</v>
      </c>
      <c r="P21">
        <v>66348</v>
      </c>
      <c r="Q21">
        <v>60029</v>
      </c>
      <c r="R21">
        <v>53711</v>
      </c>
      <c r="S21">
        <v>47391</v>
      </c>
      <c r="T21">
        <v>41073</v>
      </c>
      <c r="U21">
        <v>34753</v>
      </c>
      <c r="V21">
        <v>28435</v>
      </c>
      <c r="W21">
        <v>22116</v>
      </c>
      <c r="X21">
        <v>15798</v>
      </c>
      <c r="Y21">
        <v>9478</v>
      </c>
      <c r="Z21">
        <v>3160</v>
      </c>
    </row>
    <row r="22" spans="3:26" x14ac:dyDescent="0.3">
      <c r="C22" t="s">
        <v>112</v>
      </c>
      <c r="D22">
        <v>0</v>
      </c>
      <c r="E22">
        <v>0</v>
      </c>
      <c r="F22">
        <v>95083</v>
      </c>
      <c r="G22">
        <v>91517</v>
      </c>
      <c r="H22">
        <v>84653</v>
      </c>
      <c r="I22">
        <v>78305</v>
      </c>
      <c r="J22">
        <v>72431</v>
      </c>
      <c r="K22">
        <v>66999</v>
      </c>
      <c r="L22">
        <v>61974</v>
      </c>
      <c r="M22">
        <v>57327</v>
      </c>
      <c r="N22">
        <v>53027</v>
      </c>
      <c r="O22">
        <v>48784</v>
      </c>
      <c r="P22">
        <v>44543</v>
      </c>
      <c r="Q22">
        <v>40300</v>
      </c>
      <c r="R22">
        <v>36058</v>
      </c>
      <c r="S22">
        <v>31816</v>
      </c>
      <c r="T22">
        <v>27574</v>
      </c>
      <c r="U22">
        <v>23331</v>
      </c>
      <c r="V22">
        <v>19090</v>
      </c>
      <c r="W22">
        <v>14847</v>
      </c>
      <c r="X22">
        <v>10606</v>
      </c>
      <c r="Y22">
        <v>6363</v>
      </c>
      <c r="Z22">
        <v>2121</v>
      </c>
    </row>
    <row r="23" spans="3:26" x14ac:dyDescent="0.3">
      <c r="C23" t="s">
        <v>113</v>
      </c>
      <c r="D23">
        <v>0</v>
      </c>
      <c r="E23">
        <v>0</v>
      </c>
      <c r="F23">
        <v>73615</v>
      </c>
      <c r="G23">
        <v>70854</v>
      </c>
      <c r="H23">
        <v>65540</v>
      </c>
      <c r="I23">
        <v>60625</v>
      </c>
      <c r="J23">
        <v>56078</v>
      </c>
      <c r="K23">
        <v>51872</v>
      </c>
      <c r="L23">
        <v>47982</v>
      </c>
      <c r="M23">
        <v>44383</v>
      </c>
      <c r="N23">
        <v>41054</v>
      </c>
      <c r="O23">
        <v>37770</v>
      </c>
      <c r="P23">
        <v>34486</v>
      </c>
      <c r="Q23">
        <v>31201</v>
      </c>
      <c r="R23">
        <v>27917</v>
      </c>
      <c r="S23">
        <v>24632</v>
      </c>
      <c r="T23">
        <v>21348</v>
      </c>
      <c r="U23">
        <v>18064</v>
      </c>
      <c r="V23">
        <v>14780</v>
      </c>
      <c r="W23">
        <v>11495</v>
      </c>
      <c r="X23">
        <v>8211</v>
      </c>
      <c r="Y23">
        <v>4926</v>
      </c>
      <c r="Z23">
        <v>1642</v>
      </c>
    </row>
    <row r="24" spans="3:26" x14ac:dyDescent="0.3">
      <c r="C24" t="s">
        <v>114</v>
      </c>
      <c r="D24">
        <v>0</v>
      </c>
      <c r="E24">
        <v>0</v>
      </c>
      <c r="F24">
        <v>101701</v>
      </c>
      <c r="G24">
        <v>97888</v>
      </c>
      <c r="H24">
        <v>90546</v>
      </c>
      <c r="I24">
        <v>83755</v>
      </c>
      <c r="J24">
        <v>77473</v>
      </c>
      <c r="K24">
        <v>71663</v>
      </c>
      <c r="L24">
        <v>66288</v>
      </c>
      <c r="M24">
        <v>61317</v>
      </c>
      <c r="N24">
        <v>56718</v>
      </c>
      <c r="O24">
        <v>52180</v>
      </c>
      <c r="P24">
        <v>47643</v>
      </c>
      <c r="Q24">
        <v>43105</v>
      </c>
      <c r="R24">
        <v>38568</v>
      </c>
      <c r="S24">
        <v>34030</v>
      </c>
      <c r="T24">
        <v>29493</v>
      </c>
      <c r="U24">
        <v>24955</v>
      </c>
      <c r="V24">
        <v>20419</v>
      </c>
      <c r="W24">
        <v>15881</v>
      </c>
      <c r="X24">
        <v>11344</v>
      </c>
      <c r="Y24">
        <v>6806</v>
      </c>
      <c r="Z24">
        <v>2269</v>
      </c>
    </row>
    <row r="25" spans="3:26" x14ac:dyDescent="0.3">
      <c r="C25" t="s">
        <v>115</v>
      </c>
      <c r="D25">
        <v>0</v>
      </c>
      <c r="E25">
        <v>0</v>
      </c>
      <c r="F25">
        <v>101701</v>
      </c>
      <c r="G25">
        <v>97888</v>
      </c>
      <c r="H25">
        <v>90546</v>
      </c>
      <c r="I25">
        <v>83755</v>
      </c>
      <c r="J25">
        <v>77473</v>
      </c>
      <c r="K25">
        <v>71663</v>
      </c>
      <c r="L25">
        <v>66288</v>
      </c>
      <c r="M25">
        <v>61317</v>
      </c>
      <c r="N25">
        <v>56718</v>
      </c>
      <c r="O25">
        <v>52180</v>
      </c>
      <c r="P25">
        <v>47643</v>
      </c>
      <c r="Q25">
        <v>43105</v>
      </c>
      <c r="R25">
        <v>38568</v>
      </c>
      <c r="S25">
        <v>34030</v>
      </c>
      <c r="T25">
        <v>29493</v>
      </c>
      <c r="U25">
        <v>24955</v>
      </c>
      <c r="V25">
        <v>20419</v>
      </c>
      <c r="W25">
        <v>15881</v>
      </c>
      <c r="X25">
        <v>11344</v>
      </c>
      <c r="Y25">
        <v>6806</v>
      </c>
      <c r="Z25">
        <v>2269</v>
      </c>
    </row>
    <row r="26" spans="3:26" x14ac:dyDescent="0.3">
      <c r="C26" t="s">
        <v>116</v>
      </c>
      <c r="D26">
        <v>0</v>
      </c>
      <c r="E26">
        <v>0</v>
      </c>
      <c r="F26">
        <v>79505</v>
      </c>
      <c r="G26">
        <v>76524</v>
      </c>
      <c r="H26">
        <v>70784</v>
      </c>
      <c r="I26">
        <v>65476</v>
      </c>
      <c r="J26">
        <v>60565</v>
      </c>
      <c r="K26">
        <v>56022</v>
      </c>
      <c r="L26">
        <v>51821</v>
      </c>
      <c r="M26">
        <v>47934</v>
      </c>
      <c r="N26">
        <v>44339</v>
      </c>
      <c r="O26">
        <v>40792</v>
      </c>
      <c r="P26">
        <v>37245</v>
      </c>
      <c r="Q26">
        <v>33697</v>
      </c>
      <c r="R26">
        <v>30151</v>
      </c>
      <c r="S26">
        <v>26603</v>
      </c>
      <c r="T26">
        <v>23056</v>
      </c>
      <c r="U26">
        <v>19509</v>
      </c>
      <c r="V26">
        <v>15962</v>
      </c>
      <c r="W26">
        <v>12415</v>
      </c>
      <c r="X26">
        <v>8868</v>
      </c>
      <c r="Y26">
        <v>5320</v>
      </c>
      <c r="Z26">
        <v>1774</v>
      </c>
    </row>
    <row r="27" spans="3:26" x14ac:dyDescent="0.3">
      <c r="C27" t="s">
        <v>117</v>
      </c>
      <c r="D27">
        <v>0</v>
      </c>
      <c r="E27">
        <v>0</v>
      </c>
      <c r="F27">
        <v>846052</v>
      </c>
      <c r="G27">
        <v>814325</v>
      </c>
      <c r="H27">
        <v>753249</v>
      </c>
      <c r="I27">
        <v>696758</v>
      </c>
      <c r="J27">
        <v>644497</v>
      </c>
      <c r="K27">
        <v>596162</v>
      </c>
      <c r="L27">
        <v>551448</v>
      </c>
      <c r="M27">
        <v>510093</v>
      </c>
      <c r="N27">
        <v>471835</v>
      </c>
      <c r="O27">
        <v>434084</v>
      </c>
      <c r="P27">
        <v>396342</v>
      </c>
      <c r="Q27">
        <v>358591</v>
      </c>
      <c r="R27">
        <v>320848</v>
      </c>
      <c r="S27">
        <v>283098</v>
      </c>
      <c r="T27">
        <v>245355</v>
      </c>
      <c r="U27">
        <v>207604</v>
      </c>
      <c r="V27">
        <v>169862</v>
      </c>
      <c r="W27">
        <v>132111</v>
      </c>
      <c r="X27">
        <v>94369</v>
      </c>
      <c r="Y27">
        <v>56618</v>
      </c>
      <c r="Z27">
        <v>18875</v>
      </c>
    </row>
    <row r="28" spans="3:26" x14ac:dyDescent="0.3">
      <c r="C28" t="s">
        <v>118</v>
      </c>
      <c r="D28">
        <v>0</v>
      </c>
      <c r="E28">
        <v>0</v>
      </c>
      <c r="F28">
        <v>846052</v>
      </c>
      <c r="G28">
        <v>814325</v>
      </c>
      <c r="H28">
        <v>753249</v>
      </c>
      <c r="I28">
        <v>696758</v>
      </c>
      <c r="J28">
        <v>644497</v>
      </c>
      <c r="K28">
        <v>596162</v>
      </c>
      <c r="L28">
        <v>551448</v>
      </c>
      <c r="M28">
        <v>510093</v>
      </c>
      <c r="N28">
        <v>471835</v>
      </c>
      <c r="O28">
        <v>434084</v>
      </c>
      <c r="P28">
        <v>396342</v>
      </c>
      <c r="Q28">
        <v>358591</v>
      </c>
      <c r="R28">
        <v>320848</v>
      </c>
      <c r="S28">
        <v>283098</v>
      </c>
      <c r="T28">
        <v>245355</v>
      </c>
      <c r="U28">
        <v>207604</v>
      </c>
      <c r="V28">
        <v>169862</v>
      </c>
      <c r="W28">
        <v>132111</v>
      </c>
      <c r="X28">
        <v>94369</v>
      </c>
      <c r="Y28">
        <v>56618</v>
      </c>
      <c r="Z28">
        <v>18875</v>
      </c>
    </row>
    <row r="29" spans="3:26" x14ac:dyDescent="0.3">
      <c r="C29" t="s">
        <v>119</v>
      </c>
      <c r="D29">
        <v>0</v>
      </c>
      <c r="E29">
        <v>0</v>
      </c>
      <c r="F29">
        <v>337433</v>
      </c>
      <c r="G29">
        <v>324780</v>
      </c>
      <c r="H29">
        <v>300420</v>
      </c>
      <c r="I29">
        <v>277890</v>
      </c>
      <c r="J29">
        <v>257047</v>
      </c>
      <c r="K29">
        <v>237769</v>
      </c>
      <c r="L29">
        <v>219936</v>
      </c>
      <c r="M29">
        <v>203442</v>
      </c>
      <c r="N29">
        <v>188183</v>
      </c>
      <c r="O29">
        <v>173127</v>
      </c>
      <c r="P29">
        <v>158074</v>
      </c>
      <c r="Q29">
        <v>143018</v>
      </c>
      <c r="R29">
        <v>127965</v>
      </c>
      <c r="S29">
        <v>112909</v>
      </c>
      <c r="T29">
        <v>97856</v>
      </c>
      <c r="U29">
        <v>82799</v>
      </c>
      <c r="V29">
        <v>67746</v>
      </c>
      <c r="W29">
        <v>52690</v>
      </c>
      <c r="X29">
        <v>37637</v>
      </c>
      <c r="Y29">
        <v>22581</v>
      </c>
      <c r="Z29">
        <v>7528</v>
      </c>
    </row>
    <row r="30" spans="3:26" x14ac:dyDescent="0.3">
      <c r="C30" t="s">
        <v>120</v>
      </c>
      <c r="D30">
        <v>0</v>
      </c>
      <c r="E30">
        <v>0</v>
      </c>
      <c r="F30">
        <v>337433</v>
      </c>
      <c r="G30">
        <v>324780</v>
      </c>
      <c r="H30">
        <v>300420</v>
      </c>
      <c r="I30">
        <v>277890</v>
      </c>
      <c r="J30">
        <v>257047</v>
      </c>
      <c r="K30">
        <v>237769</v>
      </c>
      <c r="L30">
        <v>219936</v>
      </c>
      <c r="M30">
        <v>203442</v>
      </c>
      <c r="N30">
        <v>188183</v>
      </c>
      <c r="O30">
        <v>173127</v>
      </c>
      <c r="P30">
        <v>158074</v>
      </c>
      <c r="Q30">
        <v>143018</v>
      </c>
      <c r="R30">
        <v>127965</v>
      </c>
      <c r="S30">
        <v>112909</v>
      </c>
      <c r="T30">
        <v>97856</v>
      </c>
      <c r="U30">
        <v>82799</v>
      </c>
      <c r="V30">
        <v>67746</v>
      </c>
      <c r="W30">
        <v>52690</v>
      </c>
      <c r="X30">
        <v>37637</v>
      </c>
      <c r="Y30">
        <v>22581</v>
      </c>
      <c r="Z30">
        <v>7528</v>
      </c>
    </row>
    <row r="31" spans="3:26" x14ac:dyDescent="0.3">
      <c r="C31" t="s">
        <v>121</v>
      </c>
      <c r="D31">
        <v>0</v>
      </c>
      <c r="E31">
        <v>0</v>
      </c>
      <c r="F31">
        <v>337433</v>
      </c>
      <c r="G31">
        <v>324780</v>
      </c>
      <c r="H31">
        <v>300420</v>
      </c>
      <c r="I31">
        <v>277890</v>
      </c>
      <c r="J31">
        <v>257047</v>
      </c>
      <c r="K31">
        <v>237769</v>
      </c>
      <c r="L31">
        <v>219936</v>
      </c>
      <c r="M31">
        <v>203442</v>
      </c>
      <c r="N31">
        <v>188183</v>
      </c>
      <c r="O31">
        <v>173127</v>
      </c>
      <c r="P31">
        <v>158074</v>
      </c>
      <c r="Q31">
        <v>143018</v>
      </c>
      <c r="R31">
        <v>127965</v>
      </c>
      <c r="S31">
        <v>112909</v>
      </c>
      <c r="T31">
        <v>97856</v>
      </c>
      <c r="U31">
        <v>82799</v>
      </c>
      <c r="V31">
        <v>67746</v>
      </c>
      <c r="W31">
        <v>52690</v>
      </c>
      <c r="X31">
        <v>37637</v>
      </c>
      <c r="Y31">
        <v>22581</v>
      </c>
      <c r="Z31">
        <v>7528</v>
      </c>
    </row>
    <row r="32" spans="3:26" x14ac:dyDescent="0.3">
      <c r="C32" t="s">
        <v>122</v>
      </c>
      <c r="D32">
        <v>0</v>
      </c>
      <c r="E32">
        <v>0</v>
      </c>
      <c r="F32">
        <v>337433</v>
      </c>
      <c r="G32">
        <v>324780</v>
      </c>
      <c r="H32">
        <v>300420</v>
      </c>
      <c r="I32">
        <v>277890</v>
      </c>
      <c r="J32">
        <v>257047</v>
      </c>
      <c r="K32">
        <v>237769</v>
      </c>
      <c r="L32">
        <v>219936</v>
      </c>
      <c r="M32">
        <v>203442</v>
      </c>
      <c r="N32">
        <v>188183</v>
      </c>
      <c r="O32">
        <v>173127</v>
      </c>
      <c r="P32">
        <v>158074</v>
      </c>
      <c r="Q32">
        <v>143018</v>
      </c>
      <c r="R32">
        <v>127965</v>
      </c>
      <c r="S32">
        <v>112909</v>
      </c>
      <c r="T32">
        <v>97856</v>
      </c>
      <c r="U32">
        <v>82799</v>
      </c>
      <c r="V32">
        <v>67746</v>
      </c>
      <c r="W32">
        <v>52690</v>
      </c>
      <c r="X32">
        <v>37637</v>
      </c>
      <c r="Y32">
        <v>22581</v>
      </c>
      <c r="Z32">
        <v>7528</v>
      </c>
    </row>
    <row r="33" spans="3:26" x14ac:dyDescent="0.3">
      <c r="C33" t="s">
        <v>123</v>
      </c>
      <c r="D33">
        <v>0</v>
      </c>
      <c r="E33">
        <v>0</v>
      </c>
      <c r="F33">
        <v>344416</v>
      </c>
      <c r="G33">
        <v>331500</v>
      </c>
      <c r="H33">
        <v>306637</v>
      </c>
      <c r="I33">
        <v>283640</v>
      </c>
      <c r="J33">
        <v>262366</v>
      </c>
      <c r="K33">
        <v>242689</v>
      </c>
      <c r="L33">
        <v>224487</v>
      </c>
      <c r="M33">
        <v>207652</v>
      </c>
      <c r="N33">
        <v>192077</v>
      </c>
      <c r="O33">
        <v>176710</v>
      </c>
      <c r="P33">
        <v>161345</v>
      </c>
      <c r="Q33">
        <v>145977</v>
      </c>
      <c r="R33">
        <v>130613</v>
      </c>
      <c r="S33">
        <v>115245</v>
      </c>
      <c r="T33">
        <v>99881</v>
      </c>
      <c r="U33">
        <v>84513</v>
      </c>
      <c r="V33">
        <v>69148</v>
      </c>
      <c r="W33">
        <v>53781</v>
      </c>
      <c r="X33">
        <v>38416</v>
      </c>
      <c r="Y33">
        <v>23048</v>
      </c>
      <c r="Z33">
        <v>7684</v>
      </c>
    </row>
    <row r="34" spans="3:26" x14ac:dyDescent="0.3">
      <c r="C34" t="s">
        <v>124</v>
      </c>
      <c r="D34">
        <v>0</v>
      </c>
      <c r="E34">
        <v>0</v>
      </c>
      <c r="F34">
        <v>344416</v>
      </c>
      <c r="G34">
        <v>331500</v>
      </c>
      <c r="H34">
        <v>306637</v>
      </c>
      <c r="I34">
        <v>283640</v>
      </c>
      <c r="J34">
        <v>262366</v>
      </c>
      <c r="K34">
        <v>242689</v>
      </c>
      <c r="L34">
        <v>224487</v>
      </c>
      <c r="M34">
        <v>207652</v>
      </c>
      <c r="N34">
        <v>192077</v>
      </c>
      <c r="O34">
        <v>176710</v>
      </c>
      <c r="P34">
        <v>161345</v>
      </c>
      <c r="Q34">
        <v>145977</v>
      </c>
      <c r="R34">
        <v>130613</v>
      </c>
      <c r="S34">
        <v>115245</v>
      </c>
      <c r="T34">
        <v>99881</v>
      </c>
      <c r="U34">
        <v>84513</v>
      </c>
      <c r="V34">
        <v>69148</v>
      </c>
      <c r="W34">
        <v>53781</v>
      </c>
      <c r="X34">
        <v>38416</v>
      </c>
      <c r="Y34">
        <v>23048</v>
      </c>
      <c r="Z34">
        <v>7684</v>
      </c>
    </row>
    <row r="35" spans="3:26" x14ac:dyDescent="0.3">
      <c r="C35" t="s">
        <v>125</v>
      </c>
      <c r="D35">
        <v>0</v>
      </c>
      <c r="E35">
        <v>0</v>
      </c>
      <c r="F35">
        <v>344416</v>
      </c>
      <c r="G35">
        <v>331500</v>
      </c>
      <c r="H35">
        <v>306637</v>
      </c>
      <c r="I35">
        <v>283640</v>
      </c>
      <c r="J35">
        <v>262366</v>
      </c>
      <c r="K35">
        <v>242689</v>
      </c>
      <c r="L35">
        <v>224487</v>
      </c>
      <c r="M35">
        <v>207652</v>
      </c>
      <c r="N35">
        <v>192077</v>
      </c>
      <c r="O35">
        <v>176710</v>
      </c>
      <c r="P35">
        <v>161345</v>
      </c>
      <c r="Q35">
        <v>145977</v>
      </c>
      <c r="R35">
        <v>130613</v>
      </c>
      <c r="S35">
        <v>115245</v>
      </c>
      <c r="T35">
        <v>99881</v>
      </c>
      <c r="U35">
        <v>84513</v>
      </c>
      <c r="V35">
        <v>69148</v>
      </c>
      <c r="W35">
        <v>53781</v>
      </c>
      <c r="X35">
        <v>38416</v>
      </c>
      <c r="Y35">
        <v>23048</v>
      </c>
      <c r="Z35">
        <v>7684</v>
      </c>
    </row>
    <row r="36" spans="3:26" x14ac:dyDescent="0.3">
      <c r="C36" t="s">
        <v>126</v>
      </c>
      <c r="D36">
        <v>0</v>
      </c>
      <c r="E36">
        <v>0</v>
      </c>
      <c r="F36">
        <v>344416</v>
      </c>
      <c r="G36">
        <v>331500</v>
      </c>
      <c r="H36">
        <v>306637</v>
      </c>
      <c r="I36">
        <v>283640</v>
      </c>
      <c r="J36">
        <v>262366</v>
      </c>
      <c r="K36">
        <v>242689</v>
      </c>
      <c r="L36">
        <v>224487</v>
      </c>
      <c r="M36">
        <v>207652</v>
      </c>
      <c r="N36">
        <v>192077</v>
      </c>
      <c r="O36">
        <v>176710</v>
      </c>
      <c r="P36">
        <v>161345</v>
      </c>
      <c r="Q36">
        <v>145977</v>
      </c>
      <c r="R36">
        <v>130613</v>
      </c>
      <c r="S36">
        <v>115245</v>
      </c>
      <c r="T36">
        <v>99881</v>
      </c>
      <c r="U36">
        <v>84513</v>
      </c>
      <c r="V36">
        <v>69148</v>
      </c>
      <c r="W36">
        <v>53781</v>
      </c>
      <c r="X36">
        <v>38416</v>
      </c>
      <c r="Y36">
        <v>23048</v>
      </c>
      <c r="Z36">
        <v>7684</v>
      </c>
    </row>
    <row r="37" spans="3:26" x14ac:dyDescent="0.3">
      <c r="C37" t="s">
        <v>127</v>
      </c>
      <c r="D37">
        <v>0</v>
      </c>
      <c r="E37">
        <v>0</v>
      </c>
      <c r="F37">
        <v>305460</v>
      </c>
      <c r="G37">
        <v>294006</v>
      </c>
      <c r="H37">
        <v>271955</v>
      </c>
      <c r="I37">
        <v>251559</v>
      </c>
      <c r="J37">
        <v>232691</v>
      </c>
      <c r="K37">
        <v>215240</v>
      </c>
      <c r="L37">
        <v>199096</v>
      </c>
      <c r="M37">
        <v>184165</v>
      </c>
      <c r="N37">
        <v>170352</v>
      </c>
      <c r="O37">
        <v>156723</v>
      </c>
      <c r="P37">
        <v>143096</v>
      </c>
      <c r="Q37">
        <v>129466</v>
      </c>
      <c r="R37">
        <v>115840</v>
      </c>
      <c r="S37">
        <v>102210</v>
      </c>
      <c r="T37">
        <v>88584</v>
      </c>
      <c r="U37">
        <v>74954</v>
      </c>
      <c r="V37">
        <v>61327</v>
      </c>
      <c r="W37">
        <v>47698</v>
      </c>
      <c r="X37">
        <v>34071</v>
      </c>
      <c r="Y37">
        <v>20441</v>
      </c>
      <c r="Z37">
        <v>6815</v>
      </c>
    </row>
    <row r="38" spans="3:26" x14ac:dyDescent="0.3">
      <c r="C38" t="s">
        <v>128</v>
      </c>
      <c r="D38">
        <v>0</v>
      </c>
      <c r="E38">
        <v>0</v>
      </c>
      <c r="F38">
        <v>305460</v>
      </c>
      <c r="G38">
        <v>294006</v>
      </c>
      <c r="H38">
        <v>271955</v>
      </c>
      <c r="I38">
        <v>251559</v>
      </c>
      <c r="J38">
        <v>232691</v>
      </c>
      <c r="K38">
        <v>215240</v>
      </c>
      <c r="L38">
        <v>199096</v>
      </c>
      <c r="M38">
        <v>184165</v>
      </c>
      <c r="N38">
        <v>170352</v>
      </c>
      <c r="O38">
        <v>156723</v>
      </c>
      <c r="P38">
        <v>143096</v>
      </c>
      <c r="Q38">
        <v>129466</v>
      </c>
      <c r="R38">
        <v>115840</v>
      </c>
      <c r="S38">
        <v>102210</v>
      </c>
      <c r="T38">
        <v>88584</v>
      </c>
      <c r="U38">
        <v>74954</v>
      </c>
      <c r="V38">
        <v>61327</v>
      </c>
      <c r="W38">
        <v>47698</v>
      </c>
      <c r="X38">
        <v>34071</v>
      </c>
      <c r="Y38">
        <v>20441</v>
      </c>
      <c r="Z38">
        <v>6815</v>
      </c>
    </row>
    <row r="39" spans="3:26" x14ac:dyDescent="0.3">
      <c r="C39" t="s">
        <v>129</v>
      </c>
      <c r="D39">
        <v>0</v>
      </c>
      <c r="E39">
        <v>0</v>
      </c>
      <c r="F39">
        <v>156954</v>
      </c>
      <c r="G39">
        <v>151069</v>
      </c>
      <c r="H39">
        <v>139738</v>
      </c>
      <c r="I39">
        <v>129258</v>
      </c>
      <c r="J39">
        <v>119563</v>
      </c>
      <c r="K39">
        <v>110596</v>
      </c>
      <c r="L39">
        <v>102301</v>
      </c>
      <c r="M39">
        <v>94629</v>
      </c>
      <c r="N39">
        <v>87532</v>
      </c>
      <c r="O39">
        <v>80529</v>
      </c>
      <c r="P39">
        <v>73527</v>
      </c>
      <c r="Q39">
        <v>66524</v>
      </c>
      <c r="R39">
        <v>59522</v>
      </c>
      <c r="S39">
        <v>52519</v>
      </c>
      <c r="T39">
        <v>45517</v>
      </c>
      <c r="U39">
        <v>38513</v>
      </c>
      <c r="V39">
        <v>31512</v>
      </c>
      <c r="W39">
        <v>24508</v>
      </c>
      <c r="X39">
        <v>17507</v>
      </c>
      <c r="Y39">
        <v>10503</v>
      </c>
      <c r="Z39">
        <v>3502</v>
      </c>
    </row>
    <row r="40" spans="3:26" x14ac:dyDescent="0.3">
      <c r="C40" t="s">
        <v>130</v>
      </c>
      <c r="D40">
        <v>0</v>
      </c>
      <c r="E40">
        <v>0</v>
      </c>
      <c r="F40">
        <v>156954</v>
      </c>
      <c r="G40">
        <v>151069</v>
      </c>
      <c r="H40">
        <v>139738</v>
      </c>
      <c r="I40">
        <v>129258</v>
      </c>
      <c r="J40">
        <v>119563</v>
      </c>
      <c r="K40">
        <v>110596</v>
      </c>
      <c r="L40">
        <v>102301</v>
      </c>
      <c r="M40">
        <v>94629</v>
      </c>
      <c r="N40">
        <v>87532</v>
      </c>
      <c r="O40">
        <v>80529</v>
      </c>
      <c r="P40">
        <v>73527</v>
      </c>
      <c r="Q40">
        <v>66524</v>
      </c>
      <c r="R40">
        <v>59522</v>
      </c>
      <c r="S40">
        <v>52519</v>
      </c>
      <c r="T40">
        <v>45517</v>
      </c>
      <c r="U40">
        <v>38513</v>
      </c>
      <c r="V40">
        <v>31512</v>
      </c>
      <c r="W40">
        <v>24508</v>
      </c>
      <c r="X40">
        <v>17507</v>
      </c>
      <c r="Y40">
        <v>10503</v>
      </c>
      <c r="Z40">
        <v>3502</v>
      </c>
    </row>
    <row r="41" spans="3:26" x14ac:dyDescent="0.3">
      <c r="C41" t="s">
        <v>131</v>
      </c>
      <c r="D41">
        <v>0</v>
      </c>
      <c r="E41">
        <v>0</v>
      </c>
      <c r="F41">
        <v>156954</v>
      </c>
      <c r="G41">
        <v>151069</v>
      </c>
      <c r="H41">
        <v>139738</v>
      </c>
      <c r="I41">
        <v>129258</v>
      </c>
      <c r="J41">
        <v>119563</v>
      </c>
      <c r="K41">
        <v>110596</v>
      </c>
      <c r="L41">
        <v>102301</v>
      </c>
      <c r="M41">
        <v>94629</v>
      </c>
      <c r="N41">
        <v>87532</v>
      </c>
      <c r="O41">
        <v>80529</v>
      </c>
      <c r="P41">
        <v>73527</v>
      </c>
      <c r="Q41">
        <v>66524</v>
      </c>
      <c r="R41">
        <v>59522</v>
      </c>
      <c r="S41">
        <v>52519</v>
      </c>
      <c r="T41">
        <v>45517</v>
      </c>
      <c r="U41">
        <v>38513</v>
      </c>
      <c r="V41">
        <v>31512</v>
      </c>
      <c r="W41">
        <v>24508</v>
      </c>
      <c r="X41">
        <v>17507</v>
      </c>
      <c r="Y41">
        <v>10503</v>
      </c>
      <c r="Z41">
        <v>3502</v>
      </c>
    </row>
    <row r="42" spans="3:26" x14ac:dyDescent="0.3">
      <c r="C42" t="s">
        <v>132</v>
      </c>
      <c r="D42">
        <v>0</v>
      </c>
      <c r="E42">
        <v>0</v>
      </c>
      <c r="F42">
        <v>156954</v>
      </c>
      <c r="G42">
        <v>151069</v>
      </c>
      <c r="H42">
        <v>139738</v>
      </c>
      <c r="I42">
        <v>129258</v>
      </c>
      <c r="J42">
        <v>119563</v>
      </c>
      <c r="K42">
        <v>110596</v>
      </c>
      <c r="L42">
        <v>102301</v>
      </c>
      <c r="M42">
        <v>94629</v>
      </c>
      <c r="N42">
        <v>87532</v>
      </c>
      <c r="O42">
        <v>80529</v>
      </c>
      <c r="P42">
        <v>73527</v>
      </c>
      <c r="Q42">
        <v>66524</v>
      </c>
      <c r="R42">
        <v>59522</v>
      </c>
      <c r="S42">
        <v>52519</v>
      </c>
      <c r="T42">
        <v>45517</v>
      </c>
      <c r="U42">
        <v>38513</v>
      </c>
      <c r="V42">
        <v>31512</v>
      </c>
      <c r="W42">
        <v>24508</v>
      </c>
      <c r="X42">
        <v>17507</v>
      </c>
      <c r="Y42">
        <v>10503</v>
      </c>
      <c r="Z42">
        <v>3502</v>
      </c>
    </row>
    <row r="43" spans="3:26" x14ac:dyDescent="0.3">
      <c r="C43" t="s">
        <v>133</v>
      </c>
      <c r="D43">
        <v>0</v>
      </c>
      <c r="E43">
        <v>0</v>
      </c>
      <c r="F43">
        <v>142801</v>
      </c>
      <c r="G43">
        <v>135661</v>
      </c>
      <c r="H43">
        <v>122095</v>
      </c>
      <c r="I43">
        <v>109886</v>
      </c>
      <c r="J43">
        <v>98890</v>
      </c>
      <c r="K43">
        <v>88994</v>
      </c>
      <c r="L43">
        <v>80097</v>
      </c>
      <c r="M43">
        <v>71672</v>
      </c>
      <c r="N43">
        <v>63247</v>
      </c>
      <c r="O43">
        <v>54807</v>
      </c>
      <c r="P43">
        <v>46382</v>
      </c>
      <c r="Q43">
        <v>37942</v>
      </c>
      <c r="R43">
        <v>29517</v>
      </c>
      <c r="S43">
        <v>21077</v>
      </c>
      <c r="T43">
        <v>12652</v>
      </c>
      <c r="U43">
        <v>4213</v>
      </c>
      <c r="V43">
        <v>0</v>
      </c>
      <c r="W43">
        <v>0</v>
      </c>
      <c r="X43">
        <v>0</v>
      </c>
      <c r="Y43">
        <v>257915</v>
      </c>
      <c r="Z43">
        <v>245019</v>
      </c>
    </row>
    <row r="44" spans="3:26" x14ac:dyDescent="0.3">
      <c r="C44" t="s">
        <v>134</v>
      </c>
      <c r="D44">
        <v>0</v>
      </c>
      <c r="E44">
        <v>0</v>
      </c>
      <c r="F44">
        <v>88546</v>
      </c>
      <c r="G44">
        <v>84118</v>
      </c>
      <c r="H44">
        <v>75706</v>
      </c>
      <c r="I44">
        <v>68136</v>
      </c>
      <c r="J44">
        <v>61318</v>
      </c>
      <c r="K44">
        <v>55182</v>
      </c>
      <c r="L44">
        <v>49665</v>
      </c>
      <c r="M44">
        <v>44441</v>
      </c>
      <c r="N44">
        <v>39217</v>
      </c>
      <c r="O44">
        <v>33984</v>
      </c>
      <c r="P44">
        <v>28760</v>
      </c>
      <c r="Q44">
        <v>23527</v>
      </c>
      <c r="R44">
        <v>18302</v>
      </c>
      <c r="S44">
        <v>13069</v>
      </c>
      <c r="T44">
        <v>7845</v>
      </c>
      <c r="U44">
        <v>2612</v>
      </c>
      <c r="V44">
        <v>0</v>
      </c>
      <c r="W44">
        <v>0</v>
      </c>
      <c r="X44">
        <v>0</v>
      </c>
      <c r="Y44">
        <v>159923</v>
      </c>
      <c r="Z44">
        <v>151927</v>
      </c>
    </row>
    <row r="45" spans="3:26" x14ac:dyDescent="0.3">
      <c r="C45" t="s">
        <v>135</v>
      </c>
      <c r="D45">
        <v>0</v>
      </c>
      <c r="E45">
        <v>0</v>
      </c>
      <c r="F45">
        <v>95555</v>
      </c>
      <c r="G45">
        <v>90777</v>
      </c>
      <c r="H45">
        <v>81699</v>
      </c>
      <c r="I45">
        <v>73529</v>
      </c>
      <c r="J45">
        <v>66172</v>
      </c>
      <c r="K45">
        <v>59550</v>
      </c>
      <c r="L45">
        <v>53597</v>
      </c>
      <c r="M45">
        <v>47959</v>
      </c>
      <c r="N45">
        <v>42321</v>
      </c>
      <c r="O45">
        <v>36674</v>
      </c>
      <c r="P45">
        <v>31036</v>
      </c>
      <c r="Q45">
        <v>25389</v>
      </c>
      <c r="R45">
        <v>19751</v>
      </c>
      <c r="S45">
        <v>14104</v>
      </c>
      <c r="T45">
        <v>8466</v>
      </c>
      <c r="U45">
        <v>2819</v>
      </c>
      <c r="V45">
        <v>0</v>
      </c>
      <c r="W45">
        <v>0</v>
      </c>
      <c r="X45">
        <v>0</v>
      </c>
      <c r="Y45">
        <v>172582</v>
      </c>
      <c r="Z45">
        <v>163953</v>
      </c>
    </row>
    <row r="46" spans="3:26" x14ac:dyDescent="0.3">
      <c r="C46" t="s">
        <v>136</v>
      </c>
      <c r="D46">
        <v>0</v>
      </c>
      <c r="E46">
        <v>0</v>
      </c>
      <c r="F46">
        <v>86040</v>
      </c>
      <c r="G46">
        <v>81738</v>
      </c>
      <c r="H46">
        <v>73564</v>
      </c>
      <c r="I46">
        <v>66208</v>
      </c>
      <c r="J46">
        <v>59583</v>
      </c>
      <c r="K46">
        <v>53620</v>
      </c>
      <c r="L46">
        <v>48260</v>
      </c>
      <c r="M46">
        <v>43184</v>
      </c>
      <c r="N46">
        <v>38107</v>
      </c>
      <c r="O46">
        <v>33022</v>
      </c>
      <c r="P46">
        <v>27946</v>
      </c>
      <c r="Q46">
        <v>22861</v>
      </c>
      <c r="R46">
        <v>17784</v>
      </c>
      <c r="S46">
        <v>12700</v>
      </c>
      <c r="T46">
        <v>7623</v>
      </c>
      <c r="U46">
        <v>2538</v>
      </c>
      <c r="V46">
        <v>0</v>
      </c>
      <c r="W46">
        <v>0</v>
      </c>
      <c r="X46">
        <v>0</v>
      </c>
      <c r="Y46">
        <v>155398</v>
      </c>
      <c r="Z46">
        <v>147628</v>
      </c>
    </row>
    <row r="47" spans="3:26" x14ac:dyDescent="0.3">
      <c r="C47" t="s">
        <v>137</v>
      </c>
      <c r="D47">
        <v>0</v>
      </c>
      <c r="E47">
        <v>0</v>
      </c>
      <c r="F47">
        <v>90746</v>
      </c>
      <c r="G47">
        <v>87343</v>
      </c>
      <c r="H47">
        <v>80792</v>
      </c>
      <c r="I47">
        <v>74733</v>
      </c>
      <c r="J47">
        <v>69127</v>
      </c>
      <c r="K47">
        <v>63943</v>
      </c>
      <c r="L47">
        <v>59147</v>
      </c>
      <c r="M47">
        <v>54711</v>
      </c>
      <c r="N47">
        <v>50608</v>
      </c>
      <c r="O47">
        <v>46559</v>
      </c>
      <c r="P47">
        <v>42511</v>
      </c>
      <c r="Q47">
        <v>38462</v>
      </c>
      <c r="R47">
        <v>34413</v>
      </c>
      <c r="S47">
        <v>30364</v>
      </c>
      <c r="T47">
        <v>26316</v>
      </c>
      <c r="U47">
        <v>22267</v>
      </c>
      <c r="V47">
        <v>18219</v>
      </c>
      <c r="W47">
        <v>14170</v>
      </c>
      <c r="X47">
        <v>10122</v>
      </c>
      <c r="Y47">
        <v>6073</v>
      </c>
      <c r="Z47">
        <v>2025</v>
      </c>
    </row>
    <row r="48" spans="3:26" x14ac:dyDescent="0.3">
      <c r="C48" t="s">
        <v>138</v>
      </c>
      <c r="D48">
        <v>0</v>
      </c>
      <c r="E48">
        <v>0</v>
      </c>
      <c r="F48">
        <v>49693</v>
      </c>
      <c r="G48">
        <v>47829</v>
      </c>
      <c r="H48">
        <v>44242</v>
      </c>
      <c r="I48">
        <v>40924</v>
      </c>
      <c r="J48">
        <v>37854</v>
      </c>
      <c r="K48">
        <v>35015</v>
      </c>
      <c r="L48">
        <v>32389</v>
      </c>
      <c r="M48">
        <v>29960</v>
      </c>
      <c r="N48">
        <v>27713</v>
      </c>
      <c r="O48">
        <v>25496</v>
      </c>
      <c r="P48">
        <v>23279</v>
      </c>
      <c r="Q48">
        <v>21062</v>
      </c>
      <c r="R48">
        <v>18845</v>
      </c>
      <c r="S48">
        <v>16628</v>
      </c>
      <c r="T48">
        <v>14411</v>
      </c>
      <c r="U48">
        <v>12194</v>
      </c>
      <c r="V48">
        <v>9977</v>
      </c>
      <c r="W48">
        <v>7760</v>
      </c>
      <c r="X48">
        <v>5543</v>
      </c>
      <c r="Y48">
        <v>3325</v>
      </c>
      <c r="Z48">
        <v>1109</v>
      </c>
    </row>
    <row r="49" spans="3:26" x14ac:dyDescent="0.3">
      <c r="C49" t="s">
        <v>139</v>
      </c>
      <c r="D49">
        <v>0</v>
      </c>
      <c r="E49">
        <v>0</v>
      </c>
      <c r="F49">
        <v>49693</v>
      </c>
      <c r="G49">
        <v>47829</v>
      </c>
      <c r="H49">
        <v>44242</v>
      </c>
      <c r="I49">
        <v>40924</v>
      </c>
      <c r="J49">
        <v>37854</v>
      </c>
      <c r="K49">
        <v>35015</v>
      </c>
      <c r="L49">
        <v>32389</v>
      </c>
      <c r="M49">
        <v>29960</v>
      </c>
      <c r="N49">
        <v>27713</v>
      </c>
      <c r="O49">
        <v>25496</v>
      </c>
      <c r="P49">
        <v>23279</v>
      </c>
      <c r="Q49">
        <v>21062</v>
      </c>
      <c r="R49">
        <v>18845</v>
      </c>
      <c r="S49">
        <v>16628</v>
      </c>
      <c r="T49">
        <v>14411</v>
      </c>
      <c r="U49">
        <v>12194</v>
      </c>
      <c r="V49">
        <v>9977</v>
      </c>
      <c r="W49">
        <v>7760</v>
      </c>
      <c r="X49">
        <v>5543</v>
      </c>
      <c r="Y49">
        <v>3325</v>
      </c>
      <c r="Z49">
        <v>1109</v>
      </c>
    </row>
    <row r="50" spans="3:26" x14ac:dyDescent="0.3">
      <c r="C50" t="s">
        <v>140</v>
      </c>
      <c r="D50">
        <v>0</v>
      </c>
      <c r="E50">
        <v>0</v>
      </c>
      <c r="F50">
        <v>8228</v>
      </c>
      <c r="G50">
        <v>7817</v>
      </c>
      <c r="H50">
        <v>7035</v>
      </c>
      <c r="I50">
        <v>6331</v>
      </c>
      <c r="J50">
        <v>5698</v>
      </c>
      <c r="K50">
        <v>5128</v>
      </c>
      <c r="L50">
        <v>4615</v>
      </c>
      <c r="M50">
        <v>4130</v>
      </c>
      <c r="N50">
        <v>3644</v>
      </c>
      <c r="O50">
        <v>3158</v>
      </c>
      <c r="P50">
        <v>2672</v>
      </c>
      <c r="Q50">
        <v>2186</v>
      </c>
      <c r="R50">
        <v>1701</v>
      </c>
      <c r="S50">
        <v>1214</v>
      </c>
      <c r="T50">
        <v>729</v>
      </c>
      <c r="U50">
        <v>243</v>
      </c>
      <c r="V50">
        <v>0</v>
      </c>
      <c r="W50">
        <v>0</v>
      </c>
      <c r="X50">
        <v>0</v>
      </c>
      <c r="Y50">
        <v>14861</v>
      </c>
      <c r="Z50">
        <v>14118</v>
      </c>
    </row>
    <row r="51" spans="3:26" x14ac:dyDescent="0.3">
      <c r="C51" t="s">
        <v>141</v>
      </c>
      <c r="D51">
        <v>0</v>
      </c>
      <c r="E51">
        <v>0</v>
      </c>
      <c r="F51">
        <v>176557</v>
      </c>
      <c r="G51">
        <v>151327</v>
      </c>
      <c r="H51">
        <v>108088</v>
      </c>
      <c r="I51">
        <v>77208</v>
      </c>
      <c r="J51">
        <v>55156</v>
      </c>
      <c r="K51">
        <v>39390</v>
      </c>
      <c r="L51">
        <v>23641</v>
      </c>
      <c r="M51">
        <v>7874</v>
      </c>
      <c r="N51">
        <v>0</v>
      </c>
      <c r="O51">
        <v>237277</v>
      </c>
      <c r="P51">
        <v>203370</v>
      </c>
      <c r="Q51">
        <v>145261</v>
      </c>
      <c r="R51">
        <v>103761</v>
      </c>
      <c r="S51">
        <v>74125</v>
      </c>
      <c r="T51">
        <v>52937</v>
      </c>
      <c r="U51">
        <v>31771</v>
      </c>
      <c r="V51">
        <v>10583</v>
      </c>
      <c r="W51">
        <v>0</v>
      </c>
      <c r="X51">
        <v>0</v>
      </c>
      <c r="Y51">
        <v>318881</v>
      </c>
      <c r="Z51">
        <v>273313</v>
      </c>
    </row>
    <row r="52" spans="3:26" x14ac:dyDescent="0.3">
      <c r="C52" t="s">
        <v>142</v>
      </c>
      <c r="D52">
        <v>0</v>
      </c>
      <c r="E52">
        <v>0</v>
      </c>
      <c r="F52">
        <v>1478608</v>
      </c>
      <c r="G52">
        <v>1404677</v>
      </c>
      <c r="H52">
        <v>1264210</v>
      </c>
      <c r="I52">
        <v>1137789</v>
      </c>
      <c r="J52">
        <v>1023936</v>
      </c>
      <c r="K52">
        <v>921468</v>
      </c>
      <c r="L52">
        <v>829351</v>
      </c>
      <c r="M52">
        <v>742113</v>
      </c>
      <c r="N52">
        <v>654875</v>
      </c>
      <c r="O52">
        <v>567490</v>
      </c>
      <c r="P52">
        <v>480252</v>
      </c>
      <c r="Q52">
        <v>392866</v>
      </c>
      <c r="R52">
        <v>305628</v>
      </c>
      <c r="S52">
        <v>218243</v>
      </c>
      <c r="T52">
        <v>131005</v>
      </c>
      <c r="U52">
        <v>43619</v>
      </c>
      <c r="V52">
        <v>0</v>
      </c>
      <c r="W52">
        <v>0</v>
      </c>
      <c r="X52">
        <v>0</v>
      </c>
      <c r="Y52">
        <v>2670530</v>
      </c>
      <c r="Z52">
        <v>2537004</v>
      </c>
    </row>
    <row r="53" spans="3:26" x14ac:dyDescent="0.3">
      <c r="C53" t="s">
        <v>143</v>
      </c>
      <c r="D53">
        <v>0</v>
      </c>
      <c r="E53">
        <v>0</v>
      </c>
      <c r="F53">
        <v>654999</v>
      </c>
      <c r="G53">
        <v>622249</v>
      </c>
      <c r="H53">
        <v>560024</v>
      </c>
      <c r="I53">
        <v>504021</v>
      </c>
      <c r="J53">
        <v>453587</v>
      </c>
      <c r="K53">
        <v>408195</v>
      </c>
      <c r="L53">
        <v>367389</v>
      </c>
      <c r="M53">
        <v>328744</v>
      </c>
      <c r="N53">
        <v>290099</v>
      </c>
      <c r="O53">
        <v>251388</v>
      </c>
      <c r="P53">
        <v>212744</v>
      </c>
      <c r="Q53">
        <v>174033</v>
      </c>
      <c r="R53">
        <v>135388</v>
      </c>
      <c r="S53">
        <v>96678</v>
      </c>
      <c r="T53">
        <v>58033</v>
      </c>
      <c r="U53">
        <v>19322</v>
      </c>
      <c r="V53">
        <v>0</v>
      </c>
      <c r="W53">
        <v>0</v>
      </c>
      <c r="X53">
        <v>0</v>
      </c>
      <c r="Y53">
        <v>1183000</v>
      </c>
      <c r="Z53">
        <v>1123850</v>
      </c>
    </row>
    <row r="54" spans="3:26" x14ac:dyDescent="0.3">
      <c r="C54" t="s">
        <v>144</v>
      </c>
      <c r="D54">
        <v>0</v>
      </c>
      <c r="E54">
        <v>0</v>
      </c>
      <c r="F54">
        <v>158268</v>
      </c>
      <c r="G54">
        <v>135651</v>
      </c>
      <c r="H54">
        <v>96891</v>
      </c>
      <c r="I54">
        <v>69210</v>
      </c>
      <c r="J54">
        <v>49443</v>
      </c>
      <c r="K54">
        <v>35309</v>
      </c>
      <c r="L54">
        <v>21192</v>
      </c>
      <c r="M54">
        <v>7059</v>
      </c>
      <c r="N54">
        <v>0</v>
      </c>
      <c r="O54">
        <v>212698</v>
      </c>
      <c r="P54">
        <v>182304</v>
      </c>
      <c r="Q54">
        <v>130214</v>
      </c>
      <c r="R54">
        <v>93013</v>
      </c>
      <c r="S54">
        <v>66447</v>
      </c>
      <c r="T54">
        <v>47453</v>
      </c>
      <c r="U54">
        <v>28480</v>
      </c>
      <c r="V54">
        <v>9486</v>
      </c>
      <c r="W54">
        <v>0</v>
      </c>
      <c r="X54">
        <v>0</v>
      </c>
      <c r="Y54">
        <v>285849</v>
      </c>
      <c r="Z54">
        <v>245001</v>
      </c>
    </row>
    <row r="55" spans="3:26" x14ac:dyDescent="0.3">
      <c r="C55" t="s">
        <v>145</v>
      </c>
      <c r="D55">
        <v>0</v>
      </c>
      <c r="E55">
        <v>0</v>
      </c>
      <c r="F55">
        <v>140586</v>
      </c>
      <c r="G55">
        <v>133557</v>
      </c>
      <c r="H55">
        <v>120201</v>
      </c>
      <c r="I55">
        <v>108181</v>
      </c>
      <c r="J55">
        <v>97356</v>
      </c>
      <c r="K55">
        <v>87613</v>
      </c>
      <c r="L55">
        <v>78855</v>
      </c>
      <c r="M55">
        <v>70560</v>
      </c>
      <c r="N55">
        <v>62266</v>
      </c>
      <c r="O55">
        <v>53957</v>
      </c>
      <c r="P55">
        <v>45662</v>
      </c>
      <c r="Q55">
        <v>37354</v>
      </c>
      <c r="R55">
        <v>29059</v>
      </c>
      <c r="S55">
        <v>20751</v>
      </c>
      <c r="T55">
        <v>12456</v>
      </c>
      <c r="U55">
        <v>4147</v>
      </c>
      <c r="V55">
        <v>0</v>
      </c>
      <c r="W55">
        <v>0</v>
      </c>
      <c r="X55">
        <v>0</v>
      </c>
      <c r="Y55">
        <v>253914</v>
      </c>
      <c r="Z55">
        <v>241219</v>
      </c>
    </row>
    <row r="56" spans="3:26" x14ac:dyDescent="0.3">
      <c r="C56" t="s">
        <v>146</v>
      </c>
      <c r="D56">
        <v>0</v>
      </c>
      <c r="E56">
        <v>0</v>
      </c>
      <c r="F56">
        <v>95589</v>
      </c>
      <c r="G56">
        <v>81929</v>
      </c>
      <c r="H56">
        <v>58519</v>
      </c>
      <c r="I56">
        <v>41801</v>
      </c>
      <c r="J56">
        <v>29862</v>
      </c>
      <c r="K56">
        <v>21326</v>
      </c>
      <c r="L56">
        <v>12799</v>
      </c>
      <c r="M56">
        <v>4263</v>
      </c>
      <c r="N56">
        <v>0</v>
      </c>
      <c r="O56">
        <v>128463</v>
      </c>
      <c r="P56">
        <v>110106</v>
      </c>
      <c r="Q56">
        <v>78645</v>
      </c>
      <c r="R56">
        <v>56177</v>
      </c>
      <c r="S56">
        <v>40132</v>
      </c>
      <c r="T56">
        <v>28660</v>
      </c>
      <c r="U56">
        <v>17201</v>
      </c>
      <c r="V56">
        <v>5729</v>
      </c>
      <c r="W56">
        <v>0</v>
      </c>
      <c r="X56">
        <v>0</v>
      </c>
      <c r="Y56">
        <v>172644</v>
      </c>
      <c r="Z56">
        <v>147973</v>
      </c>
    </row>
    <row r="57" spans="3:26" x14ac:dyDescent="0.3">
      <c r="C57" t="s">
        <v>140</v>
      </c>
      <c r="D57">
        <v>0</v>
      </c>
      <c r="E57">
        <v>0</v>
      </c>
      <c r="F57">
        <v>28962</v>
      </c>
      <c r="G57">
        <v>24824</v>
      </c>
      <c r="H57">
        <v>17731</v>
      </c>
      <c r="I57">
        <v>12665</v>
      </c>
      <c r="J57">
        <v>9048</v>
      </c>
      <c r="K57">
        <v>6461</v>
      </c>
      <c r="L57">
        <v>3878</v>
      </c>
      <c r="M57">
        <v>1292</v>
      </c>
      <c r="N57">
        <v>0</v>
      </c>
      <c r="O57">
        <v>38923</v>
      </c>
      <c r="P57">
        <v>33361</v>
      </c>
      <c r="Q57">
        <v>23829</v>
      </c>
      <c r="R57">
        <v>17021</v>
      </c>
      <c r="S57">
        <v>12159</v>
      </c>
      <c r="T57">
        <v>8684</v>
      </c>
      <c r="U57">
        <v>5212</v>
      </c>
      <c r="V57">
        <v>1736</v>
      </c>
      <c r="W57">
        <v>0</v>
      </c>
      <c r="X57">
        <v>0</v>
      </c>
      <c r="Y57">
        <v>52309</v>
      </c>
      <c r="Z57">
        <v>44834</v>
      </c>
    </row>
    <row r="58" spans="3:26" x14ac:dyDescent="0.3">
      <c r="C58" t="s">
        <v>147</v>
      </c>
      <c r="D58">
        <v>0</v>
      </c>
      <c r="E58">
        <v>0</v>
      </c>
      <c r="F58">
        <v>49179</v>
      </c>
      <c r="G58">
        <v>42151</v>
      </c>
      <c r="H58">
        <v>30107</v>
      </c>
      <c r="I58">
        <v>21506</v>
      </c>
      <c r="J58">
        <v>15364</v>
      </c>
      <c r="K58">
        <v>10972</v>
      </c>
      <c r="L58">
        <v>6585</v>
      </c>
      <c r="M58">
        <v>2193</v>
      </c>
      <c r="N58">
        <v>0</v>
      </c>
      <c r="O58">
        <v>66092</v>
      </c>
      <c r="P58">
        <v>56648</v>
      </c>
      <c r="Q58">
        <v>40462</v>
      </c>
      <c r="R58">
        <v>28902</v>
      </c>
      <c r="S58">
        <v>20647</v>
      </c>
      <c r="T58">
        <v>14745</v>
      </c>
      <c r="U58">
        <v>8850</v>
      </c>
      <c r="V58">
        <v>2948</v>
      </c>
      <c r="W58">
        <v>0</v>
      </c>
      <c r="X58">
        <v>0</v>
      </c>
      <c r="Y58">
        <v>88823</v>
      </c>
      <c r="Z58">
        <v>76130</v>
      </c>
    </row>
    <row r="59" spans="3:26" x14ac:dyDescent="0.3">
      <c r="C59" t="s">
        <v>148</v>
      </c>
      <c r="D59">
        <v>0</v>
      </c>
      <c r="E59">
        <v>0</v>
      </c>
      <c r="F59">
        <v>49179</v>
      </c>
      <c r="G59">
        <v>42151</v>
      </c>
      <c r="H59">
        <v>30107</v>
      </c>
      <c r="I59">
        <v>21506</v>
      </c>
      <c r="J59">
        <v>15364</v>
      </c>
      <c r="K59">
        <v>10972</v>
      </c>
      <c r="L59">
        <v>6585</v>
      </c>
      <c r="M59">
        <v>2193</v>
      </c>
      <c r="N59">
        <v>0</v>
      </c>
      <c r="O59">
        <v>66092</v>
      </c>
      <c r="P59">
        <v>56648</v>
      </c>
      <c r="Q59">
        <v>40462</v>
      </c>
      <c r="R59">
        <v>28902</v>
      </c>
      <c r="S59">
        <v>20647</v>
      </c>
      <c r="T59">
        <v>14745</v>
      </c>
      <c r="U59">
        <v>8850</v>
      </c>
      <c r="V59">
        <v>2948</v>
      </c>
      <c r="W59">
        <v>0</v>
      </c>
      <c r="X59">
        <v>0</v>
      </c>
      <c r="Y59">
        <v>88823</v>
      </c>
      <c r="Z59">
        <v>76130</v>
      </c>
    </row>
    <row r="60" spans="3:26" x14ac:dyDescent="0.3">
      <c r="C60" t="s">
        <v>149</v>
      </c>
      <c r="D60">
        <v>0</v>
      </c>
      <c r="E60">
        <v>0</v>
      </c>
      <c r="F60">
        <v>49170</v>
      </c>
      <c r="G60">
        <v>42143</v>
      </c>
      <c r="H60">
        <v>30102</v>
      </c>
      <c r="I60">
        <v>21502</v>
      </c>
      <c r="J60">
        <v>15361</v>
      </c>
      <c r="K60">
        <v>10970</v>
      </c>
      <c r="L60">
        <v>6584</v>
      </c>
      <c r="M60">
        <v>2193</v>
      </c>
      <c r="N60">
        <v>0</v>
      </c>
      <c r="O60">
        <v>66080</v>
      </c>
      <c r="P60">
        <v>56637</v>
      </c>
      <c r="Q60">
        <v>40454</v>
      </c>
      <c r="R60">
        <v>28897</v>
      </c>
      <c r="S60">
        <v>20643</v>
      </c>
      <c r="T60">
        <v>14742</v>
      </c>
      <c r="U60">
        <v>8848</v>
      </c>
      <c r="V60">
        <v>2947</v>
      </c>
      <c r="W60">
        <v>0</v>
      </c>
      <c r="X60">
        <v>0</v>
      </c>
      <c r="Y60">
        <v>88806</v>
      </c>
      <c r="Z60">
        <v>76115</v>
      </c>
    </row>
    <row r="61" spans="3:26" x14ac:dyDescent="0.3">
      <c r="C61" t="s">
        <v>150</v>
      </c>
      <c r="D61">
        <v>0</v>
      </c>
      <c r="E61">
        <v>0</v>
      </c>
      <c r="F61">
        <v>49172</v>
      </c>
      <c r="G61">
        <v>42146</v>
      </c>
      <c r="H61">
        <v>30103</v>
      </c>
      <c r="I61">
        <v>21503</v>
      </c>
      <c r="J61">
        <v>15361</v>
      </c>
      <c r="K61">
        <v>10970</v>
      </c>
      <c r="L61">
        <v>6584</v>
      </c>
      <c r="M61">
        <v>2193</v>
      </c>
      <c r="N61">
        <v>0</v>
      </c>
      <c r="O61">
        <v>66084</v>
      </c>
      <c r="P61">
        <v>56640</v>
      </c>
      <c r="Q61">
        <v>40456</v>
      </c>
      <c r="R61">
        <v>28898</v>
      </c>
      <c r="S61">
        <v>20645</v>
      </c>
      <c r="T61">
        <v>14743</v>
      </c>
      <c r="U61">
        <v>8849</v>
      </c>
      <c r="V61">
        <v>2947</v>
      </c>
      <c r="W61">
        <v>0</v>
      </c>
      <c r="X61">
        <v>0</v>
      </c>
      <c r="Y61">
        <v>88811</v>
      </c>
      <c r="Z61">
        <v>76120</v>
      </c>
    </row>
    <row r="62" spans="3:26" x14ac:dyDescent="0.3">
      <c r="C62" t="s">
        <v>151</v>
      </c>
      <c r="D62">
        <v>0</v>
      </c>
      <c r="E62">
        <v>0</v>
      </c>
      <c r="F62">
        <v>776466</v>
      </c>
      <c r="G62">
        <v>747349</v>
      </c>
      <c r="H62">
        <v>691296</v>
      </c>
      <c r="I62">
        <v>639451</v>
      </c>
      <c r="J62">
        <v>591489</v>
      </c>
      <c r="K62">
        <v>547129</v>
      </c>
      <c r="L62">
        <v>506093</v>
      </c>
      <c r="M62">
        <v>468139</v>
      </c>
      <c r="N62">
        <v>433027</v>
      </c>
      <c r="O62">
        <v>398382</v>
      </c>
      <c r="P62">
        <v>363743</v>
      </c>
      <c r="Q62">
        <v>329097</v>
      </c>
      <c r="R62">
        <v>294459</v>
      </c>
      <c r="S62">
        <v>259813</v>
      </c>
      <c r="T62">
        <v>225175</v>
      </c>
      <c r="U62">
        <v>190529</v>
      </c>
      <c r="V62">
        <v>155891</v>
      </c>
      <c r="W62">
        <v>121245</v>
      </c>
      <c r="X62">
        <v>86607</v>
      </c>
      <c r="Y62">
        <v>51961</v>
      </c>
      <c r="Z62">
        <v>17323</v>
      </c>
    </row>
    <row r="63" spans="3:26" x14ac:dyDescent="0.3">
      <c r="C63" t="s">
        <v>152</v>
      </c>
      <c r="D63">
        <v>0</v>
      </c>
      <c r="E63">
        <v>0</v>
      </c>
      <c r="F63">
        <v>59115</v>
      </c>
      <c r="G63">
        <v>56159</v>
      </c>
      <c r="H63">
        <v>50543</v>
      </c>
      <c r="I63">
        <v>45489</v>
      </c>
      <c r="J63">
        <v>40937</v>
      </c>
      <c r="K63">
        <v>36840</v>
      </c>
      <c r="L63">
        <v>33158</v>
      </c>
      <c r="M63">
        <v>29670</v>
      </c>
      <c r="N63">
        <v>26182</v>
      </c>
      <c r="O63">
        <v>22688</v>
      </c>
      <c r="P63">
        <v>19201</v>
      </c>
      <c r="Q63">
        <v>15707</v>
      </c>
      <c r="R63">
        <v>12219</v>
      </c>
      <c r="S63">
        <v>8725</v>
      </c>
      <c r="T63">
        <v>5238</v>
      </c>
      <c r="U63">
        <v>1744</v>
      </c>
      <c r="V63">
        <v>0</v>
      </c>
      <c r="W63">
        <v>0</v>
      </c>
      <c r="X63">
        <v>0</v>
      </c>
      <c r="Y63">
        <v>106768</v>
      </c>
      <c r="Z63">
        <v>101430</v>
      </c>
    </row>
    <row r="64" spans="3:26" x14ac:dyDescent="0.3">
      <c r="C64" t="s">
        <v>153</v>
      </c>
      <c r="D64">
        <v>0</v>
      </c>
      <c r="E64">
        <v>0</v>
      </c>
      <c r="F64">
        <v>59115</v>
      </c>
      <c r="G64">
        <v>56159</v>
      </c>
      <c r="H64">
        <v>50543</v>
      </c>
      <c r="I64">
        <v>45489</v>
      </c>
      <c r="J64">
        <v>40937</v>
      </c>
      <c r="K64">
        <v>36840</v>
      </c>
      <c r="L64">
        <v>33158</v>
      </c>
      <c r="M64">
        <v>29670</v>
      </c>
      <c r="N64">
        <v>26182</v>
      </c>
      <c r="O64">
        <v>22688</v>
      </c>
      <c r="P64">
        <v>19201</v>
      </c>
      <c r="Q64">
        <v>15707</v>
      </c>
      <c r="R64">
        <v>12219</v>
      </c>
      <c r="S64">
        <v>8725</v>
      </c>
      <c r="T64">
        <v>5238</v>
      </c>
      <c r="U64">
        <v>1744</v>
      </c>
      <c r="V64">
        <v>0</v>
      </c>
      <c r="W64">
        <v>0</v>
      </c>
      <c r="X64">
        <v>0</v>
      </c>
      <c r="Y64">
        <v>106768</v>
      </c>
      <c r="Z64">
        <v>101430</v>
      </c>
    </row>
    <row r="65" spans="3:26" x14ac:dyDescent="0.3">
      <c r="C65" t="s">
        <v>154</v>
      </c>
      <c r="D65">
        <v>0</v>
      </c>
      <c r="E65">
        <v>0</v>
      </c>
      <c r="F65">
        <v>58792</v>
      </c>
      <c r="G65">
        <v>55852</v>
      </c>
      <c r="H65">
        <v>50267</v>
      </c>
      <c r="I65">
        <v>45240</v>
      </c>
      <c r="J65">
        <v>40713</v>
      </c>
      <c r="K65">
        <v>36639</v>
      </c>
      <c r="L65">
        <v>32976</v>
      </c>
      <c r="M65">
        <v>29508</v>
      </c>
      <c r="N65">
        <v>26039</v>
      </c>
      <c r="O65">
        <v>22564</v>
      </c>
      <c r="P65">
        <v>19096</v>
      </c>
      <c r="Q65">
        <v>15621</v>
      </c>
      <c r="R65">
        <v>12152</v>
      </c>
      <c r="S65">
        <v>8678</v>
      </c>
      <c r="T65">
        <v>5209</v>
      </c>
      <c r="U65">
        <v>1734</v>
      </c>
      <c r="V65">
        <v>0</v>
      </c>
      <c r="W65">
        <v>0</v>
      </c>
      <c r="X65">
        <v>0</v>
      </c>
      <c r="Y65">
        <v>106185</v>
      </c>
      <c r="Z65">
        <v>100875</v>
      </c>
    </row>
    <row r="66" spans="3:26" x14ac:dyDescent="0.3">
      <c r="C66" t="s">
        <v>155</v>
      </c>
      <c r="D66">
        <v>0</v>
      </c>
      <c r="E66">
        <v>0</v>
      </c>
      <c r="F66">
        <v>58476</v>
      </c>
      <c r="G66">
        <v>55553</v>
      </c>
      <c r="H66">
        <v>49997</v>
      </c>
      <c r="I66">
        <v>44998</v>
      </c>
      <c r="J66">
        <v>40495</v>
      </c>
      <c r="K66">
        <v>36443</v>
      </c>
      <c r="L66">
        <v>32799</v>
      </c>
      <c r="M66">
        <v>29349</v>
      </c>
      <c r="N66">
        <v>25899</v>
      </c>
      <c r="O66">
        <v>22443</v>
      </c>
      <c r="P66">
        <v>18993</v>
      </c>
      <c r="Q66">
        <v>15537</v>
      </c>
      <c r="R66">
        <v>12087</v>
      </c>
      <c r="S66">
        <v>8631</v>
      </c>
      <c r="T66">
        <v>5181</v>
      </c>
      <c r="U66">
        <v>1725</v>
      </c>
      <c r="V66">
        <v>0</v>
      </c>
      <c r="W66">
        <v>0</v>
      </c>
      <c r="X66">
        <v>0</v>
      </c>
      <c r="Y66">
        <v>105615</v>
      </c>
      <c r="Z66">
        <v>100334</v>
      </c>
    </row>
    <row r="67" spans="3:26" x14ac:dyDescent="0.3">
      <c r="C67" t="s">
        <v>156</v>
      </c>
      <c r="D67">
        <v>0</v>
      </c>
      <c r="E67">
        <v>0</v>
      </c>
      <c r="F67">
        <v>58476</v>
      </c>
      <c r="G67">
        <v>55553</v>
      </c>
      <c r="H67">
        <v>49997</v>
      </c>
      <c r="I67">
        <v>44998</v>
      </c>
      <c r="J67">
        <v>40495</v>
      </c>
      <c r="K67">
        <v>36443</v>
      </c>
      <c r="L67">
        <v>32799</v>
      </c>
      <c r="M67">
        <v>29349</v>
      </c>
      <c r="N67">
        <v>25899</v>
      </c>
      <c r="O67">
        <v>22443</v>
      </c>
      <c r="P67">
        <v>18993</v>
      </c>
      <c r="Q67">
        <v>15537</v>
      </c>
      <c r="R67">
        <v>12087</v>
      </c>
      <c r="S67">
        <v>8631</v>
      </c>
      <c r="T67">
        <v>5181</v>
      </c>
      <c r="U67">
        <v>1725</v>
      </c>
      <c r="V67">
        <v>0</v>
      </c>
      <c r="W67">
        <v>0</v>
      </c>
      <c r="X67">
        <v>0</v>
      </c>
      <c r="Y67">
        <v>105615</v>
      </c>
      <c r="Z67">
        <v>100334</v>
      </c>
    </row>
    <row r="68" spans="3:26" x14ac:dyDescent="0.3">
      <c r="C68" t="s">
        <v>157</v>
      </c>
      <c r="D68">
        <v>0</v>
      </c>
      <c r="E68">
        <v>0</v>
      </c>
      <c r="F68">
        <v>59115</v>
      </c>
      <c r="G68">
        <v>56159</v>
      </c>
      <c r="H68">
        <v>50543</v>
      </c>
      <c r="I68">
        <v>45489</v>
      </c>
      <c r="J68">
        <v>40937</v>
      </c>
      <c r="K68">
        <v>36840</v>
      </c>
      <c r="L68">
        <v>33158</v>
      </c>
      <c r="M68">
        <v>29670</v>
      </c>
      <c r="N68">
        <v>26182</v>
      </c>
      <c r="O68">
        <v>22688</v>
      </c>
      <c r="P68">
        <v>19201</v>
      </c>
      <c r="Q68">
        <v>15707</v>
      </c>
      <c r="R68">
        <v>12219</v>
      </c>
      <c r="S68">
        <v>8725</v>
      </c>
      <c r="T68">
        <v>5238</v>
      </c>
      <c r="U68">
        <v>1744</v>
      </c>
      <c r="V68">
        <v>0</v>
      </c>
      <c r="W68">
        <v>0</v>
      </c>
      <c r="X68">
        <v>0</v>
      </c>
      <c r="Y68">
        <v>106768</v>
      </c>
      <c r="Z68">
        <v>101430</v>
      </c>
    </row>
    <row r="69" spans="3:26" x14ac:dyDescent="0.3">
      <c r="C69" t="s">
        <v>158</v>
      </c>
      <c r="D69">
        <v>0</v>
      </c>
      <c r="E69">
        <v>0</v>
      </c>
      <c r="F69">
        <v>61434</v>
      </c>
      <c r="G69">
        <v>58363</v>
      </c>
      <c r="H69">
        <v>52526</v>
      </c>
      <c r="I69">
        <v>47274</v>
      </c>
      <c r="J69">
        <v>42543</v>
      </c>
      <c r="K69">
        <v>38286</v>
      </c>
      <c r="L69">
        <v>34458</v>
      </c>
      <c r="M69">
        <v>30834</v>
      </c>
      <c r="N69">
        <v>27209</v>
      </c>
      <c r="O69">
        <v>23578</v>
      </c>
      <c r="P69">
        <v>19954</v>
      </c>
      <c r="Q69">
        <v>16323</v>
      </c>
      <c r="R69">
        <v>12698</v>
      </c>
      <c r="S69">
        <v>9068</v>
      </c>
      <c r="T69">
        <v>5443</v>
      </c>
      <c r="U69">
        <v>1812</v>
      </c>
      <c r="V69">
        <v>0</v>
      </c>
      <c r="W69">
        <v>0</v>
      </c>
      <c r="X69">
        <v>0</v>
      </c>
      <c r="Y69">
        <v>110957</v>
      </c>
      <c r="Z69">
        <v>105409</v>
      </c>
    </row>
    <row r="70" spans="3:26" x14ac:dyDescent="0.3">
      <c r="C70" t="s">
        <v>159</v>
      </c>
      <c r="D70">
        <v>0</v>
      </c>
      <c r="E70">
        <v>0</v>
      </c>
      <c r="F70">
        <v>58476</v>
      </c>
      <c r="G70">
        <v>55553</v>
      </c>
      <c r="H70">
        <v>49997</v>
      </c>
      <c r="I70">
        <v>44998</v>
      </c>
      <c r="J70">
        <v>40495</v>
      </c>
      <c r="K70">
        <v>36443</v>
      </c>
      <c r="L70">
        <v>32799</v>
      </c>
      <c r="M70">
        <v>29349</v>
      </c>
      <c r="N70">
        <v>25899</v>
      </c>
      <c r="O70">
        <v>22443</v>
      </c>
      <c r="P70">
        <v>18993</v>
      </c>
      <c r="Q70">
        <v>15537</v>
      </c>
      <c r="R70">
        <v>12087</v>
      </c>
      <c r="S70">
        <v>8631</v>
      </c>
      <c r="T70">
        <v>5181</v>
      </c>
      <c r="U70">
        <v>1725</v>
      </c>
      <c r="V70">
        <v>0</v>
      </c>
      <c r="W70">
        <v>0</v>
      </c>
      <c r="X70">
        <v>0</v>
      </c>
      <c r="Y70">
        <v>105615</v>
      </c>
      <c r="Z70">
        <v>100334</v>
      </c>
    </row>
    <row r="71" spans="3:26" x14ac:dyDescent="0.3">
      <c r="C71" t="s">
        <v>160</v>
      </c>
      <c r="D71">
        <v>0</v>
      </c>
      <c r="E71">
        <v>0</v>
      </c>
      <c r="F71">
        <v>59115</v>
      </c>
      <c r="G71">
        <v>56159</v>
      </c>
      <c r="H71">
        <v>50543</v>
      </c>
      <c r="I71">
        <v>45489</v>
      </c>
      <c r="J71">
        <v>40937</v>
      </c>
      <c r="K71">
        <v>36840</v>
      </c>
      <c r="L71">
        <v>33158</v>
      </c>
      <c r="M71">
        <v>29670</v>
      </c>
      <c r="N71">
        <v>26182</v>
      </c>
      <c r="O71">
        <v>22688</v>
      </c>
      <c r="P71">
        <v>19201</v>
      </c>
      <c r="Q71">
        <v>15707</v>
      </c>
      <c r="R71">
        <v>12219</v>
      </c>
      <c r="S71">
        <v>8725</v>
      </c>
      <c r="T71">
        <v>5238</v>
      </c>
      <c r="U71">
        <v>1744</v>
      </c>
      <c r="V71">
        <v>0</v>
      </c>
      <c r="W71">
        <v>0</v>
      </c>
      <c r="X71">
        <v>0</v>
      </c>
      <c r="Y71">
        <v>106768</v>
      </c>
      <c r="Z71">
        <v>101430</v>
      </c>
    </row>
    <row r="72" spans="3:26" x14ac:dyDescent="0.3">
      <c r="C72" t="s">
        <v>161</v>
      </c>
      <c r="D72">
        <v>0</v>
      </c>
      <c r="E72">
        <v>0</v>
      </c>
      <c r="F72">
        <v>59115</v>
      </c>
      <c r="G72">
        <v>56159</v>
      </c>
      <c r="H72">
        <v>50543</v>
      </c>
      <c r="I72">
        <v>45489</v>
      </c>
      <c r="J72">
        <v>40937</v>
      </c>
      <c r="K72">
        <v>36840</v>
      </c>
      <c r="L72">
        <v>33158</v>
      </c>
      <c r="M72">
        <v>29670</v>
      </c>
      <c r="N72">
        <v>26182</v>
      </c>
      <c r="O72">
        <v>22688</v>
      </c>
      <c r="P72">
        <v>19201</v>
      </c>
      <c r="Q72">
        <v>15707</v>
      </c>
      <c r="R72">
        <v>12219</v>
      </c>
      <c r="S72">
        <v>8725</v>
      </c>
      <c r="T72">
        <v>5238</v>
      </c>
      <c r="U72">
        <v>1744</v>
      </c>
      <c r="V72">
        <v>0</v>
      </c>
      <c r="W72">
        <v>0</v>
      </c>
      <c r="X72">
        <v>0</v>
      </c>
      <c r="Y72">
        <v>106768</v>
      </c>
      <c r="Z72">
        <v>101430</v>
      </c>
    </row>
    <row r="73" spans="3:26" x14ac:dyDescent="0.3">
      <c r="C73" t="s">
        <v>162</v>
      </c>
      <c r="D73">
        <v>0</v>
      </c>
      <c r="E73">
        <v>0</v>
      </c>
      <c r="F73">
        <v>59115</v>
      </c>
      <c r="G73">
        <v>56159</v>
      </c>
      <c r="H73">
        <v>50543</v>
      </c>
      <c r="I73">
        <v>45489</v>
      </c>
      <c r="J73">
        <v>40937</v>
      </c>
      <c r="K73">
        <v>36840</v>
      </c>
      <c r="L73">
        <v>33158</v>
      </c>
      <c r="M73">
        <v>29670</v>
      </c>
      <c r="N73">
        <v>26182</v>
      </c>
      <c r="O73">
        <v>22688</v>
      </c>
      <c r="P73">
        <v>19201</v>
      </c>
      <c r="Q73">
        <v>15707</v>
      </c>
      <c r="R73">
        <v>12219</v>
      </c>
      <c r="S73">
        <v>8725</v>
      </c>
      <c r="T73">
        <v>5238</v>
      </c>
      <c r="U73">
        <v>1744</v>
      </c>
      <c r="V73">
        <v>0</v>
      </c>
      <c r="W73">
        <v>0</v>
      </c>
      <c r="X73">
        <v>0</v>
      </c>
      <c r="Y73">
        <v>106768</v>
      </c>
      <c r="Z73">
        <v>101430</v>
      </c>
    </row>
    <row r="74" spans="3:26" x14ac:dyDescent="0.3">
      <c r="C74" t="s">
        <v>163</v>
      </c>
      <c r="D74">
        <v>0</v>
      </c>
      <c r="E74">
        <v>0</v>
      </c>
      <c r="F74">
        <v>59115</v>
      </c>
      <c r="G74">
        <v>56159</v>
      </c>
      <c r="H74">
        <v>50543</v>
      </c>
      <c r="I74">
        <v>45489</v>
      </c>
      <c r="J74">
        <v>40937</v>
      </c>
      <c r="K74">
        <v>36840</v>
      </c>
      <c r="L74">
        <v>33158</v>
      </c>
      <c r="M74">
        <v>29670</v>
      </c>
      <c r="N74">
        <v>26182</v>
      </c>
      <c r="O74">
        <v>22688</v>
      </c>
      <c r="P74">
        <v>19201</v>
      </c>
      <c r="Q74">
        <v>15707</v>
      </c>
      <c r="R74">
        <v>12219</v>
      </c>
      <c r="S74">
        <v>8725</v>
      </c>
      <c r="T74">
        <v>5238</v>
      </c>
      <c r="U74">
        <v>1744</v>
      </c>
      <c r="V74">
        <v>0</v>
      </c>
      <c r="W74">
        <v>0</v>
      </c>
      <c r="X74">
        <v>0</v>
      </c>
      <c r="Y74">
        <v>106768</v>
      </c>
      <c r="Z74">
        <v>101430</v>
      </c>
    </row>
    <row r="75" spans="3:26" x14ac:dyDescent="0.3">
      <c r="C75" t="s">
        <v>164</v>
      </c>
      <c r="D75">
        <v>0</v>
      </c>
      <c r="E75">
        <v>0</v>
      </c>
      <c r="F75">
        <v>59115</v>
      </c>
      <c r="G75">
        <v>56159</v>
      </c>
      <c r="H75">
        <v>50543</v>
      </c>
      <c r="I75">
        <v>45489</v>
      </c>
      <c r="J75">
        <v>40937</v>
      </c>
      <c r="K75">
        <v>36840</v>
      </c>
      <c r="L75">
        <v>33158</v>
      </c>
      <c r="M75">
        <v>29670</v>
      </c>
      <c r="N75">
        <v>26182</v>
      </c>
      <c r="O75">
        <v>22688</v>
      </c>
      <c r="P75">
        <v>19201</v>
      </c>
      <c r="Q75">
        <v>15707</v>
      </c>
      <c r="R75">
        <v>12219</v>
      </c>
      <c r="S75">
        <v>8725</v>
      </c>
      <c r="T75">
        <v>5238</v>
      </c>
      <c r="U75">
        <v>1744</v>
      </c>
      <c r="V75">
        <v>0</v>
      </c>
      <c r="W75">
        <v>0</v>
      </c>
      <c r="X75">
        <v>0</v>
      </c>
      <c r="Y75">
        <v>106768</v>
      </c>
      <c r="Z75">
        <v>101430</v>
      </c>
    </row>
    <row r="76" spans="3:26" x14ac:dyDescent="0.3">
      <c r="C76" t="s">
        <v>165</v>
      </c>
      <c r="D76">
        <v>0</v>
      </c>
      <c r="E76">
        <v>0</v>
      </c>
      <c r="F76">
        <v>61434</v>
      </c>
      <c r="G76">
        <v>58363</v>
      </c>
      <c r="H76">
        <v>52526</v>
      </c>
      <c r="I76">
        <v>47274</v>
      </c>
      <c r="J76">
        <v>42543</v>
      </c>
      <c r="K76">
        <v>38286</v>
      </c>
      <c r="L76">
        <v>34458</v>
      </c>
      <c r="M76">
        <v>30834</v>
      </c>
      <c r="N76">
        <v>27209</v>
      </c>
      <c r="O76">
        <v>23578</v>
      </c>
      <c r="P76">
        <v>19954</v>
      </c>
      <c r="Q76">
        <v>16323</v>
      </c>
      <c r="R76">
        <v>12698</v>
      </c>
      <c r="S76">
        <v>9068</v>
      </c>
      <c r="T76">
        <v>5443</v>
      </c>
      <c r="U76">
        <v>1812</v>
      </c>
      <c r="V76">
        <v>0</v>
      </c>
      <c r="W76">
        <v>0</v>
      </c>
      <c r="X76">
        <v>0</v>
      </c>
      <c r="Y76">
        <v>110957</v>
      </c>
      <c r="Z76">
        <v>105409</v>
      </c>
    </row>
    <row r="77" spans="3:26" x14ac:dyDescent="0.3">
      <c r="C77" t="s">
        <v>166</v>
      </c>
      <c r="D77">
        <v>0</v>
      </c>
      <c r="E77">
        <v>0</v>
      </c>
      <c r="F77">
        <v>58476</v>
      </c>
      <c r="G77">
        <v>55553</v>
      </c>
      <c r="H77">
        <v>49997</v>
      </c>
      <c r="I77">
        <v>44998</v>
      </c>
      <c r="J77">
        <v>40495</v>
      </c>
      <c r="K77">
        <v>36443</v>
      </c>
      <c r="L77">
        <v>32799</v>
      </c>
      <c r="M77">
        <v>29349</v>
      </c>
      <c r="N77">
        <v>25899</v>
      </c>
      <c r="O77">
        <v>22443</v>
      </c>
      <c r="P77">
        <v>18993</v>
      </c>
      <c r="Q77">
        <v>15537</v>
      </c>
      <c r="R77">
        <v>12087</v>
      </c>
      <c r="S77">
        <v>8631</v>
      </c>
      <c r="T77">
        <v>5181</v>
      </c>
      <c r="U77">
        <v>1725</v>
      </c>
      <c r="V77">
        <v>0</v>
      </c>
      <c r="W77">
        <v>0</v>
      </c>
      <c r="X77">
        <v>0</v>
      </c>
      <c r="Y77">
        <v>105615</v>
      </c>
      <c r="Z77">
        <v>100334</v>
      </c>
    </row>
    <row r="78" spans="3:26" x14ac:dyDescent="0.3">
      <c r="C78" t="s">
        <v>167</v>
      </c>
      <c r="D78">
        <v>0</v>
      </c>
      <c r="E78">
        <v>0</v>
      </c>
      <c r="F78">
        <v>62396</v>
      </c>
      <c r="G78">
        <v>59277</v>
      </c>
      <c r="H78">
        <v>53349</v>
      </c>
      <c r="I78">
        <v>48014</v>
      </c>
      <c r="J78">
        <v>43210</v>
      </c>
      <c r="K78">
        <v>38885</v>
      </c>
      <c r="L78">
        <v>34998</v>
      </c>
      <c r="M78">
        <v>31317</v>
      </c>
      <c r="N78">
        <v>27635</v>
      </c>
      <c r="O78">
        <v>23948</v>
      </c>
      <c r="P78">
        <v>20266</v>
      </c>
      <c r="Q78">
        <v>16579</v>
      </c>
      <c r="R78">
        <v>12897</v>
      </c>
      <c r="S78">
        <v>9210</v>
      </c>
      <c r="T78">
        <v>5528</v>
      </c>
      <c r="U78">
        <v>1841</v>
      </c>
      <c r="V78">
        <v>0</v>
      </c>
      <c r="W78">
        <v>0</v>
      </c>
      <c r="X78">
        <v>0</v>
      </c>
      <c r="Y78">
        <v>112695</v>
      </c>
      <c r="Z78">
        <v>107060</v>
      </c>
    </row>
    <row r="79" spans="3:26" x14ac:dyDescent="0.3">
      <c r="C79" t="s">
        <v>168</v>
      </c>
      <c r="D79">
        <v>0</v>
      </c>
      <c r="E79">
        <v>0</v>
      </c>
      <c r="F79">
        <v>58476</v>
      </c>
      <c r="G79">
        <v>55553</v>
      </c>
      <c r="H79">
        <v>49997</v>
      </c>
      <c r="I79">
        <v>44998</v>
      </c>
      <c r="J79">
        <v>40495</v>
      </c>
      <c r="K79">
        <v>36443</v>
      </c>
      <c r="L79">
        <v>32799</v>
      </c>
      <c r="M79">
        <v>29349</v>
      </c>
      <c r="N79">
        <v>25899</v>
      </c>
      <c r="O79">
        <v>22443</v>
      </c>
      <c r="P79">
        <v>18993</v>
      </c>
      <c r="Q79">
        <v>15537</v>
      </c>
      <c r="R79">
        <v>12087</v>
      </c>
      <c r="S79">
        <v>8631</v>
      </c>
      <c r="T79">
        <v>5181</v>
      </c>
      <c r="U79">
        <v>1725</v>
      </c>
      <c r="V79">
        <v>0</v>
      </c>
      <c r="W79">
        <v>0</v>
      </c>
      <c r="X79">
        <v>0</v>
      </c>
      <c r="Y79">
        <v>105615</v>
      </c>
      <c r="Z79">
        <v>100334</v>
      </c>
    </row>
    <row r="80" spans="3:26" x14ac:dyDescent="0.3">
      <c r="C80" t="s">
        <v>169</v>
      </c>
      <c r="D80">
        <v>0</v>
      </c>
      <c r="E80">
        <v>0</v>
      </c>
      <c r="F80">
        <v>58476</v>
      </c>
      <c r="G80">
        <v>55553</v>
      </c>
      <c r="H80">
        <v>49997</v>
      </c>
      <c r="I80">
        <v>44998</v>
      </c>
      <c r="J80">
        <v>40495</v>
      </c>
      <c r="K80">
        <v>36443</v>
      </c>
      <c r="L80">
        <v>32799</v>
      </c>
      <c r="M80">
        <v>29349</v>
      </c>
      <c r="N80">
        <v>25899</v>
      </c>
      <c r="O80">
        <v>22443</v>
      </c>
      <c r="P80">
        <v>18993</v>
      </c>
      <c r="Q80">
        <v>15537</v>
      </c>
      <c r="R80">
        <v>12087</v>
      </c>
      <c r="S80">
        <v>8631</v>
      </c>
      <c r="T80">
        <v>5181</v>
      </c>
      <c r="U80">
        <v>1725</v>
      </c>
      <c r="V80">
        <v>0</v>
      </c>
      <c r="W80">
        <v>0</v>
      </c>
      <c r="X80">
        <v>0</v>
      </c>
      <c r="Y80">
        <v>105615</v>
      </c>
      <c r="Z80">
        <v>100334</v>
      </c>
    </row>
    <row r="81" spans="3:26" x14ac:dyDescent="0.3">
      <c r="C81" t="s">
        <v>170</v>
      </c>
      <c r="D81">
        <v>0</v>
      </c>
      <c r="E81">
        <v>0</v>
      </c>
      <c r="F81">
        <v>58476</v>
      </c>
      <c r="G81">
        <v>55553</v>
      </c>
      <c r="H81">
        <v>49997</v>
      </c>
      <c r="I81">
        <v>44998</v>
      </c>
      <c r="J81">
        <v>40495</v>
      </c>
      <c r="K81">
        <v>36443</v>
      </c>
      <c r="L81">
        <v>32799</v>
      </c>
      <c r="M81">
        <v>29349</v>
      </c>
      <c r="N81">
        <v>25899</v>
      </c>
      <c r="O81">
        <v>22443</v>
      </c>
      <c r="P81">
        <v>18993</v>
      </c>
      <c r="Q81">
        <v>15537</v>
      </c>
      <c r="R81">
        <v>12087</v>
      </c>
      <c r="S81">
        <v>8631</v>
      </c>
      <c r="T81">
        <v>5181</v>
      </c>
      <c r="U81">
        <v>1725</v>
      </c>
      <c r="V81">
        <v>0</v>
      </c>
      <c r="W81">
        <v>0</v>
      </c>
      <c r="X81">
        <v>0</v>
      </c>
      <c r="Y81">
        <v>105615</v>
      </c>
      <c r="Z81">
        <v>100334</v>
      </c>
    </row>
    <row r="82" spans="3:26" x14ac:dyDescent="0.3">
      <c r="C82" t="s">
        <v>171</v>
      </c>
      <c r="D82">
        <v>0</v>
      </c>
      <c r="E82">
        <v>0</v>
      </c>
      <c r="F82">
        <v>58476</v>
      </c>
      <c r="G82">
        <v>55553</v>
      </c>
      <c r="H82">
        <v>49997</v>
      </c>
      <c r="I82">
        <v>44998</v>
      </c>
      <c r="J82">
        <v>40495</v>
      </c>
      <c r="K82">
        <v>36443</v>
      </c>
      <c r="L82">
        <v>32799</v>
      </c>
      <c r="M82">
        <v>29349</v>
      </c>
      <c r="N82">
        <v>25899</v>
      </c>
      <c r="O82">
        <v>22443</v>
      </c>
      <c r="P82">
        <v>18993</v>
      </c>
      <c r="Q82">
        <v>15537</v>
      </c>
      <c r="R82">
        <v>12087</v>
      </c>
      <c r="S82">
        <v>8631</v>
      </c>
      <c r="T82">
        <v>5181</v>
      </c>
      <c r="U82">
        <v>1725</v>
      </c>
      <c r="V82">
        <v>0</v>
      </c>
      <c r="W82">
        <v>0</v>
      </c>
      <c r="X82">
        <v>0</v>
      </c>
      <c r="Y82">
        <v>105615</v>
      </c>
      <c r="Z82">
        <v>100334</v>
      </c>
    </row>
    <row r="83" spans="3:26" x14ac:dyDescent="0.3">
      <c r="C83" t="s">
        <v>172</v>
      </c>
      <c r="D83">
        <v>0</v>
      </c>
      <c r="E83">
        <v>0</v>
      </c>
      <c r="F83">
        <v>61434</v>
      </c>
      <c r="G83">
        <v>58363</v>
      </c>
      <c r="H83">
        <v>52526</v>
      </c>
      <c r="I83">
        <v>47274</v>
      </c>
      <c r="J83">
        <v>42543</v>
      </c>
      <c r="K83">
        <v>38286</v>
      </c>
      <c r="L83">
        <v>34458</v>
      </c>
      <c r="M83">
        <v>30834</v>
      </c>
      <c r="N83">
        <v>27209</v>
      </c>
      <c r="O83">
        <v>23578</v>
      </c>
      <c r="P83">
        <v>19954</v>
      </c>
      <c r="Q83">
        <v>16323</v>
      </c>
      <c r="R83">
        <v>12698</v>
      </c>
      <c r="S83">
        <v>9068</v>
      </c>
      <c r="T83">
        <v>5443</v>
      </c>
      <c r="U83">
        <v>1812</v>
      </c>
      <c r="V83">
        <v>0</v>
      </c>
      <c r="W83">
        <v>0</v>
      </c>
      <c r="X83">
        <v>0</v>
      </c>
      <c r="Y83">
        <v>110957</v>
      </c>
      <c r="Z83">
        <v>105409</v>
      </c>
    </row>
    <row r="84" spans="3:26" x14ac:dyDescent="0.3">
      <c r="C84" t="s">
        <v>173</v>
      </c>
      <c r="D84">
        <v>0</v>
      </c>
      <c r="E84">
        <v>0</v>
      </c>
      <c r="F84">
        <v>544076</v>
      </c>
      <c r="G84">
        <v>523673</v>
      </c>
      <c r="H84">
        <v>484396</v>
      </c>
      <c r="I84">
        <v>448068</v>
      </c>
      <c r="J84">
        <v>414461</v>
      </c>
      <c r="K84">
        <v>383378</v>
      </c>
      <c r="L84">
        <v>354623</v>
      </c>
      <c r="M84">
        <v>328029</v>
      </c>
      <c r="N84">
        <v>303426</v>
      </c>
      <c r="O84">
        <v>279149</v>
      </c>
      <c r="P84">
        <v>254878</v>
      </c>
      <c r="Q84">
        <v>230601</v>
      </c>
      <c r="R84">
        <v>206330</v>
      </c>
      <c r="S84">
        <v>182053</v>
      </c>
      <c r="T84">
        <v>157782</v>
      </c>
      <c r="U84">
        <v>133505</v>
      </c>
      <c r="V84">
        <v>109234</v>
      </c>
      <c r="W84">
        <v>84957</v>
      </c>
      <c r="X84">
        <v>60686</v>
      </c>
      <c r="Y84">
        <v>36410</v>
      </c>
      <c r="Z84">
        <v>12138</v>
      </c>
    </row>
    <row r="85" spans="3:26" x14ac:dyDescent="0.3">
      <c r="C85" t="s">
        <v>174</v>
      </c>
      <c r="D85">
        <v>0</v>
      </c>
      <c r="E85">
        <v>0</v>
      </c>
      <c r="F85">
        <v>46830</v>
      </c>
      <c r="G85">
        <v>40138</v>
      </c>
      <c r="H85">
        <v>28669</v>
      </c>
      <c r="I85">
        <v>20479</v>
      </c>
      <c r="J85">
        <v>14630</v>
      </c>
      <c r="K85">
        <v>10448</v>
      </c>
      <c r="L85">
        <v>6271</v>
      </c>
      <c r="M85">
        <v>2089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72960</v>
      </c>
      <c r="V85">
        <v>62534</v>
      </c>
      <c r="W85">
        <v>44666</v>
      </c>
      <c r="X85">
        <v>31905</v>
      </c>
      <c r="Y85">
        <v>22793</v>
      </c>
      <c r="Z85">
        <v>16277</v>
      </c>
    </row>
    <row r="86" spans="3:26" x14ac:dyDescent="0.3">
      <c r="C86" t="s">
        <v>175</v>
      </c>
      <c r="D86">
        <v>0</v>
      </c>
      <c r="E86">
        <v>0</v>
      </c>
      <c r="F86">
        <v>46830</v>
      </c>
      <c r="G86">
        <v>40138</v>
      </c>
      <c r="H86">
        <v>28669</v>
      </c>
      <c r="I86">
        <v>20479</v>
      </c>
      <c r="J86">
        <v>14630</v>
      </c>
      <c r="K86">
        <v>10448</v>
      </c>
      <c r="L86">
        <v>6271</v>
      </c>
      <c r="M86">
        <v>2089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72960</v>
      </c>
      <c r="V86">
        <v>62534</v>
      </c>
      <c r="W86">
        <v>44666</v>
      </c>
      <c r="X86">
        <v>31905</v>
      </c>
      <c r="Y86">
        <v>22793</v>
      </c>
      <c r="Z86">
        <v>16277</v>
      </c>
    </row>
    <row r="87" spans="3:26" x14ac:dyDescent="0.3">
      <c r="C87" t="s">
        <v>176</v>
      </c>
      <c r="D87">
        <v>0</v>
      </c>
      <c r="E87">
        <v>0</v>
      </c>
      <c r="F87">
        <v>46830</v>
      </c>
      <c r="G87">
        <v>40138</v>
      </c>
      <c r="H87">
        <v>28669</v>
      </c>
      <c r="I87">
        <v>20479</v>
      </c>
      <c r="J87">
        <v>14630</v>
      </c>
      <c r="K87">
        <v>10448</v>
      </c>
      <c r="L87">
        <v>6271</v>
      </c>
      <c r="M87">
        <v>2089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72960</v>
      </c>
      <c r="V87">
        <v>62534</v>
      </c>
      <c r="W87">
        <v>44666</v>
      </c>
      <c r="X87">
        <v>31905</v>
      </c>
      <c r="Y87">
        <v>22793</v>
      </c>
      <c r="Z87">
        <v>16277</v>
      </c>
    </row>
    <row r="88" spans="3:26" x14ac:dyDescent="0.3">
      <c r="C88" t="s">
        <v>177</v>
      </c>
      <c r="D88">
        <v>0</v>
      </c>
      <c r="E88">
        <v>0</v>
      </c>
      <c r="F88">
        <v>47041</v>
      </c>
      <c r="G88">
        <v>40319</v>
      </c>
      <c r="H88">
        <v>28798</v>
      </c>
      <c r="I88">
        <v>20571</v>
      </c>
      <c r="J88">
        <v>14696</v>
      </c>
      <c r="K88">
        <v>10495</v>
      </c>
      <c r="L88">
        <v>6299</v>
      </c>
      <c r="M88">
        <v>2098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73288</v>
      </c>
      <c r="V88">
        <v>62815</v>
      </c>
      <c r="W88">
        <v>44867</v>
      </c>
      <c r="X88">
        <v>32049</v>
      </c>
      <c r="Y88">
        <v>22895</v>
      </c>
      <c r="Z88">
        <v>16351</v>
      </c>
    </row>
    <row r="89" spans="3:26" x14ac:dyDescent="0.3">
      <c r="C89" t="s">
        <v>178</v>
      </c>
      <c r="D89">
        <v>0</v>
      </c>
      <c r="E89">
        <v>0</v>
      </c>
      <c r="F89">
        <v>47041</v>
      </c>
      <c r="G89">
        <v>40319</v>
      </c>
      <c r="H89">
        <v>28798</v>
      </c>
      <c r="I89">
        <v>20571</v>
      </c>
      <c r="J89">
        <v>14696</v>
      </c>
      <c r="K89">
        <v>10495</v>
      </c>
      <c r="L89">
        <v>6299</v>
      </c>
      <c r="M89">
        <v>2098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73288</v>
      </c>
      <c r="V89">
        <v>62815</v>
      </c>
      <c r="W89">
        <v>44867</v>
      </c>
      <c r="X89">
        <v>32049</v>
      </c>
      <c r="Y89">
        <v>22895</v>
      </c>
      <c r="Z89">
        <v>16351</v>
      </c>
    </row>
    <row r="90" spans="3:26" x14ac:dyDescent="0.3">
      <c r="C90" t="s">
        <v>179</v>
      </c>
      <c r="D90">
        <v>0</v>
      </c>
      <c r="E90">
        <v>0</v>
      </c>
      <c r="F90">
        <v>47147</v>
      </c>
      <c r="G90">
        <v>40409</v>
      </c>
      <c r="H90">
        <v>28863</v>
      </c>
      <c r="I90">
        <v>20617</v>
      </c>
      <c r="J90">
        <v>14729</v>
      </c>
      <c r="K90">
        <v>10518</v>
      </c>
      <c r="L90">
        <v>6313</v>
      </c>
      <c r="M90">
        <v>2103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73453</v>
      </c>
      <c r="V90">
        <v>62956</v>
      </c>
      <c r="W90">
        <v>44968</v>
      </c>
      <c r="X90">
        <v>32121</v>
      </c>
      <c r="Y90">
        <v>22947</v>
      </c>
      <c r="Z90">
        <v>16387</v>
      </c>
    </row>
    <row r="91" spans="3:26" x14ac:dyDescent="0.3">
      <c r="C91" t="s">
        <v>180</v>
      </c>
      <c r="D91">
        <v>0</v>
      </c>
      <c r="E91">
        <v>0</v>
      </c>
      <c r="F91">
        <v>46860</v>
      </c>
      <c r="G91">
        <v>40164</v>
      </c>
      <c r="H91">
        <v>28688</v>
      </c>
      <c r="I91">
        <v>20492</v>
      </c>
      <c r="J91">
        <v>14639</v>
      </c>
      <c r="K91">
        <v>10455</v>
      </c>
      <c r="L91">
        <v>6275</v>
      </c>
      <c r="M91">
        <v>2090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73007</v>
      </c>
      <c r="V91">
        <v>62574</v>
      </c>
      <c r="W91">
        <v>44695</v>
      </c>
      <c r="X91">
        <v>31926</v>
      </c>
      <c r="Y91">
        <v>22807</v>
      </c>
      <c r="Z91">
        <v>16288</v>
      </c>
    </row>
    <row r="92" spans="3:26" x14ac:dyDescent="0.3">
      <c r="C92" t="s">
        <v>181</v>
      </c>
      <c r="D92">
        <v>0</v>
      </c>
      <c r="E92">
        <v>0</v>
      </c>
      <c r="F92">
        <v>46827</v>
      </c>
      <c r="G92">
        <v>40136</v>
      </c>
      <c r="H92">
        <v>28668</v>
      </c>
      <c r="I92">
        <v>20478</v>
      </c>
      <c r="J92">
        <v>14629</v>
      </c>
      <c r="K92">
        <v>10447</v>
      </c>
      <c r="L92">
        <v>6270</v>
      </c>
      <c r="M92">
        <v>2088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72955</v>
      </c>
      <c r="V92">
        <v>62530</v>
      </c>
      <c r="W92">
        <v>44663</v>
      </c>
      <c r="X92">
        <v>31903</v>
      </c>
      <c r="Y92">
        <v>22791</v>
      </c>
      <c r="Z92">
        <v>16276</v>
      </c>
    </row>
    <row r="93" spans="3:26" x14ac:dyDescent="0.3">
      <c r="C93" t="s">
        <v>182</v>
      </c>
      <c r="D93">
        <v>0</v>
      </c>
      <c r="E93">
        <v>0</v>
      </c>
      <c r="F93">
        <v>47061</v>
      </c>
      <c r="G93">
        <v>40336</v>
      </c>
      <c r="H93">
        <v>28811</v>
      </c>
      <c r="I93">
        <v>20580</v>
      </c>
      <c r="J93">
        <v>14702</v>
      </c>
      <c r="K93">
        <v>10499</v>
      </c>
      <c r="L93">
        <v>6301</v>
      </c>
      <c r="M93">
        <v>2099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73320</v>
      </c>
      <c r="V93">
        <v>62842</v>
      </c>
      <c r="W93">
        <v>44886</v>
      </c>
      <c r="X93">
        <v>32063</v>
      </c>
      <c r="Y93">
        <v>22905</v>
      </c>
      <c r="Z93">
        <v>16358</v>
      </c>
    </row>
    <row r="94" spans="3:26" x14ac:dyDescent="0.3">
      <c r="C94" t="s">
        <v>183</v>
      </c>
      <c r="D94">
        <v>0</v>
      </c>
      <c r="E94">
        <v>0</v>
      </c>
      <c r="F94">
        <v>46903</v>
      </c>
      <c r="G94">
        <v>40200</v>
      </c>
      <c r="H94">
        <v>28714</v>
      </c>
      <c r="I94">
        <v>20511</v>
      </c>
      <c r="J94">
        <v>14652</v>
      </c>
      <c r="K94">
        <v>10464</v>
      </c>
      <c r="L94">
        <v>6280</v>
      </c>
      <c r="M94">
        <v>2092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73073</v>
      </c>
      <c r="V94">
        <v>62631</v>
      </c>
      <c r="W94">
        <v>44735</v>
      </c>
      <c r="X94">
        <v>31955</v>
      </c>
      <c r="Y94">
        <v>22828</v>
      </c>
      <c r="Z94">
        <v>16303</v>
      </c>
    </row>
    <row r="95" spans="3:26" x14ac:dyDescent="0.3">
      <c r="C95" t="s">
        <v>184</v>
      </c>
      <c r="D95">
        <v>0</v>
      </c>
      <c r="E95">
        <v>0</v>
      </c>
      <c r="F95">
        <v>46829</v>
      </c>
      <c r="G95">
        <v>40137</v>
      </c>
      <c r="H95">
        <v>28669</v>
      </c>
      <c r="I95">
        <v>20478</v>
      </c>
      <c r="J95">
        <v>14629</v>
      </c>
      <c r="K95">
        <v>10448</v>
      </c>
      <c r="L95">
        <v>6270</v>
      </c>
      <c r="M95">
        <v>2089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72958</v>
      </c>
      <c r="V95">
        <v>62533</v>
      </c>
      <c r="W95">
        <v>44665</v>
      </c>
      <c r="X95">
        <v>31905</v>
      </c>
      <c r="Y95">
        <v>22792</v>
      </c>
      <c r="Z95">
        <v>16277</v>
      </c>
    </row>
    <row r="96" spans="3:26" x14ac:dyDescent="0.3">
      <c r="C96" t="s">
        <v>185</v>
      </c>
      <c r="D96">
        <v>0</v>
      </c>
      <c r="E96">
        <v>0</v>
      </c>
      <c r="F96">
        <v>46829</v>
      </c>
      <c r="G96">
        <v>40137</v>
      </c>
      <c r="H96">
        <v>28669</v>
      </c>
      <c r="I96">
        <v>20478</v>
      </c>
      <c r="J96">
        <v>14629</v>
      </c>
      <c r="K96">
        <v>10448</v>
      </c>
      <c r="L96">
        <v>6270</v>
      </c>
      <c r="M96">
        <v>2089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72958</v>
      </c>
      <c r="V96">
        <v>62533</v>
      </c>
      <c r="W96">
        <v>44665</v>
      </c>
      <c r="X96">
        <v>31905</v>
      </c>
      <c r="Y96">
        <v>22792</v>
      </c>
      <c r="Z96">
        <v>16277</v>
      </c>
    </row>
    <row r="97" spans="3:26" x14ac:dyDescent="0.3">
      <c r="C97" t="s">
        <v>186</v>
      </c>
      <c r="D97">
        <v>0</v>
      </c>
      <c r="E97">
        <v>0</v>
      </c>
      <c r="F97">
        <v>46829</v>
      </c>
      <c r="G97">
        <v>40137</v>
      </c>
      <c r="H97">
        <v>28669</v>
      </c>
      <c r="I97">
        <v>20478</v>
      </c>
      <c r="J97">
        <v>14629</v>
      </c>
      <c r="K97">
        <v>10448</v>
      </c>
      <c r="L97">
        <v>6270</v>
      </c>
      <c r="M97">
        <v>2089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72958</v>
      </c>
      <c r="V97">
        <v>62533</v>
      </c>
      <c r="W97">
        <v>44665</v>
      </c>
      <c r="X97">
        <v>31905</v>
      </c>
      <c r="Y97">
        <v>22792</v>
      </c>
      <c r="Z97">
        <v>16277</v>
      </c>
    </row>
    <row r="98" spans="3:26" x14ac:dyDescent="0.3">
      <c r="C98" t="s">
        <v>187</v>
      </c>
      <c r="D98">
        <v>0</v>
      </c>
      <c r="E98">
        <v>0</v>
      </c>
      <c r="F98">
        <v>46923</v>
      </c>
      <c r="G98">
        <v>40218</v>
      </c>
      <c r="H98">
        <v>28726</v>
      </c>
      <c r="I98">
        <v>20520</v>
      </c>
      <c r="J98">
        <v>14659</v>
      </c>
      <c r="K98">
        <v>10469</v>
      </c>
      <c r="L98">
        <v>6283</v>
      </c>
      <c r="M98">
        <v>2093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73105</v>
      </c>
      <c r="V98">
        <v>62658</v>
      </c>
      <c r="W98">
        <v>44755</v>
      </c>
      <c r="X98">
        <v>31969</v>
      </c>
      <c r="Y98">
        <v>22838</v>
      </c>
      <c r="Z98">
        <v>16310</v>
      </c>
    </row>
    <row r="99" spans="3:26" x14ac:dyDescent="0.3">
      <c r="C99" t="s">
        <v>188</v>
      </c>
      <c r="D99">
        <v>0</v>
      </c>
      <c r="E99">
        <v>0</v>
      </c>
      <c r="F99">
        <v>46829</v>
      </c>
      <c r="G99">
        <v>40137</v>
      </c>
      <c r="H99">
        <v>28669</v>
      </c>
      <c r="I99">
        <v>20478</v>
      </c>
      <c r="J99">
        <v>14629</v>
      </c>
      <c r="K99">
        <v>10448</v>
      </c>
      <c r="L99">
        <v>6270</v>
      </c>
      <c r="M99">
        <v>2089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72958</v>
      </c>
      <c r="V99">
        <v>62533</v>
      </c>
      <c r="W99">
        <v>44665</v>
      </c>
      <c r="X99">
        <v>31905</v>
      </c>
      <c r="Y99">
        <v>22792</v>
      </c>
      <c r="Z99">
        <v>16277</v>
      </c>
    </row>
    <row r="100" spans="3:26" x14ac:dyDescent="0.3">
      <c r="C100" t="s">
        <v>189</v>
      </c>
      <c r="D100">
        <v>0</v>
      </c>
      <c r="E100">
        <v>0</v>
      </c>
      <c r="F100">
        <v>46988</v>
      </c>
      <c r="G100">
        <v>40274</v>
      </c>
      <c r="H100">
        <v>28766</v>
      </c>
      <c r="I100">
        <v>20548</v>
      </c>
      <c r="J100">
        <v>14679</v>
      </c>
      <c r="K100">
        <v>10483</v>
      </c>
      <c r="L100">
        <v>6292</v>
      </c>
      <c r="M100">
        <v>2096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73206</v>
      </c>
      <c r="V100">
        <v>62745</v>
      </c>
      <c r="W100">
        <v>44817</v>
      </c>
      <c r="X100">
        <v>32013</v>
      </c>
      <c r="Y100">
        <v>22870</v>
      </c>
      <c r="Z100">
        <v>16332</v>
      </c>
    </row>
    <row r="101" spans="3:26" x14ac:dyDescent="0.3">
      <c r="C101" t="s">
        <v>190</v>
      </c>
      <c r="D101">
        <v>0</v>
      </c>
      <c r="E101">
        <v>0</v>
      </c>
      <c r="F101">
        <v>46776</v>
      </c>
      <c r="G101">
        <v>40091</v>
      </c>
      <c r="H101">
        <v>28636</v>
      </c>
      <c r="I101">
        <v>20455</v>
      </c>
      <c r="J101">
        <v>14613</v>
      </c>
      <c r="K101">
        <v>10436</v>
      </c>
      <c r="L101">
        <v>6263</v>
      </c>
      <c r="M101">
        <v>2086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72875</v>
      </c>
      <c r="V101">
        <v>62461</v>
      </c>
      <c r="W101">
        <v>44614</v>
      </c>
      <c r="X101">
        <v>31868</v>
      </c>
      <c r="Y101">
        <v>22766</v>
      </c>
      <c r="Z101">
        <v>16258</v>
      </c>
    </row>
    <row r="102" spans="3:26" x14ac:dyDescent="0.3">
      <c r="C102" t="s">
        <v>191</v>
      </c>
      <c r="D102">
        <v>0</v>
      </c>
      <c r="E102">
        <v>0</v>
      </c>
      <c r="F102">
        <v>46860</v>
      </c>
      <c r="G102">
        <v>40164</v>
      </c>
      <c r="H102">
        <v>28688</v>
      </c>
      <c r="I102">
        <v>20492</v>
      </c>
      <c r="J102">
        <v>14639</v>
      </c>
      <c r="K102">
        <v>10455</v>
      </c>
      <c r="L102">
        <v>6275</v>
      </c>
      <c r="M102">
        <v>2090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73007</v>
      </c>
      <c r="V102">
        <v>62574</v>
      </c>
      <c r="W102">
        <v>44695</v>
      </c>
      <c r="X102">
        <v>31926</v>
      </c>
      <c r="Y102">
        <v>22807</v>
      </c>
      <c r="Z102">
        <v>16288</v>
      </c>
    </row>
    <row r="103" spans="3:26" x14ac:dyDescent="0.3">
      <c r="C103" t="s">
        <v>192</v>
      </c>
      <c r="D103">
        <v>0</v>
      </c>
      <c r="E103">
        <v>0</v>
      </c>
      <c r="F103">
        <v>46829</v>
      </c>
      <c r="G103">
        <v>40137</v>
      </c>
      <c r="H103">
        <v>28669</v>
      </c>
      <c r="I103">
        <v>20478</v>
      </c>
      <c r="J103">
        <v>14629</v>
      </c>
      <c r="K103">
        <v>10448</v>
      </c>
      <c r="L103">
        <v>6270</v>
      </c>
      <c r="M103">
        <v>2089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72958</v>
      </c>
      <c r="V103">
        <v>62533</v>
      </c>
      <c r="W103">
        <v>44665</v>
      </c>
      <c r="X103">
        <v>31905</v>
      </c>
      <c r="Y103">
        <v>22792</v>
      </c>
      <c r="Z103">
        <v>16277</v>
      </c>
    </row>
    <row r="104" spans="3:26" x14ac:dyDescent="0.3">
      <c r="C104" t="s">
        <v>193</v>
      </c>
      <c r="D104">
        <v>0</v>
      </c>
      <c r="E104">
        <v>0</v>
      </c>
      <c r="F104">
        <v>46829</v>
      </c>
      <c r="G104">
        <v>40137</v>
      </c>
      <c r="H104">
        <v>28669</v>
      </c>
      <c r="I104">
        <v>20478</v>
      </c>
      <c r="J104">
        <v>14629</v>
      </c>
      <c r="K104">
        <v>10448</v>
      </c>
      <c r="L104">
        <v>6270</v>
      </c>
      <c r="M104">
        <v>2089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72958</v>
      </c>
      <c r="V104">
        <v>62533</v>
      </c>
      <c r="W104">
        <v>44665</v>
      </c>
      <c r="X104">
        <v>31905</v>
      </c>
      <c r="Y104">
        <v>22792</v>
      </c>
      <c r="Z104">
        <v>16277</v>
      </c>
    </row>
    <row r="105" spans="3:26" x14ac:dyDescent="0.3">
      <c r="C105" t="s">
        <v>194</v>
      </c>
      <c r="D105">
        <v>0</v>
      </c>
      <c r="E105">
        <v>0</v>
      </c>
      <c r="F105">
        <v>46829</v>
      </c>
      <c r="G105">
        <v>40137</v>
      </c>
      <c r="H105">
        <v>28669</v>
      </c>
      <c r="I105">
        <v>20478</v>
      </c>
      <c r="J105">
        <v>14629</v>
      </c>
      <c r="K105">
        <v>10448</v>
      </c>
      <c r="L105">
        <v>6270</v>
      </c>
      <c r="M105">
        <v>2089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72958</v>
      </c>
      <c r="V105">
        <v>62533</v>
      </c>
      <c r="W105">
        <v>44665</v>
      </c>
      <c r="X105">
        <v>31905</v>
      </c>
      <c r="Y105">
        <v>22792</v>
      </c>
      <c r="Z105">
        <v>16277</v>
      </c>
    </row>
    <row r="106" spans="3:26" x14ac:dyDescent="0.3">
      <c r="C106" t="s">
        <v>195</v>
      </c>
      <c r="D106">
        <v>0</v>
      </c>
      <c r="E106">
        <v>0</v>
      </c>
      <c r="F106">
        <v>46829</v>
      </c>
      <c r="G106">
        <v>40137</v>
      </c>
      <c r="H106">
        <v>28669</v>
      </c>
      <c r="I106">
        <v>20478</v>
      </c>
      <c r="J106">
        <v>14629</v>
      </c>
      <c r="K106">
        <v>10448</v>
      </c>
      <c r="L106">
        <v>6270</v>
      </c>
      <c r="M106">
        <v>2089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72958</v>
      </c>
      <c r="V106">
        <v>62533</v>
      </c>
      <c r="W106">
        <v>44665</v>
      </c>
      <c r="X106">
        <v>31905</v>
      </c>
      <c r="Y106">
        <v>22792</v>
      </c>
      <c r="Z106">
        <v>16277</v>
      </c>
    </row>
    <row r="107" spans="3:26" x14ac:dyDescent="0.3">
      <c r="C107" t="s">
        <v>196</v>
      </c>
      <c r="D107">
        <v>0</v>
      </c>
      <c r="E107">
        <v>0</v>
      </c>
      <c r="F107">
        <v>46829</v>
      </c>
      <c r="G107">
        <v>40137</v>
      </c>
      <c r="H107">
        <v>28669</v>
      </c>
      <c r="I107">
        <v>20478</v>
      </c>
      <c r="J107">
        <v>14629</v>
      </c>
      <c r="K107">
        <v>10448</v>
      </c>
      <c r="L107">
        <v>6270</v>
      </c>
      <c r="M107">
        <v>2089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72958</v>
      </c>
      <c r="V107">
        <v>62533</v>
      </c>
      <c r="W107">
        <v>44665</v>
      </c>
      <c r="X107">
        <v>31905</v>
      </c>
      <c r="Y107">
        <v>22792</v>
      </c>
      <c r="Z107">
        <v>16277</v>
      </c>
    </row>
    <row r="108" spans="3:26" x14ac:dyDescent="0.3">
      <c r="C108" t="s">
        <v>197</v>
      </c>
      <c r="D108">
        <v>0</v>
      </c>
      <c r="E108">
        <v>0</v>
      </c>
      <c r="F108">
        <v>46829</v>
      </c>
      <c r="G108">
        <v>40137</v>
      </c>
      <c r="H108">
        <v>28669</v>
      </c>
      <c r="I108">
        <v>20478</v>
      </c>
      <c r="J108">
        <v>14629</v>
      </c>
      <c r="K108">
        <v>10448</v>
      </c>
      <c r="L108">
        <v>6270</v>
      </c>
      <c r="M108">
        <v>2089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72958</v>
      </c>
      <c r="V108">
        <v>62533</v>
      </c>
      <c r="W108">
        <v>44665</v>
      </c>
      <c r="X108">
        <v>31905</v>
      </c>
      <c r="Y108">
        <v>22792</v>
      </c>
      <c r="Z108">
        <v>16277</v>
      </c>
    </row>
    <row r="109" spans="3:26" x14ac:dyDescent="0.3">
      <c r="C109" t="s">
        <v>198</v>
      </c>
      <c r="D109">
        <v>0</v>
      </c>
      <c r="E109">
        <v>0</v>
      </c>
      <c r="F109">
        <v>46829</v>
      </c>
      <c r="G109">
        <v>40137</v>
      </c>
      <c r="H109">
        <v>28669</v>
      </c>
      <c r="I109">
        <v>20478</v>
      </c>
      <c r="J109">
        <v>14629</v>
      </c>
      <c r="K109">
        <v>10448</v>
      </c>
      <c r="L109">
        <v>6270</v>
      </c>
      <c r="M109">
        <v>2089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72958</v>
      </c>
      <c r="V109">
        <v>62533</v>
      </c>
      <c r="W109">
        <v>44665</v>
      </c>
      <c r="X109">
        <v>31905</v>
      </c>
      <c r="Y109">
        <v>22792</v>
      </c>
      <c r="Z109">
        <v>16277</v>
      </c>
    </row>
    <row r="110" spans="3:26" x14ac:dyDescent="0.3">
      <c r="C110" t="s">
        <v>199</v>
      </c>
      <c r="D110">
        <v>0</v>
      </c>
      <c r="E110">
        <v>0</v>
      </c>
      <c r="F110">
        <v>46829</v>
      </c>
      <c r="G110">
        <v>40137</v>
      </c>
      <c r="H110">
        <v>28669</v>
      </c>
      <c r="I110">
        <v>20478</v>
      </c>
      <c r="J110">
        <v>14629</v>
      </c>
      <c r="K110">
        <v>10448</v>
      </c>
      <c r="L110">
        <v>6270</v>
      </c>
      <c r="M110">
        <v>2089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72958</v>
      </c>
      <c r="V110">
        <v>62533</v>
      </c>
      <c r="W110">
        <v>44665</v>
      </c>
      <c r="X110">
        <v>31905</v>
      </c>
      <c r="Y110">
        <v>22792</v>
      </c>
      <c r="Z110">
        <v>16277</v>
      </c>
    </row>
    <row r="111" spans="3:26" x14ac:dyDescent="0.3">
      <c r="C111" t="s">
        <v>200</v>
      </c>
      <c r="D111">
        <v>0</v>
      </c>
      <c r="E111">
        <v>0</v>
      </c>
      <c r="F111">
        <v>46829</v>
      </c>
      <c r="G111">
        <v>40137</v>
      </c>
      <c r="H111">
        <v>28669</v>
      </c>
      <c r="I111">
        <v>20478</v>
      </c>
      <c r="J111">
        <v>14629</v>
      </c>
      <c r="K111">
        <v>10448</v>
      </c>
      <c r="L111">
        <v>6270</v>
      </c>
      <c r="M111">
        <v>2089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72958</v>
      </c>
      <c r="V111">
        <v>62533</v>
      </c>
      <c r="W111">
        <v>44665</v>
      </c>
      <c r="X111">
        <v>31905</v>
      </c>
      <c r="Y111">
        <v>22792</v>
      </c>
      <c r="Z111">
        <v>16277</v>
      </c>
    </row>
    <row r="112" spans="3:26" x14ac:dyDescent="0.3">
      <c r="C112" t="s">
        <v>201</v>
      </c>
      <c r="D112">
        <v>0</v>
      </c>
      <c r="E112">
        <v>0</v>
      </c>
      <c r="F112">
        <v>46829</v>
      </c>
      <c r="G112">
        <v>40137</v>
      </c>
      <c r="H112">
        <v>28669</v>
      </c>
      <c r="I112">
        <v>20478</v>
      </c>
      <c r="J112">
        <v>14629</v>
      </c>
      <c r="K112">
        <v>10448</v>
      </c>
      <c r="L112">
        <v>6270</v>
      </c>
      <c r="M112">
        <v>2089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72958</v>
      </c>
      <c r="V112">
        <v>62533</v>
      </c>
      <c r="W112">
        <v>44665</v>
      </c>
      <c r="X112">
        <v>31905</v>
      </c>
      <c r="Y112">
        <v>22792</v>
      </c>
      <c r="Z112">
        <v>16277</v>
      </c>
    </row>
    <row r="113" spans="3:26" x14ac:dyDescent="0.3">
      <c r="C113" t="s">
        <v>202</v>
      </c>
      <c r="D113">
        <v>0</v>
      </c>
      <c r="E113">
        <v>0</v>
      </c>
      <c r="F113">
        <v>46829</v>
      </c>
      <c r="G113">
        <v>40137</v>
      </c>
      <c r="H113">
        <v>28669</v>
      </c>
      <c r="I113">
        <v>20478</v>
      </c>
      <c r="J113">
        <v>14629</v>
      </c>
      <c r="K113">
        <v>10448</v>
      </c>
      <c r="L113">
        <v>6270</v>
      </c>
      <c r="M113">
        <v>2089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72958</v>
      </c>
      <c r="V113">
        <v>62533</v>
      </c>
      <c r="W113">
        <v>44665</v>
      </c>
      <c r="X113">
        <v>31905</v>
      </c>
      <c r="Y113">
        <v>22792</v>
      </c>
      <c r="Z113">
        <v>16277</v>
      </c>
    </row>
    <row r="114" spans="3:26" x14ac:dyDescent="0.3">
      <c r="C114" t="s">
        <v>203</v>
      </c>
      <c r="D114">
        <v>0</v>
      </c>
      <c r="E114">
        <v>0</v>
      </c>
      <c r="F114">
        <v>46829</v>
      </c>
      <c r="G114">
        <v>40137</v>
      </c>
      <c r="H114">
        <v>28669</v>
      </c>
      <c r="I114">
        <v>20478</v>
      </c>
      <c r="J114">
        <v>14629</v>
      </c>
      <c r="K114">
        <v>10448</v>
      </c>
      <c r="L114">
        <v>6270</v>
      </c>
      <c r="M114">
        <v>2089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72958</v>
      </c>
      <c r="V114">
        <v>62533</v>
      </c>
      <c r="W114">
        <v>44665</v>
      </c>
      <c r="X114">
        <v>31905</v>
      </c>
      <c r="Y114">
        <v>22792</v>
      </c>
      <c r="Z114">
        <v>16277</v>
      </c>
    </row>
    <row r="115" spans="3:26" x14ac:dyDescent="0.3">
      <c r="C115" t="s">
        <v>204</v>
      </c>
      <c r="D115">
        <v>0</v>
      </c>
      <c r="E115">
        <v>0</v>
      </c>
      <c r="F115">
        <v>73851</v>
      </c>
      <c r="G115">
        <v>63298</v>
      </c>
      <c r="H115">
        <v>45212</v>
      </c>
      <c r="I115">
        <v>32295</v>
      </c>
      <c r="J115">
        <v>23071</v>
      </c>
      <c r="K115">
        <v>16476</v>
      </c>
      <c r="L115">
        <v>9889</v>
      </c>
      <c r="M115">
        <v>3294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115058</v>
      </c>
      <c r="V115">
        <v>98616</v>
      </c>
      <c r="W115">
        <v>70439</v>
      </c>
      <c r="X115">
        <v>50315</v>
      </c>
      <c r="Y115">
        <v>35944</v>
      </c>
      <c r="Z115">
        <v>25669</v>
      </c>
    </row>
    <row r="116" spans="3:26" x14ac:dyDescent="0.3">
      <c r="C116" t="s">
        <v>205</v>
      </c>
      <c r="D116">
        <v>0</v>
      </c>
      <c r="E116">
        <v>0</v>
      </c>
      <c r="F116">
        <v>1456311</v>
      </c>
      <c r="G116">
        <v>1383495</v>
      </c>
      <c r="H116">
        <v>1245146</v>
      </c>
      <c r="I116">
        <v>1120631</v>
      </c>
      <c r="J116">
        <v>1008495</v>
      </c>
      <c r="K116">
        <v>907573</v>
      </c>
      <c r="L116">
        <v>816845</v>
      </c>
      <c r="M116">
        <v>730922</v>
      </c>
      <c r="N116">
        <v>645000</v>
      </c>
      <c r="O116">
        <v>558932</v>
      </c>
      <c r="P116">
        <v>473010</v>
      </c>
      <c r="Q116">
        <v>386942</v>
      </c>
      <c r="R116">
        <v>301019</v>
      </c>
      <c r="S116">
        <v>214951</v>
      </c>
      <c r="T116">
        <v>129029</v>
      </c>
      <c r="U116">
        <v>42961</v>
      </c>
      <c r="V116">
        <v>0</v>
      </c>
      <c r="W116">
        <v>0</v>
      </c>
      <c r="X116">
        <v>0</v>
      </c>
      <c r="Y116">
        <v>0</v>
      </c>
      <c r="Z116">
        <v>2630259</v>
      </c>
    </row>
    <row r="117" spans="3:26" x14ac:dyDescent="0.3">
      <c r="C117" t="s">
        <v>206</v>
      </c>
      <c r="D117">
        <v>0</v>
      </c>
      <c r="E117">
        <v>0</v>
      </c>
      <c r="F117">
        <v>42476</v>
      </c>
      <c r="G117">
        <v>36406</v>
      </c>
      <c r="H117">
        <v>26004</v>
      </c>
      <c r="I117">
        <v>18575</v>
      </c>
      <c r="J117">
        <v>13269</v>
      </c>
      <c r="K117">
        <v>9476</v>
      </c>
      <c r="L117">
        <v>5688</v>
      </c>
      <c r="M117">
        <v>1894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66176</v>
      </c>
      <c r="V117">
        <v>56719</v>
      </c>
      <c r="W117">
        <v>40513</v>
      </c>
      <c r="X117">
        <v>28939</v>
      </c>
      <c r="Y117">
        <v>20673</v>
      </c>
      <c r="Z117">
        <v>14764</v>
      </c>
    </row>
    <row r="118" spans="3:26" x14ac:dyDescent="0.3">
      <c r="C118" t="s">
        <v>207</v>
      </c>
      <c r="D118">
        <v>0</v>
      </c>
      <c r="E118">
        <v>0</v>
      </c>
      <c r="F118">
        <v>5461</v>
      </c>
      <c r="G118">
        <v>4681</v>
      </c>
      <c r="H118">
        <v>3343</v>
      </c>
      <c r="I118">
        <v>2388</v>
      </c>
      <c r="J118">
        <v>1706</v>
      </c>
      <c r="K118">
        <v>1218</v>
      </c>
      <c r="L118">
        <v>731</v>
      </c>
      <c r="M118">
        <v>244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8508</v>
      </c>
      <c r="V118">
        <v>7292</v>
      </c>
      <c r="W118">
        <v>5209</v>
      </c>
      <c r="X118">
        <v>3721</v>
      </c>
      <c r="Y118">
        <v>2658</v>
      </c>
      <c r="Z118">
        <v>1898</v>
      </c>
    </row>
    <row r="119" spans="3:26" x14ac:dyDescent="0.3">
      <c r="C119" t="s">
        <v>208</v>
      </c>
      <c r="D119">
        <v>0</v>
      </c>
      <c r="E119">
        <v>0</v>
      </c>
      <c r="F119">
        <v>5461</v>
      </c>
      <c r="G119">
        <v>4681</v>
      </c>
      <c r="H119">
        <v>3343</v>
      </c>
      <c r="I119">
        <v>2388</v>
      </c>
      <c r="J119">
        <v>1706</v>
      </c>
      <c r="K119">
        <v>1218</v>
      </c>
      <c r="L119">
        <v>731</v>
      </c>
      <c r="M119">
        <v>244</v>
      </c>
      <c r="N119">
        <v>0</v>
      </c>
      <c r="O119">
        <v>0</v>
      </c>
      <c r="P119">
        <v>0</v>
      </c>
      <c r="Q119">
        <v>0</v>
      </c>
      <c r="R119">
        <v>7786</v>
      </c>
      <c r="S119">
        <v>6674</v>
      </c>
      <c r="T119">
        <v>4767</v>
      </c>
      <c r="U119">
        <v>3405</v>
      </c>
      <c r="V119">
        <v>2432</v>
      </c>
      <c r="W119">
        <v>1737</v>
      </c>
      <c r="X119">
        <v>1043</v>
      </c>
      <c r="Y119">
        <v>347</v>
      </c>
      <c r="Z119">
        <v>0</v>
      </c>
    </row>
    <row r="120" spans="3:26" x14ac:dyDescent="0.3">
      <c r="C120" t="s">
        <v>209</v>
      </c>
      <c r="D120">
        <v>0</v>
      </c>
      <c r="E120">
        <v>0</v>
      </c>
      <c r="F120">
        <v>2073711</v>
      </c>
      <c r="G120">
        <v>1970025</v>
      </c>
      <c r="H120">
        <v>1773023</v>
      </c>
      <c r="I120">
        <v>1595721</v>
      </c>
      <c r="J120">
        <v>1436045</v>
      </c>
      <c r="K120">
        <v>1292337</v>
      </c>
      <c r="L120">
        <v>1163144</v>
      </c>
      <c r="M120">
        <v>1040796</v>
      </c>
      <c r="N120">
        <v>918447</v>
      </c>
      <c r="O120">
        <v>795890</v>
      </c>
      <c r="P120">
        <v>673541</v>
      </c>
      <c r="Q120">
        <v>550985</v>
      </c>
      <c r="R120">
        <v>428636</v>
      </c>
      <c r="S120">
        <v>306080</v>
      </c>
      <c r="T120">
        <v>183731</v>
      </c>
      <c r="U120">
        <v>61174</v>
      </c>
      <c r="V120">
        <v>0</v>
      </c>
      <c r="W120">
        <v>0</v>
      </c>
      <c r="X120">
        <v>0</v>
      </c>
      <c r="Y120">
        <v>3745353</v>
      </c>
      <c r="Z120">
        <v>3558085</v>
      </c>
    </row>
    <row r="121" spans="3:26" x14ac:dyDescent="0.3">
      <c r="C121" t="s">
        <v>221</v>
      </c>
      <c r="D121">
        <v>0</v>
      </c>
      <c r="E121">
        <v>0</v>
      </c>
      <c r="F121">
        <v>1395918</v>
      </c>
      <c r="G121">
        <v>1326122</v>
      </c>
      <c r="H121">
        <v>1193510</v>
      </c>
      <c r="I121">
        <v>1074159</v>
      </c>
      <c r="J121">
        <v>966673</v>
      </c>
      <c r="K121">
        <v>869936</v>
      </c>
      <c r="L121">
        <v>782971</v>
      </c>
      <c r="M121">
        <v>700611</v>
      </c>
      <c r="N121">
        <v>618252</v>
      </c>
      <c r="O121">
        <v>535753</v>
      </c>
      <c r="P121">
        <v>453394</v>
      </c>
      <c r="Q121">
        <v>370896</v>
      </c>
      <c r="R121">
        <v>288536</v>
      </c>
      <c r="S121">
        <v>206038</v>
      </c>
      <c r="T121">
        <v>123678</v>
      </c>
      <c r="U121">
        <v>41180</v>
      </c>
      <c r="V121">
        <v>0</v>
      </c>
      <c r="W121">
        <v>0</v>
      </c>
      <c r="X121">
        <v>0</v>
      </c>
      <c r="Y121">
        <v>0</v>
      </c>
      <c r="Z121">
        <v>2521184</v>
      </c>
    </row>
    <row r="122" spans="3:26" x14ac:dyDescent="0.3">
      <c r="C122" t="s">
        <v>222</v>
      </c>
      <c r="D122">
        <v>0</v>
      </c>
      <c r="E122">
        <v>0</v>
      </c>
      <c r="F122">
        <v>362354</v>
      </c>
      <c r="G122">
        <v>344236</v>
      </c>
      <c r="H122">
        <v>309813</v>
      </c>
      <c r="I122">
        <v>278831</v>
      </c>
      <c r="J122">
        <v>250930</v>
      </c>
      <c r="K122">
        <v>225819</v>
      </c>
      <c r="L122">
        <v>203244</v>
      </c>
      <c r="M122">
        <v>181865</v>
      </c>
      <c r="N122">
        <v>160487</v>
      </c>
      <c r="O122">
        <v>139071</v>
      </c>
      <c r="P122">
        <v>117693</v>
      </c>
      <c r="Q122">
        <v>96277</v>
      </c>
      <c r="R122">
        <v>74899</v>
      </c>
      <c r="S122">
        <v>53483</v>
      </c>
      <c r="T122">
        <v>32105</v>
      </c>
      <c r="U122">
        <v>10689</v>
      </c>
      <c r="V122">
        <v>0</v>
      </c>
      <c r="W122">
        <v>0</v>
      </c>
      <c r="X122">
        <v>0</v>
      </c>
      <c r="Y122">
        <v>0</v>
      </c>
      <c r="Z122">
        <v>654451</v>
      </c>
    </row>
    <row r="123" spans="3:26" x14ac:dyDescent="0.3">
      <c r="C123" t="s">
        <v>226</v>
      </c>
      <c r="D123">
        <v>0</v>
      </c>
      <c r="E123">
        <v>0</v>
      </c>
      <c r="F123">
        <v>699029</v>
      </c>
      <c r="G123">
        <v>599138</v>
      </c>
      <c r="H123">
        <v>427946</v>
      </c>
      <c r="I123">
        <v>305685</v>
      </c>
      <c r="J123">
        <v>218377</v>
      </c>
      <c r="K123">
        <v>155953</v>
      </c>
      <c r="L123">
        <v>93600</v>
      </c>
      <c r="M123">
        <v>31177</v>
      </c>
      <c r="N123">
        <v>0</v>
      </c>
      <c r="O123">
        <v>0</v>
      </c>
      <c r="P123">
        <v>939437</v>
      </c>
      <c r="Q123">
        <v>805191</v>
      </c>
      <c r="R123">
        <v>575123</v>
      </c>
      <c r="S123">
        <v>410816</v>
      </c>
      <c r="T123">
        <v>293480</v>
      </c>
      <c r="U123">
        <v>209588</v>
      </c>
      <c r="V123">
        <v>125791</v>
      </c>
      <c r="W123">
        <v>41899</v>
      </c>
      <c r="X123">
        <v>0</v>
      </c>
      <c r="Y123">
        <v>0</v>
      </c>
      <c r="Z123">
        <v>1262524</v>
      </c>
    </row>
    <row r="124" spans="3:26" x14ac:dyDescent="0.3">
      <c r="C124" t="s">
        <v>227</v>
      </c>
      <c r="D124">
        <v>0</v>
      </c>
      <c r="E124">
        <v>0</v>
      </c>
      <c r="F124">
        <v>36699</v>
      </c>
      <c r="G124">
        <v>31455</v>
      </c>
      <c r="H124">
        <v>22467</v>
      </c>
      <c r="I124">
        <v>16048</v>
      </c>
      <c r="J124">
        <v>11465</v>
      </c>
      <c r="K124">
        <v>8188</v>
      </c>
      <c r="L124">
        <v>4914</v>
      </c>
      <c r="M124">
        <v>1637</v>
      </c>
      <c r="N124">
        <v>0</v>
      </c>
      <c r="O124">
        <v>0</v>
      </c>
      <c r="P124">
        <v>49320</v>
      </c>
      <c r="Q124">
        <v>42273</v>
      </c>
      <c r="R124">
        <v>30194</v>
      </c>
      <c r="S124">
        <v>21568</v>
      </c>
      <c r="T124">
        <v>15408</v>
      </c>
      <c r="U124">
        <v>11003</v>
      </c>
      <c r="V124">
        <v>6604</v>
      </c>
      <c r="W124">
        <v>2200</v>
      </c>
      <c r="X124">
        <v>0</v>
      </c>
      <c r="Y124">
        <v>0</v>
      </c>
      <c r="Z124">
        <v>66283</v>
      </c>
    </row>
    <row r="125" spans="3:26" x14ac:dyDescent="0.3">
      <c r="C125" t="s">
        <v>228</v>
      </c>
      <c r="D125">
        <v>0</v>
      </c>
      <c r="E125">
        <v>0</v>
      </c>
      <c r="F125">
        <v>6214</v>
      </c>
      <c r="G125">
        <v>5326</v>
      </c>
      <c r="H125">
        <v>3804</v>
      </c>
      <c r="I125">
        <v>2717</v>
      </c>
      <c r="J125">
        <v>1941</v>
      </c>
      <c r="K125">
        <v>1386</v>
      </c>
      <c r="L125">
        <v>832</v>
      </c>
      <c r="M125">
        <v>277</v>
      </c>
      <c r="N125">
        <v>0</v>
      </c>
      <c r="O125">
        <v>0</v>
      </c>
      <c r="P125">
        <v>8351</v>
      </c>
      <c r="Q125">
        <v>7157</v>
      </c>
      <c r="R125">
        <v>5112</v>
      </c>
      <c r="S125">
        <v>3652</v>
      </c>
      <c r="T125">
        <v>2609</v>
      </c>
      <c r="U125">
        <v>1863</v>
      </c>
      <c r="V125">
        <v>1118</v>
      </c>
      <c r="W125">
        <v>372</v>
      </c>
      <c r="X125">
        <v>0</v>
      </c>
      <c r="Y125">
        <v>0</v>
      </c>
      <c r="Z125">
        <v>11222</v>
      </c>
    </row>
    <row r="126" spans="3:26" x14ac:dyDescent="0.3">
      <c r="C126" t="s">
        <v>229</v>
      </c>
      <c r="D126">
        <v>0</v>
      </c>
      <c r="E126">
        <v>0</v>
      </c>
      <c r="F126">
        <v>30583</v>
      </c>
      <c r="G126">
        <v>26212</v>
      </c>
      <c r="H126">
        <v>18723</v>
      </c>
      <c r="I126">
        <v>13374</v>
      </c>
      <c r="J126">
        <v>9554</v>
      </c>
      <c r="K126">
        <v>6823</v>
      </c>
      <c r="L126">
        <v>4095</v>
      </c>
      <c r="M126">
        <v>1364</v>
      </c>
      <c r="N126">
        <v>0</v>
      </c>
      <c r="O126">
        <v>0</v>
      </c>
      <c r="P126">
        <v>41100</v>
      </c>
      <c r="Q126">
        <v>35227</v>
      </c>
      <c r="R126">
        <v>25162</v>
      </c>
      <c r="S126">
        <v>17973</v>
      </c>
      <c r="T126">
        <v>12840</v>
      </c>
      <c r="U126">
        <v>9169</v>
      </c>
      <c r="V126">
        <v>5503</v>
      </c>
      <c r="W126">
        <v>1833</v>
      </c>
      <c r="X126">
        <v>0</v>
      </c>
      <c r="Y126">
        <v>0</v>
      </c>
      <c r="Z126">
        <v>55235</v>
      </c>
    </row>
    <row r="127" spans="3:26" x14ac:dyDescent="0.3">
      <c r="C127" t="s">
        <v>230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3:26" x14ac:dyDescent="0.3">
      <c r="C128" t="s">
        <v>231</v>
      </c>
      <c r="D128">
        <v>0</v>
      </c>
      <c r="E128">
        <v>0</v>
      </c>
      <c r="F128">
        <v>36893</v>
      </c>
      <c r="G128">
        <v>31621</v>
      </c>
      <c r="H128">
        <v>22586</v>
      </c>
      <c r="I128">
        <v>16133</v>
      </c>
      <c r="J128">
        <v>11525</v>
      </c>
      <c r="K128">
        <v>8231</v>
      </c>
      <c r="L128">
        <v>4940</v>
      </c>
      <c r="M128">
        <v>1645</v>
      </c>
      <c r="N128">
        <v>0</v>
      </c>
      <c r="O128">
        <v>0</v>
      </c>
      <c r="P128">
        <v>49581</v>
      </c>
      <c r="Q128">
        <v>42496</v>
      </c>
      <c r="R128">
        <v>30354</v>
      </c>
      <c r="S128">
        <v>21682</v>
      </c>
      <c r="T128">
        <v>15489</v>
      </c>
      <c r="U128">
        <v>11062</v>
      </c>
      <c r="V128">
        <v>6639</v>
      </c>
      <c r="W128">
        <v>2211</v>
      </c>
      <c r="X128">
        <v>0</v>
      </c>
      <c r="Y128">
        <v>0</v>
      </c>
      <c r="Z128">
        <v>66633</v>
      </c>
    </row>
    <row r="129" spans="3:26" x14ac:dyDescent="0.3">
      <c r="C129" t="s">
        <v>232</v>
      </c>
      <c r="D129">
        <v>0</v>
      </c>
      <c r="E129">
        <v>0</v>
      </c>
      <c r="F129">
        <v>38835</v>
      </c>
      <c r="G129">
        <v>33285</v>
      </c>
      <c r="H129">
        <v>23775</v>
      </c>
      <c r="I129">
        <v>16983</v>
      </c>
      <c r="J129">
        <v>12132</v>
      </c>
      <c r="K129">
        <v>8664</v>
      </c>
      <c r="L129">
        <v>5200</v>
      </c>
      <c r="M129">
        <v>1732</v>
      </c>
      <c r="N129">
        <v>0</v>
      </c>
      <c r="O129">
        <v>0</v>
      </c>
      <c r="P129">
        <v>52191</v>
      </c>
      <c r="Q129">
        <v>44733</v>
      </c>
      <c r="R129">
        <v>31951</v>
      </c>
      <c r="S129">
        <v>22823</v>
      </c>
      <c r="T129">
        <v>16304</v>
      </c>
      <c r="U129">
        <v>11644</v>
      </c>
      <c r="V129">
        <v>6988</v>
      </c>
      <c r="W129">
        <v>2328</v>
      </c>
      <c r="X129">
        <v>0</v>
      </c>
      <c r="Y129">
        <v>0</v>
      </c>
      <c r="Z129">
        <v>70140</v>
      </c>
    </row>
    <row r="130" spans="3:26" x14ac:dyDescent="0.3">
      <c r="C130" t="s">
        <v>233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3:26" x14ac:dyDescent="0.3">
      <c r="C131" t="s">
        <v>234</v>
      </c>
      <c r="D131">
        <v>0</v>
      </c>
      <c r="E131">
        <v>0</v>
      </c>
      <c r="F131">
        <v>54369</v>
      </c>
      <c r="G131">
        <v>46600</v>
      </c>
      <c r="H131">
        <v>33285</v>
      </c>
      <c r="I131">
        <v>23776</v>
      </c>
      <c r="J131">
        <v>16985</v>
      </c>
      <c r="K131">
        <v>12130</v>
      </c>
      <c r="L131">
        <v>7280</v>
      </c>
      <c r="M131">
        <v>2425</v>
      </c>
      <c r="N131">
        <v>0</v>
      </c>
      <c r="O131">
        <v>0</v>
      </c>
      <c r="P131">
        <v>73067</v>
      </c>
      <c r="Q131">
        <v>62626</v>
      </c>
      <c r="R131">
        <v>44732</v>
      </c>
      <c r="S131">
        <v>31952</v>
      </c>
      <c r="T131">
        <v>22826</v>
      </c>
      <c r="U131">
        <v>16301</v>
      </c>
      <c r="V131">
        <v>9784</v>
      </c>
      <c r="W131">
        <v>3259</v>
      </c>
      <c r="X131">
        <v>0</v>
      </c>
      <c r="Y131">
        <v>0</v>
      </c>
      <c r="Z131">
        <v>98196</v>
      </c>
    </row>
    <row r="132" spans="3:26" x14ac:dyDescent="0.3">
      <c r="C132" t="s">
        <v>235</v>
      </c>
      <c r="D132">
        <v>0</v>
      </c>
      <c r="E132">
        <v>0</v>
      </c>
      <c r="F132">
        <v>314563</v>
      </c>
      <c r="G132">
        <v>269612</v>
      </c>
      <c r="H132">
        <v>192576</v>
      </c>
      <c r="I132">
        <v>137558</v>
      </c>
      <c r="J132">
        <v>98270</v>
      </c>
      <c r="K132">
        <v>70179</v>
      </c>
      <c r="L132">
        <v>42120</v>
      </c>
      <c r="M132">
        <v>14030</v>
      </c>
      <c r="N132">
        <v>0</v>
      </c>
      <c r="O132">
        <v>0</v>
      </c>
      <c r="P132">
        <v>422747</v>
      </c>
      <c r="Q132">
        <v>362336</v>
      </c>
      <c r="R132">
        <v>258805</v>
      </c>
      <c r="S132">
        <v>184867</v>
      </c>
      <c r="T132">
        <v>132066</v>
      </c>
      <c r="U132">
        <v>94315</v>
      </c>
      <c r="V132">
        <v>56606</v>
      </c>
      <c r="W132">
        <v>18854</v>
      </c>
      <c r="X132">
        <v>0</v>
      </c>
      <c r="Y132">
        <v>0</v>
      </c>
      <c r="Z132">
        <v>568136</v>
      </c>
    </row>
    <row r="133" spans="3:26" x14ac:dyDescent="0.3">
      <c r="C133" t="s">
        <v>236</v>
      </c>
      <c r="D133">
        <v>0</v>
      </c>
      <c r="E133">
        <v>0</v>
      </c>
      <c r="F133">
        <v>69903</v>
      </c>
      <c r="G133">
        <v>59914</v>
      </c>
      <c r="H133">
        <v>42795</v>
      </c>
      <c r="I133">
        <v>30569</v>
      </c>
      <c r="J133">
        <v>21838</v>
      </c>
      <c r="K133">
        <v>15595</v>
      </c>
      <c r="L133">
        <v>9360</v>
      </c>
      <c r="M133">
        <v>3118</v>
      </c>
      <c r="N133">
        <v>0</v>
      </c>
      <c r="O133">
        <v>0</v>
      </c>
      <c r="P133">
        <v>93944</v>
      </c>
      <c r="Q133">
        <v>80519</v>
      </c>
      <c r="R133">
        <v>57512</v>
      </c>
      <c r="S133">
        <v>41082</v>
      </c>
      <c r="T133">
        <v>29348</v>
      </c>
      <c r="U133">
        <v>20959</v>
      </c>
      <c r="V133">
        <v>12579</v>
      </c>
      <c r="W133">
        <v>4190</v>
      </c>
      <c r="X133">
        <v>0</v>
      </c>
      <c r="Y133">
        <v>0</v>
      </c>
      <c r="Z133">
        <v>126252</v>
      </c>
    </row>
    <row r="134" spans="3:26" x14ac:dyDescent="0.3">
      <c r="C134" t="s">
        <v>237</v>
      </c>
      <c r="D134">
        <v>0</v>
      </c>
      <c r="E134">
        <v>0</v>
      </c>
      <c r="F134">
        <v>176699</v>
      </c>
      <c r="G134">
        <v>151449</v>
      </c>
      <c r="H134">
        <v>108175</v>
      </c>
      <c r="I134">
        <v>77270</v>
      </c>
      <c r="J134">
        <v>55201</v>
      </c>
      <c r="K134">
        <v>39422</v>
      </c>
      <c r="L134">
        <v>23660</v>
      </c>
      <c r="M134">
        <v>7881</v>
      </c>
      <c r="N134">
        <v>0</v>
      </c>
      <c r="O134">
        <v>0</v>
      </c>
      <c r="P134">
        <v>237469</v>
      </c>
      <c r="Q134">
        <v>203534</v>
      </c>
      <c r="R134">
        <v>145378</v>
      </c>
      <c r="S134">
        <v>103845</v>
      </c>
      <c r="T134">
        <v>74185</v>
      </c>
      <c r="U134">
        <v>52979</v>
      </c>
      <c r="V134">
        <v>31797</v>
      </c>
      <c r="W134">
        <v>10591</v>
      </c>
      <c r="X134">
        <v>0</v>
      </c>
      <c r="Y134">
        <v>0</v>
      </c>
      <c r="Z134">
        <v>319138</v>
      </c>
    </row>
    <row r="135" spans="3:26" x14ac:dyDescent="0.3">
      <c r="C135" t="s">
        <v>238</v>
      </c>
      <c r="D135">
        <v>0</v>
      </c>
      <c r="E135">
        <v>0</v>
      </c>
      <c r="F135">
        <v>3883</v>
      </c>
      <c r="G135">
        <v>3329</v>
      </c>
      <c r="H135">
        <v>2377</v>
      </c>
      <c r="I135">
        <v>1698</v>
      </c>
      <c r="J135">
        <v>1213</v>
      </c>
      <c r="K135">
        <v>866</v>
      </c>
      <c r="L135">
        <v>520</v>
      </c>
      <c r="M135">
        <v>173</v>
      </c>
      <c r="N135">
        <v>0</v>
      </c>
      <c r="O135">
        <v>0</v>
      </c>
      <c r="P135">
        <v>5219</v>
      </c>
      <c r="Q135">
        <v>4473</v>
      </c>
      <c r="R135">
        <v>3195</v>
      </c>
      <c r="S135">
        <v>2282</v>
      </c>
      <c r="T135">
        <v>1630</v>
      </c>
      <c r="U135">
        <v>1164</v>
      </c>
      <c r="V135">
        <v>699</v>
      </c>
      <c r="W135">
        <v>233</v>
      </c>
      <c r="X135">
        <v>0</v>
      </c>
      <c r="Y135">
        <v>0</v>
      </c>
      <c r="Z135">
        <v>7014</v>
      </c>
    </row>
  </sheetData>
  <hyperlinks>
    <hyperlink ref="B2" location="'Home Sheet'!B2" display="BACK TO HOME SHEET" xr:uid="{30238188-278C-4DAC-95B3-3141322A9FF1}"/>
  </hyperlinks>
  <pageMargins left="0.75" right="0.75" top="1" bottom="1" header="0.5" footer="0.5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B2:Z8"/>
  <sheetViews>
    <sheetView workbookViewId="0">
      <selection activeCell="B2" sqref="B2"/>
    </sheetView>
  </sheetViews>
  <sheetFormatPr defaultRowHeight="14.4" x14ac:dyDescent="0.3"/>
  <cols>
    <col min="2" max="2" width="19.5546875" bestFit="1" customWidth="1"/>
    <col min="3" max="3" width="11.33203125" bestFit="1" customWidth="1"/>
    <col min="4" max="6" width="12.6640625" bestFit="1" customWidth="1"/>
    <col min="7" max="26" width="12" bestFit="1" customWidth="1"/>
  </cols>
  <sheetData>
    <row r="2" spans="2:26" x14ac:dyDescent="0.3">
      <c r="B2" s="2" t="s">
        <v>372</v>
      </c>
    </row>
    <row r="3" spans="2:26" x14ac:dyDescent="0.3">
      <c r="C3" s="3" t="s">
        <v>6</v>
      </c>
      <c r="D3" s="3" t="s">
        <v>7</v>
      </c>
      <c r="E3" s="3" t="s">
        <v>8</v>
      </c>
      <c r="F3" s="3" t="s">
        <v>9</v>
      </c>
      <c r="G3" s="3" t="s">
        <v>10</v>
      </c>
      <c r="H3" s="3" t="s">
        <v>11</v>
      </c>
      <c r="I3" s="3" t="s">
        <v>12</v>
      </c>
      <c r="J3" s="3" t="s">
        <v>13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3" t="s">
        <v>19</v>
      </c>
      <c r="Q3" s="3" t="s">
        <v>20</v>
      </c>
      <c r="R3" s="3" t="s">
        <v>21</v>
      </c>
      <c r="S3" s="3" t="s">
        <v>22</v>
      </c>
      <c r="T3" s="3" t="s">
        <v>23</v>
      </c>
      <c r="U3" s="3" t="s">
        <v>24</v>
      </c>
      <c r="V3" s="3" t="s">
        <v>25</v>
      </c>
      <c r="W3" s="3" t="s">
        <v>26</v>
      </c>
      <c r="X3" s="3" t="s">
        <v>27</v>
      </c>
      <c r="Y3" s="3" t="s">
        <v>28</v>
      </c>
      <c r="Z3" s="3" t="s">
        <v>29</v>
      </c>
    </row>
    <row r="4" spans="2:26" x14ac:dyDescent="0.3">
      <c r="C4" t="s">
        <v>51</v>
      </c>
      <c r="D4" s="8">
        <v>412470</v>
      </c>
      <c r="E4" s="8">
        <v>412470</v>
      </c>
      <c r="F4" s="8">
        <v>412470</v>
      </c>
      <c r="G4" s="8">
        <v>412470</v>
      </c>
      <c r="H4" s="8">
        <v>412470</v>
      </c>
      <c r="I4" s="8">
        <v>412470</v>
      </c>
      <c r="J4" s="8">
        <v>412470</v>
      </c>
      <c r="K4" s="8">
        <v>412470</v>
      </c>
      <c r="L4" s="8">
        <v>412470</v>
      </c>
      <c r="M4" s="8">
        <v>412470</v>
      </c>
      <c r="N4" s="8">
        <v>412470</v>
      </c>
      <c r="O4" s="8">
        <v>412470</v>
      </c>
      <c r="P4" s="8">
        <v>412470</v>
      </c>
      <c r="Q4" s="8">
        <v>412470</v>
      </c>
      <c r="R4" s="8">
        <v>412470</v>
      </c>
      <c r="S4" s="8">
        <v>412470</v>
      </c>
      <c r="T4" s="8">
        <v>412470</v>
      </c>
      <c r="U4" s="8">
        <v>412470</v>
      </c>
      <c r="V4" s="8">
        <v>412470</v>
      </c>
      <c r="W4" s="8">
        <v>412470</v>
      </c>
      <c r="X4" s="8">
        <v>412470</v>
      </c>
      <c r="Y4" s="8">
        <v>412470</v>
      </c>
      <c r="Z4" s="8">
        <v>412470</v>
      </c>
    </row>
    <row r="5" spans="2:26" x14ac:dyDescent="0.3">
      <c r="C5" t="s">
        <v>58</v>
      </c>
      <c r="D5" s="8">
        <v>0</v>
      </c>
      <c r="E5" s="8">
        <v>0</v>
      </c>
      <c r="F5" s="8">
        <v>0</v>
      </c>
      <c r="G5" s="8">
        <v>1145737.3842554139</v>
      </c>
      <c r="H5" s="8">
        <v>2493332.3227548641</v>
      </c>
      <c r="I5" s="8">
        <v>4018347.9953312008</v>
      </c>
      <c r="J5" s="8">
        <v>4274015.6220163759</v>
      </c>
      <c r="K5" s="8">
        <v>4540537.8255837345</v>
      </c>
      <c r="L5" s="8">
        <v>4818429.6042418107</v>
      </c>
      <c r="M5" s="8">
        <v>5108320.691617433</v>
      </c>
      <c r="N5" s="8">
        <v>5412233.1695235409</v>
      </c>
      <c r="O5" s="8">
        <v>5730115.8517660964</v>
      </c>
      <c r="P5" s="8">
        <v>6059774.1942198873</v>
      </c>
      <c r="Q5" s="8">
        <v>6400333.6040710416</v>
      </c>
      <c r="R5" s="8">
        <v>6759133.951996401</v>
      </c>
      <c r="S5" s="8">
        <v>7136124.1920328122</v>
      </c>
      <c r="T5" s="8">
        <v>7529337.0361629883</v>
      </c>
      <c r="U5" s="8">
        <v>7940237.3045603586</v>
      </c>
      <c r="V5" s="8">
        <v>8365047.7357180398</v>
      </c>
      <c r="W5" s="8">
        <v>8811159.9042445347</v>
      </c>
      <c r="X5" s="8">
        <v>9278445.6147145815</v>
      </c>
      <c r="Y5" s="8">
        <v>9773121.5644043013</v>
      </c>
      <c r="Z5" s="8">
        <v>10452052.770687491</v>
      </c>
    </row>
    <row r="6" spans="2:26" x14ac:dyDescent="0.3">
      <c r="C6" t="s">
        <v>345</v>
      </c>
      <c r="D6" s="8">
        <v>0</v>
      </c>
      <c r="E6" s="8">
        <v>0</v>
      </c>
      <c r="F6" s="8">
        <v>0</v>
      </c>
      <c r="G6" s="8">
        <v>0</v>
      </c>
      <c r="H6" s="8">
        <v>1048037.902109147</v>
      </c>
      <c r="I6" s="8">
        <v>3089781.7189495689</v>
      </c>
      <c r="J6" s="8">
        <v>3568708.459356226</v>
      </c>
      <c r="K6" s="8">
        <v>4049379.3541915952</v>
      </c>
      <c r="L6" s="8">
        <v>4534093.461537906</v>
      </c>
      <c r="M6" s="8">
        <v>5027889.0215050727</v>
      </c>
      <c r="N6" s="8">
        <v>5574032.2980932044</v>
      </c>
      <c r="O6" s="8">
        <v>6157691.5426896643</v>
      </c>
      <c r="P6" s="8">
        <v>6703972.0696626808</v>
      </c>
      <c r="Q6" s="8">
        <v>7174143.9140358185</v>
      </c>
      <c r="R6" s="8">
        <v>7757222.0196925635</v>
      </c>
      <c r="S6" s="8">
        <v>8436273.802393645</v>
      </c>
      <c r="T6" s="8">
        <v>9140540.7961854618</v>
      </c>
      <c r="U6" s="8">
        <v>9894049.0894070193</v>
      </c>
      <c r="V6" s="8">
        <v>10574532.69363609</v>
      </c>
      <c r="W6" s="8">
        <v>11369471.35668399</v>
      </c>
      <c r="X6" s="8">
        <v>12256711.88588742</v>
      </c>
      <c r="Y6" s="8">
        <v>13389744.07266227</v>
      </c>
      <c r="Z6" s="8">
        <v>19107869.123706061</v>
      </c>
    </row>
    <row r="7" spans="2:26" x14ac:dyDescent="0.3">
      <c r="C7" t="s">
        <v>54</v>
      </c>
      <c r="D7" s="8">
        <v>-466470.05973324418</v>
      </c>
      <c r="E7" s="8">
        <v>-466470.05973324418</v>
      </c>
      <c r="F7" s="8">
        <v>-760457.05973324412</v>
      </c>
      <c r="G7" s="8">
        <v>2007443.0342031349</v>
      </c>
      <c r="H7" s="8">
        <v>11293107.175596019</v>
      </c>
      <c r="I7" s="8">
        <v>22107379.56321793</v>
      </c>
      <c r="J7" s="8">
        <v>24297384.782803819</v>
      </c>
      <c r="K7" s="8">
        <v>26569732.122604199</v>
      </c>
      <c r="L7" s="8">
        <v>29014601.105134331</v>
      </c>
      <c r="M7" s="8">
        <v>31551352.266352162</v>
      </c>
      <c r="N7" s="8">
        <v>34213533.804894671</v>
      </c>
      <c r="O7" s="8">
        <v>37094559.465331078</v>
      </c>
      <c r="P7" s="8">
        <v>40104103.239986859</v>
      </c>
      <c r="Q7" s="8">
        <v>43006103.919869989</v>
      </c>
      <c r="R7" s="8">
        <v>46225267.012066074</v>
      </c>
      <c r="S7" s="8">
        <v>49596608.863914572</v>
      </c>
      <c r="T7" s="8">
        <v>53148913.218977802</v>
      </c>
      <c r="U7" s="8">
        <v>57037162.689637393</v>
      </c>
      <c r="V7" s="8">
        <v>60699877.859486282</v>
      </c>
      <c r="W7" s="8">
        <v>64752675.756314106</v>
      </c>
      <c r="X7" s="8">
        <v>69051546.850656599</v>
      </c>
      <c r="Y7" s="8">
        <v>74659986.068784833</v>
      </c>
      <c r="Z7" s="8">
        <v>103129500.7499066</v>
      </c>
    </row>
    <row r="8" spans="2:26" x14ac:dyDescent="0.3">
      <c r="C8" t="s">
        <v>346</v>
      </c>
      <c r="D8" s="8">
        <v>412470</v>
      </c>
      <c r="E8" s="8">
        <v>412470</v>
      </c>
      <c r="F8" s="8">
        <v>412470</v>
      </c>
      <c r="G8" s="8">
        <v>1558207.3842554139</v>
      </c>
      <c r="H8" s="8">
        <v>3953840.2248640121</v>
      </c>
      <c r="I8" s="8">
        <v>7520599.7142807711</v>
      </c>
      <c r="J8" s="8">
        <v>8255194.0813726019</v>
      </c>
      <c r="K8" s="8">
        <v>9002387.1797753293</v>
      </c>
      <c r="L8" s="8">
        <v>9764993.0657797158</v>
      </c>
      <c r="M8" s="8">
        <v>10548679.713122509</v>
      </c>
      <c r="N8" s="8">
        <v>11398735.467616741</v>
      </c>
      <c r="O8" s="8">
        <v>12300277.394455761</v>
      </c>
      <c r="P8" s="8">
        <v>13176216.26388257</v>
      </c>
      <c r="Q8" s="8">
        <v>13986947.518106859</v>
      </c>
      <c r="R8" s="8">
        <v>14928825.97168896</v>
      </c>
      <c r="S8" s="8">
        <v>15984867.994426459</v>
      </c>
      <c r="T8" s="8">
        <v>17082347.832348451</v>
      </c>
      <c r="U8" s="8">
        <v>18246756.393967379</v>
      </c>
      <c r="V8" s="8">
        <v>19352050.429354131</v>
      </c>
      <c r="W8" s="8">
        <v>20593101.260928519</v>
      </c>
      <c r="X8" s="8">
        <v>21947627.500601999</v>
      </c>
      <c r="Y8" s="8">
        <v>23575335.637066569</v>
      </c>
      <c r="Z8" s="8">
        <v>29972391.894393548</v>
      </c>
    </row>
  </sheetData>
  <hyperlinks>
    <hyperlink ref="B2" location="'Home Sheet'!B2" display="BACK TO HOME SHEET" xr:uid="{7F7C6024-C238-4332-9125-9BCAE84C6CCD}"/>
  </hyperlinks>
  <pageMargins left="0.75" right="0.75" top="1" bottom="1" header="0.5" footer="0.5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B2:Z8"/>
  <sheetViews>
    <sheetView workbookViewId="0">
      <selection activeCell="B2" sqref="B2"/>
    </sheetView>
  </sheetViews>
  <sheetFormatPr defaultRowHeight="14.4" x14ac:dyDescent="0.3"/>
  <cols>
    <col min="2" max="2" width="19.5546875" bestFit="1" customWidth="1"/>
    <col min="3" max="3" width="17.5546875" bestFit="1" customWidth="1"/>
    <col min="4" max="26" width="12" bestFit="1" customWidth="1"/>
  </cols>
  <sheetData>
    <row r="2" spans="2:26" x14ac:dyDescent="0.3">
      <c r="B2" s="2" t="s">
        <v>372</v>
      </c>
    </row>
    <row r="3" spans="2:26" x14ac:dyDescent="0.3">
      <c r="C3" s="3" t="s">
        <v>6</v>
      </c>
      <c r="D3" s="3" t="s">
        <v>7</v>
      </c>
      <c r="E3" s="3" t="s">
        <v>8</v>
      </c>
      <c r="F3" s="3" t="s">
        <v>9</v>
      </c>
      <c r="G3" s="3" t="s">
        <v>10</v>
      </c>
      <c r="H3" s="3" t="s">
        <v>11</v>
      </c>
      <c r="I3" s="3" t="s">
        <v>12</v>
      </c>
      <c r="J3" s="3" t="s">
        <v>13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3" t="s">
        <v>19</v>
      </c>
      <c r="Q3" s="3" t="s">
        <v>20</v>
      </c>
      <c r="R3" s="3" t="s">
        <v>21</v>
      </c>
      <c r="S3" s="3" t="s">
        <v>22</v>
      </c>
      <c r="T3" s="3" t="s">
        <v>23</v>
      </c>
      <c r="U3" s="3" t="s">
        <v>24</v>
      </c>
      <c r="V3" s="3" t="s">
        <v>25</v>
      </c>
      <c r="W3" s="3" t="s">
        <v>26</v>
      </c>
      <c r="X3" s="3" t="s">
        <v>27</v>
      </c>
      <c r="Y3" s="3" t="s">
        <v>28</v>
      </c>
      <c r="Z3" s="3" t="s">
        <v>29</v>
      </c>
    </row>
    <row r="4" spans="2:26" x14ac:dyDescent="0.3">
      <c r="C4" t="s">
        <v>49</v>
      </c>
      <c r="D4" s="8">
        <v>0</v>
      </c>
      <c r="E4" s="8">
        <v>0</v>
      </c>
      <c r="F4" s="8">
        <v>0</v>
      </c>
      <c r="G4" s="8">
        <v>4449958.243809524</v>
      </c>
      <c r="H4" s="8">
        <v>4583456.9911238085</v>
      </c>
      <c r="I4" s="8">
        <v>4720960.7008575238</v>
      </c>
      <c r="J4" s="8">
        <v>4862589.5218832502</v>
      </c>
      <c r="K4" s="8">
        <v>5008467.2075397465</v>
      </c>
      <c r="L4" s="8">
        <v>5158721.2237659404</v>
      </c>
      <c r="M4" s="8">
        <v>5313482.860478919</v>
      </c>
      <c r="N4" s="8">
        <v>5472887.3462932864</v>
      </c>
      <c r="O4" s="8">
        <v>5637073.9666820848</v>
      </c>
      <c r="P4" s="8">
        <v>5806186.1856825482</v>
      </c>
      <c r="Q4" s="8">
        <v>5980371.7712530242</v>
      </c>
      <c r="R4" s="8">
        <v>6159782.924390615</v>
      </c>
      <c r="S4" s="8">
        <v>6344576.4121223344</v>
      </c>
      <c r="T4" s="8">
        <v>6534913.704486005</v>
      </c>
      <c r="U4" s="8">
        <v>6730961.1156205842</v>
      </c>
      <c r="V4" s="8">
        <v>6932889.9490892021</v>
      </c>
      <c r="W4" s="8">
        <v>7140876.647561878</v>
      </c>
      <c r="X4" s="8">
        <v>7355102.9469887353</v>
      </c>
      <c r="Y4" s="8">
        <v>7575756.0353983976</v>
      </c>
      <c r="Z4" s="8">
        <v>7803028.71646035</v>
      </c>
    </row>
    <row r="5" spans="2:26" x14ac:dyDescent="0.3">
      <c r="C5" t="s">
        <v>50</v>
      </c>
      <c r="D5" s="8">
        <v>0</v>
      </c>
      <c r="E5" s="8">
        <v>0</v>
      </c>
      <c r="F5" s="8">
        <v>0</v>
      </c>
      <c r="G5" s="8">
        <v>925892.22300632414</v>
      </c>
      <c r="H5" s="8">
        <v>950637.48969651375</v>
      </c>
      <c r="I5" s="8">
        <v>976125.11438740918</v>
      </c>
      <c r="J5" s="8">
        <v>1002377.367819032</v>
      </c>
      <c r="K5" s="8">
        <v>1029417.188853603</v>
      </c>
      <c r="L5" s="8">
        <v>1057268.2045192111</v>
      </c>
      <c r="M5" s="8">
        <v>1085954.7506547871</v>
      </c>
      <c r="N5" s="8">
        <v>1115501.8931744311</v>
      </c>
      <c r="O5" s="8">
        <v>1145935.449969664</v>
      </c>
      <c r="P5" s="8">
        <v>1177282.013468754</v>
      </c>
      <c r="Q5" s="8">
        <v>1209568.973872816</v>
      </c>
      <c r="R5" s="8">
        <v>1242824.543089001</v>
      </c>
      <c r="S5" s="8">
        <v>1277077.779381671</v>
      </c>
      <c r="T5" s="8">
        <v>1312358.612763121</v>
      </c>
      <c r="U5" s="8">
        <v>1348697.871146014</v>
      </c>
      <c r="V5" s="8">
        <v>1386127.3072803949</v>
      </c>
      <c r="W5" s="8">
        <v>1424679.626498807</v>
      </c>
      <c r="X5" s="8">
        <v>1464388.5152937709</v>
      </c>
      <c r="Y5" s="8">
        <v>1505288.670752584</v>
      </c>
      <c r="Z5" s="8">
        <v>1547415.830875162</v>
      </c>
    </row>
    <row r="6" spans="2:26" x14ac:dyDescent="0.3">
      <c r="C6" t="s">
        <v>51</v>
      </c>
      <c r="D6" s="8">
        <v>412470</v>
      </c>
      <c r="E6" s="8">
        <v>412470</v>
      </c>
      <c r="F6" s="8">
        <v>412470</v>
      </c>
      <c r="G6" s="8">
        <v>412470</v>
      </c>
      <c r="H6" s="8">
        <v>412470</v>
      </c>
      <c r="I6" s="8">
        <v>412470</v>
      </c>
      <c r="J6" s="8">
        <v>412470</v>
      </c>
      <c r="K6" s="8">
        <v>412470</v>
      </c>
      <c r="L6" s="8">
        <v>412470</v>
      </c>
      <c r="M6" s="8">
        <v>412470</v>
      </c>
      <c r="N6" s="8">
        <v>412470</v>
      </c>
      <c r="O6" s="8">
        <v>412470</v>
      </c>
      <c r="P6" s="8">
        <v>412470</v>
      </c>
      <c r="Q6" s="8">
        <v>412470</v>
      </c>
      <c r="R6" s="8">
        <v>412470</v>
      </c>
      <c r="S6" s="8">
        <v>412470</v>
      </c>
      <c r="T6" s="8">
        <v>412470</v>
      </c>
      <c r="U6" s="8">
        <v>412470</v>
      </c>
      <c r="V6" s="8">
        <v>412470</v>
      </c>
      <c r="W6" s="8">
        <v>412470</v>
      </c>
      <c r="X6" s="8">
        <v>412470</v>
      </c>
      <c r="Y6" s="8">
        <v>412470</v>
      </c>
      <c r="Z6" s="8">
        <v>412470</v>
      </c>
    </row>
    <row r="7" spans="2:26" x14ac:dyDescent="0.3">
      <c r="C7" t="s">
        <v>52</v>
      </c>
      <c r="D7" s="8">
        <v>54000</v>
      </c>
      <c r="E7" s="8">
        <v>54000</v>
      </c>
      <c r="F7" s="8">
        <v>347987</v>
      </c>
      <c r="G7" s="8">
        <v>221537</v>
      </c>
      <c r="H7" s="8">
        <v>221537</v>
      </c>
      <c r="I7" s="8">
        <v>221537</v>
      </c>
      <c r="J7" s="8">
        <v>221537</v>
      </c>
      <c r="K7" s="8">
        <v>250037</v>
      </c>
      <c r="L7" s="8">
        <v>221537</v>
      </c>
      <c r="M7" s="8">
        <v>221537</v>
      </c>
      <c r="N7" s="8">
        <v>221537</v>
      </c>
      <c r="O7" s="8">
        <v>221537</v>
      </c>
      <c r="P7" s="8">
        <v>250037</v>
      </c>
      <c r="Q7" s="8">
        <v>221537</v>
      </c>
      <c r="R7" s="8">
        <v>221537</v>
      </c>
      <c r="S7" s="8">
        <v>221537</v>
      </c>
      <c r="T7" s="8">
        <v>221537</v>
      </c>
      <c r="U7" s="8">
        <v>250037</v>
      </c>
      <c r="V7" s="8">
        <v>221537</v>
      </c>
      <c r="W7" s="8">
        <v>221537</v>
      </c>
      <c r="X7" s="8">
        <v>221537</v>
      </c>
      <c r="Y7" s="8">
        <v>221537</v>
      </c>
      <c r="Z7" s="8">
        <v>250037</v>
      </c>
    </row>
    <row r="8" spans="2:26" x14ac:dyDescent="0.3">
      <c r="C8" t="s">
        <v>53</v>
      </c>
      <c r="D8" s="8">
        <v>466470.05973324418</v>
      </c>
      <c r="E8" s="8">
        <v>466470.05973324418</v>
      </c>
      <c r="F8" s="8">
        <v>760457.05973324412</v>
      </c>
      <c r="G8" s="8">
        <v>6009857.5265490916</v>
      </c>
      <c r="H8" s="8">
        <v>6168101.5405535679</v>
      </c>
      <c r="I8" s="8">
        <v>6331092.8749781772</v>
      </c>
      <c r="J8" s="8">
        <v>6498973.9494355274</v>
      </c>
      <c r="K8" s="8">
        <v>6700391.4561265949</v>
      </c>
      <c r="L8" s="8">
        <v>6849996.4880183954</v>
      </c>
      <c r="M8" s="8">
        <v>7033444.6708669504</v>
      </c>
      <c r="N8" s="8">
        <v>7222396.2992009623</v>
      </c>
      <c r="O8" s="8">
        <v>7417016.4763849927</v>
      </c>
      <c r="P8" s="8">
        <v>7645975.2588845463</v>
      </c>
      <c r="Q8" s="8">
        <v>7823947.804859085</v>
      </c>
      <c r="R8" s="8">
        <v>8036614.5272128601</v>
      </c>
      <c r="S8" s="8">
        <v>8255661.2512372499</v>
      </c>
      <c r="T8" s="8">
        <v>8481279.3769823704</v>
      </c>
      <c r="U8" s="8">
        <v>8742166.0464998428</v>
      </c>
      <c r="V8" s="8">
        <v>8953024.3161028419</v>
      </c>
      <c r="W8" s="8">
        <v>9199563.3337939288</v>
      </c>
      <c r="X8" s="8">
        <v>9453498.5220157504</v>
      </c>
      <c r="Y8" s="8">
        <v>9715051.7658842262</v>
      </c>
      <c r="Z8" s="8">
        <v>10012951.607068749</v>
      </c>
    </row>
  </sheetData>
  <hyperlinks>
    <hyperlink ref="B2" location="'Home Sheet'!B2" display="BACK TO HOME SHEET" xr:uid="{70CFA28C-F1D4-4EB3-86CA-711DBC1D9C15}"/>
  </hyperlinks>
  <pageMargins left="0.75" right="0.75" top="1" bottom="1" header="0.5" footer="0.5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B2:Z8"/>
  <sheetViews>
    <sheetView workbookViewId="0">
      <selection activeCell="B2" sqref="B2"/>
    </sheetView>
  </sheetViews>
  <sheetFormatPr defaultRowHeight="14.4" x14ac:dyDescent="0.3"/>
  <cols>
    <col min="2" max="2" width="19.5546875" bestFit="1" customWidth="1"/>
    <col min="3" max="3" width="12.77734375" bestFit="1" customWidth="1"/>
    <col min="4" max="5" width="4.5546875" customWidth="1"/>
    <col min="6" max="6" width="3.88671875" customWidth="1"/>
    <col min="7" max="26" width="12" bestFit="1" customWidth="1"/>
  </cols>
  <sheetData>
    <row r="2" spans="2:26" x14ac:dyDescent="0.3">
      <c r="B2" s="2" t="s">
        <v>372</v>
      </c>
    </row>
    <row r="3" spans="2:26" x14ac:dyDescent="0.3">
      <c r="C3" s="3" t="s">
        <v>6</v>
      </c>
      <c r="D3" s="3" t="s">
        <v>7</v>
      </c>
      <c r="E3" s="3" t="s">
        <v>8</v>
      </c>
      <c r="F3" s="3" t="s">
        <v>9</v>
      </c>
      <c r="G3" s="3" t="s">
        <v>10</v>
      </c>
      <c r="H3" s="3" t="s">
        <v>11</v>
      </c>
      <c r="I3" s="3" t="s">
        <v>12</v>
      </c>
      <c r="J3" s="3" t="s">
        <v>13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3" t="s">
        <v>19</v>
      </c>
      <c r="Q3" s="3" t="s">
        <v>20</v>
      </c>
      <c r="R3" s="3" t="s">
        <v>21</v>
      </c>
      <c r="S3" s="3" t="s">
        <v>22</v>
      </c>
      <c r="T3" s="3" t="s">
        <v>23</v>
      </c>
      <c r="U3" s="3" t="s">
        <v>24</v>
      </c>
      <c r="V3" s="3" t="s">
        <v>25</v>
      </c>
      <c r="W3" s="3" t="s">
        <v>26</v>
      </c>
      <c r="X3" s="3" t="s">
        <v>27</v>
      </c>
      <c r="Y3" s="3" t="s">
        <v>28</v>
      </c>
      <c r="Z3" s="3" t="s">
        <v>29</v>
      </c>
    </row>
    <row r="4" spans="2:26" x14ac:dyDescent="0.3">
      <c r="C4" t="s">
        <v>44</v>
      </c>
      <c r="D4" s="8">
        <v>0</v>
      </c>
      <c r="E4" s="8">
        <v>0</v>
      </c>
      <c r="F4" s="8">
        <v>0</v>
      </c>
      <c r="G4" s="8">
        <v>3310628.452380952</v>
      </c>
      <c r="H4" s="8">
        <v>6819894.6119047618</v>
      </c>
      <c r="I4" s="8">
        <v>10536737.175392861</v>
      </c>
      <c r="J4" s="8">
        <v>10852839.290654641</v>
      </c>
      <c r="K4" s="8">
        <v>11178424.46937428</v>
      </c>
      <c r="L4" s="8">
        <v>11513777.20345551</v>
      </c>
      <c r="M4" s="8">
        <v>11859190.51955918</v>
      </c>
      <c r="N4" s="8">
        <v>12214966.235145951</v>
      </c>
      <c r="O4" s="8">
        <v>12581415.22220033</v>
      </c>
      <c r="P4" s="8">
        <v>12958857.67886634</v>
      </c>
      <c r="Q4" s="8">
        <v>13347623.409232341</v>
      </c>
      <c r="R4" s="8">
        <v>13748052.111509301</v>
      </c>
      <c r="S4" s="8">
        <v>14160493.67485458</v>
      </c>
      <c r="T4" s="8">
        <v>14585308.485100221</v>
      </c>
      <c r="U4" s="8">
        <v>15022867.73965323</v>
      </c>
      <c r="V4" s="8">
        <v>15473553.77184283</v>
      </c>
      <c r="W4" s="8">
        <v>15937760.384998109</v>
      </c>
      <c r="X4" s="8">
        <v>16415893.19654806</v>
      </c>
      <c r="Y4" s="8">
        <v>16908369.9924445</v>
      </c>
      <c r="Z4" s="8">
        <v>17415621.092217829</v>
      </c>
    </row>
    <row r="5" spans="2:26" x14ac:dyDescent="0.3">
      <c r="C5" t="s">
        <v>45</v>
      </c>
      <c r="D5" s="8">
        <v>0</v>
      </c>
      <c r="E5" s="8">
        <v>0</v>
      </c>
      <c r="F5" s="8">
        <v>0</v>
      </c>
      <c r="G5" s="8">
        <v>319821.719233485</v>
      </c>
      <c r="H5" s="8">
        <v>658832.74162097904</v>
      </c>
      <c r="I5" s="8">
        <v>1017896.585804413</v>
      </c>
      <c r="J5" s="8">
        <v>1048433.483378545</v>
      </c>
      <c r="K5" s="8">
        <v>1079886.4878799019</v>
      </c>
      <c r="L5" s="8">
        <v>1112283.0825162991</v>
      </c>
      <c r="M5" s="8">
        <v>1145651.574991788</v>
      </c>
      <c r="N5" s="8">
        <v>1180021.122241542</v>
      </c>
      <c r="O5" s="8">
        <v>1215421.7559087879</v>
      </c>
      <c r="P5" s="8">
        <v>1251884.4085860511</v>
      </c>
      <c r="Q5" s="8">
        <v>1289440.9408436329</v>
      </c>
      <c r="R5" s="8">
        <v>1328124.1690689421</v>
      </c>
      <c r="S5" s="8">
        <v>1367967.89414101</v>
      </c>
      <c r="T5" s="8">
        <v>1409006.930965241</v>
      </c>
      <c r="U5" s="8">
        <v>1451277.138894198</v>
      </c>
      <c r="V5" s="8">
        <v>1494815.453061024</v>
      </c>
      <c r="W5" s="8">
        <v>1539659.916652855</v>
      </c>
      <c r="X5" s="8">
        <v>1585849.71415244</v>
      </c>
      <c r="Y5" s="8">
        <v>1633425.205577014</v>
      </c>
      <c r="Z5" s="8">
        <v>1682427.9617443241</v>
      </c>
    </row>
    <row r="6" spans="2:26" x14ac:dyDescent="0.3">
      <c r="C6" t="s">
        <v>46</v>
      </c>
      <c r="D6" s="8">
        <v>0</v>
      </c>
      <c r="E6" s="8">
        <v>0</v>
      </c>
      <c r="F6" s="8">
        <v>0</v>
      </c>
      <c r="G6" s="8">
        <v>2581694.117633333</v>
      </c>
      <c r="H6" s="8">
        <v>5318289.8823246667</v>
      </c>
      <c r="I6" s="8">
        <v>8216757.868191611</v>
      </c>
      <c r="J6" s="8">
        <v>8463260.6042373609</v>
      </c>
      <c r="K6" s="8">
        <v>8717158.4223644808</v>
      </c>
      <c r="L6" s="8">
        <v>8978673.1750354152</v>
      </c>
      <c r="M6" s="8">
        <v>9248033.3702864777</v>
      </c>
      <c r="N6" s="8">
        <v>9525474.3713950738</v>
      </c>
      <c r="O6" s="8">
        <v>9811238.602536926</v>
      </c>
      <c r="P6" s="8">
        <v>10105575.76061303</v>
      </c>
      <c r="Q6" s="8">
        <v>10408743.03343142</v>
      </c>
      <c r="R6" s="8">
        <v>10721005.32443437</v>
      </c>
      <c r="S6" s="8">
        <v>11042635.484167401</v>
      </c>
      <c r="T6" s="8">
        <v>11373914.54869242</v>
      </c>
      <c r="U6" s="8">
        <v>11715131.985153191</v>
      </c>
      <c r="V6" s="8">
        <v>12066585.94470779</v>
      </c>
      <c r="W6" s="8">
        <v>12428583.523049019</v>
      </c>
      <c r="X6" s="8">
        <v>12801441.028740499</v>
      </c>
      <c r="Y6" s="8">
        <v>13185484.259602711</v>
      </c>
      <c r="Z6" s="8">
        <v>13581048.787390791</v>
      </c>
    </row>
    <row r="7" spans="2:26" x14ac:dyDescent="0.3">
      <c r="C7" t="s">
        <v>47</v>
      </c>
      <c r="D7" s="8">
        <v>0</v>
      </c>
      <c r="E7" s="8">
        <v>0</v>
      </c>
      <c r="F7" s="8">
        <v>0</v>
      </c>
      <c r="G7" s="8">
        <v>748918.15</v>
      </c>
      <c r="H7" s="8">
        <v>1592538.2080000001</v>
      </c>
      <c r="I7" s="8">
        <v>2537361.2667149999</v>
      </c>
      <c r="J7" s="8">
        <v>2692678.5321320998</v>
      </c>
      <c r="K7" s="8">
        <v>2855031.2083341819</v>
      </c>
      <c r="L7" s="8">
        <v>3024701.634429472</v>
      </c>
      <c r="M7" s="8">
        <v>3201982.7580029769</v>
      </c>
      <c r="N7" s="8">
        <v>3387178.5175199062</v>
      </c>
      <c r="O7" s="8">
        <v>3580604.238125647</v>
      </c>
      <c r="P7" s="8">
        <v>3782587.0413019671</v>
      </c>
      <c r="Q7" s="8">
        <v>3993466.268854551</v>
      </c>
      <c r="R7" s="8">
        <v>4213593.921723119</v>
      </c>
      <c r="S7" s="8">
        <v>4443335.114121832</v>
      </c>
      <c r="T7" s="8">
        <v>4683068.5435349178</v>
      </c>
      <c r="U7" s="8">
        <v>4933186.9771100776</v>
      </c>
      <c r="V7" s="8">
        <v>5194097.7550105676</v>
      </c>
      <c r="W7" s="8">
        <v>5466223.3113056859</v>
      </c>
      <c r="X7" s="8">
        <v>5750001.712999003</v>
      </c>
      <c r="Y7" s="8">
        <v>6045887.2178137423</v>
      </c>
      <c r="Z7" s="8">
        <v>6354350.8513756692</v>
      </c>
    </row>
    <row r="8" spans="2:26" x14ac:dyDescent="0.3">
      <c r="C8" t="s">
        <v>48</v>
      </c>
      <c r="D8" s="8">
        <v>0</v>
      </c>
      <c r="E8" s="8">
        <v>0</v>
      </c>
      <c r="F8" s="8">
        <v>0</v>
      </c>
      <c r="G8" s="8">
        <v>6961062.4392477712</v>
      </c>
      <c r="H8" s="8">
        <v>14389555.443850409</v>
      </c>
      <c r="I8" s="8">
        <v>22308752.896103889</v>
      </c>
      <c r="J8" s="8">
        <v>23057211.910402648</v>
      </c>
      <c r="K8" s="8">
        <v>23830500.587952849</v>
      </c>
      <c r="L8" s="8">
        <v>24629435.0954367</v>
      </c>
      <c r="M8" s="8">
        <v>25454858.222840421</v>
      </c>
      <c r="N8" s="8">
        <v>26307640.246302482</v>
      </c>
      <c r="O8" s="8">
        <v>27188679.81877169</v>
      </c>
      <c r="P8" s="8">
        <v>28098904.88936739</v>
      </c>
      <c r="Q8" s="8">
        <v>29039273.652361941</v>
      </c>
      <c r="R8" s="8">
        <v>30010775.52673573</v>
      </c>
      <c r="S8" s="8">
        <v>31014432.16728482</v>
      </c>
      <c r="T8" s="8">
        <v>32051298.508292802</v>
      </c>
      <c r="U8" s="8">
        <v>33122463.840810701</v>
      </c>
      <c r="V8" s="8">
        <v>34229052.924622208</v>
      </c>
      <c r="W8" s="8">
        <v>35372227.13600567</v>
      </c>
      <c r="X8" s="8">
        <v>36553185.652439997</v>
      </c>
      <c r="Y8" s="8">
        <v>37773166.675437957</v>
      </c>
      <c r="Z8" s="8">
        <v>39033448.692728616</v>
      </c>
    </row>
  </sheetData>
  <hyperlinks>
    <hyperlink ref="B2" location="'Home Sheet'!B2" display="BACK TO HOME SHEET" xr:uid="{AA99346B-B572-4585-A0BA-72707158FCCD}"/>
  </hyperlinks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Home Sheet</vt:lpstr>
      <vt:lpstr>Profit Indicators</vt:lpstr>
      <vt:lpstr>Income Statement</vt:lpstr>
      <vt:lpstr>Cash Flow Statement</vt:lpstr>
      <vt:lpstr>Cash Flow Summary</vt:lpstr>
      <vt:lpstr>Financing Rates</vt:lpstr>
      <vt:lpstr>Equipment Summary</vt:lpstr>
      <vt:lpstr>Property Summary</vt:lpstr>
      <vt:lpstr>Piping Summary</vt:lpstr>
      <vt:lpstr>Controls Summary</vt:lpstr>
      <vt:lpstr>Raw Materials Summary</vt:lpstr>
      <vt:lpstr>Sales Summary</vt:lpstr>
      <vt:lpstr>Labor Costs</vt:lpstr>
      <vt:lpstr>Utilities Summary</vt:lpstr>
      <vt:lpstr>Safety + Regulations Summary</vt:lpstr>
      <vt:lpstr>Capital Purchase Costs</vt:lpstr>
      <vt:lpstr>Cost of Compliance</vt:lpstr>
      <vt:lpstr>Revenue Cash Flows</vt:lpstr>
      <vt:lpstr>Salvage Cash Flows</vt:lpstr>
      <vt:lpstr>Depreciation</vt:lpstr>
      <vt:lpstr>Annual Loan Payments</vt:lpstr>
      <vt:lpstr>Book Value of Capital</vt:lpstr>
      <vt:lpstr>Tax Summary</vt:lpstr>
      <vt:lpstr>FCOP Summary</vt:lpstr>
      <vt:lpstr>VCOP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Heng1, Patrick V</cp:lastModifiedBy>
  <dcterms:created xsi:type="dcterms:W3CDTF">2026-04-21T22:35:27Z</dcterms:created>
  <dcterms:modified xsi:type="dcterms:W3CDTF">2026-04-23T02:19:22Z</dcterms:modified>
</cp:coreProperties>
</file>