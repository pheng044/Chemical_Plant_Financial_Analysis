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eng\ANACONDA\CHEN 4100\"/>
    </mc:Choice>
  </mc:AlternateContent>
  <xr:revisionPtr revIDLastSave="0" documentId="13_ncr:1_{AD0E38E8-3B57-439C-AD1A-79D484461A69}" xr6:coauthVersionLast="47" xr6:coauthVersionMax="47" xr10:uidLastSave="{00000000-0000-0000-0000-000000000000}"/>
  <bookViews>
    <workbookView xWindow="-108" yWindow="-108" windowWidth="23256" windowHeight="13896" tabRatio="773" xr2:uid="{6F6DF993-2BA9-4BFD-9A84-CF725DE39242}"/>
  </bookViews>
  <sheets>
    <sheet name="Equipment" sheetId="3" r:id="rId1"/>
    <sheet name="Property" sheetId="12" r:id="rId2"/>
    <sheet name="OLD_Aspen Cash Flows" sheetId="4" state="hidden" r:id="rId3"/>
    <sheet name="OLD_Revised Cash Flows" sheetId="5" state="hidden" r:id="rId4"/>
    <sheet name="OLD_Sensitivity Analysis" sheetId="7" state="hidden" r:id="rId5"/>
    <sheet name="Piping" sheetId="13" r:id="rId6"/>
    <sheet name="Controls" sheetId="17" r:id="rId7"/>
    <sheet name="Raw Materials" sheetId="16" r:id="rId8"/>
    <sheet name="Sales" sheetId="15" r:id="rId9"/>
    <sheet name="Labor" sheetId="14" r:id="rId10"/>
    <sheet name="Utilities" sheetId="19" r:id="rId11"/>
    <sheet name="Safety+Reg" sheetId="20" r:id="rId12"/>
    <sheet name="Other" sheetId="21" r:id="rId13"/>
    <sheet name="CSV Export" sheetId="10" r:id="rId14"/>
    <sheet name="SA_Calc" sheetId="9" state="hidden" r:id="rId15"/>
  </sheets>
  <functionGroups builtInGroupCount="19"/>
  <definedNames>
    <definedName name="_xleta.SU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0" i="3" l="1"/>
  <c r="B2" i="21"/>
  <c r="D2" i="21"/>
  <c r="D3" i="13"/>
  <c r="D2" i="13"/>
  <c r="C3" i="19"/>
  <c r="D3" i="19"/>
  <c r="D4" i="19"/>
  <c r="D2" i="19"/>
  <c r="E52" i="3"/>
  <c r="B3" i="17"/>
  <c r="B4" i="17"/>
  <c r="B5" i="17"/>
  <c r="B6" i="17"/>
  <c r="B7" i="17"/>
  <c r="B8" i="17"/>
  <c r="B9" i="17"/>
  <c r="B10" i="17"/>
  <c r="B11" i="17"/>
  <c r="B12" i="17"/>
  <c r="B13" i="17"/>
  <c r="B14" i="17"/>
  <c r="B2" i="17"/>
  <c r="C14" i="17"/>
  <c r="C11" i="17"/>
  <c r="C12" i="17"/>
  <c r="C13" i="17"/>
  <c r="X30" i="14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2" i="14"/>
  <c r="Q30" i="14"/>
  <c r="Q3" i="14"/>
  <c r="Q4" i="14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2" i="14"/>
  <c r="C3" i="17"/>
  <c r="C4" i="17"/>
  <c r="C5" i="17"/>
  <c r="C6" i="17"/>
  <c r="C7" i="17"/>
  <c r="C8" i="17"/>
  <c r="C9" i="17"/>
  <c r="C10" i="17"/>
  <c r="C2" i="17"/>
  <c r="D44" i="3"/>
  <c r="D43" i="3"/>
  <c r="D42" i="3"/>
  <c r="D41" i="3"/>
  <c r="C9" i="16"/>
  <c r="D3" i="16"/>
  <c r="D4" i="16"/>
  <c r="D5" i="16"/>
  <c r="D6" i="16"/>
  <c r="D7" i="16"/>
  <c r="D8" i="16"/>
  <c r="D2" i="16"/>
  <c r="D9" i="16" s="1"/>
  <c r="B30" i="14"/>
  <c r="K30" i="14"/>
  <c r="B12" i="7"/>
  <c r="B13" i="7"/>
  <c r="B14" i="7"/>
  <c r="B15" i="7"/>
  <c r="B16" i="7"/>
  <c r="B17" i="7"/>
  <c r="B18" i="7"/>
  <c r="B19" i="7"/>
  <c r="B20" i="7"/>
  <c r="B21" i="7"/>
  <c r="I82" i="9"/>
  <c r="I81" i="9"/>
  <c r="J76" i="9"/>
  <c r="I76" i="9"/>
  <c r="J75" i="9"/>
  <c r="I75" i="9"/>
  <c r="I74" i="9"/>
  <c r="J73" i="9"/>
  <c r="I72" i="9"/>
  <c r="J72" i="9" s="1"/>
  <c r="J77" i="9"/>
  <c r="H69" i="9"/>
  <c r="H83" i="9"/>
  <c r="I80" i="9"/>
  <c r="I79" i="9"/>
  <c r="I78" i="9"/>
  <c r="I77" i="9"/>
  <c r="D25" i="9"/>
  <c r="J19" i="9" s="1"/>
  <c r="I19" i="9" s="1"/>
  <c r="A1" i="9" a="1"/>
  <c r="A1" i="9" s="1"/>
  <c r="F1" i="9" s="1" a="1"/>
  <c r="F1" i="9" s="1"/>
  <c r="J55" i="9"/>
  <c r="K55" i="9" s="1"/>
  <c r="L55" i="9" s="1"/>
  <c r="M55" i="9" s="1"/>
  <c r="N55" i="9" s="1"/>
  <c r="O55" i="9" s="1"/>
  <c r="P55" i="9" s="1"/>
  <c r="Q55" i="9" s="1"/>
  <c r="R55" i="9" s="1"/>
  <c r="S55" i="9" s="1"/>
  <c r="T55" i="9" s="1"/>
  <c r="U55" i="9" s="1"/>
  <c r="V55" i="9" s="1"/>
  <c r="W55" i="9" s="1"/>
  <c r="X55" i="9" s="1"/>
  <c r="Y55" i="9" s="1"/>
  <c r="Z55" i="9" s="1"/>
  <c r="AA55" i="9" s="1"/>
  <c r="AB55" i="9" s="1"/>
  <c r="I55" i="9"/>
  <c r="H24" i="9"/>
  <c r="H20" i="9"/>
  <c r="H17" i="9"/>
  <c r="H6" i="9"/>
  <c r="H28" i="9" s="1"/>
  <c r="B8" i="7"/>
  <c r="F20" i="14" l="1"/>
  <c r="G20" i="14" s="1"/>
  <c r="F19" i="14"/>
  <c r="G19" i="14" s="1"/>
  <c r="F18" i="14"/>
  <c r="G18" i="14" s="1"/>
  <c r="F4" i="14"/>
  <c r="G4" i="14" s="1"/>
  <c r="F27" i="14"/>
  <c r="G27" i="14" s="1"/>
  <c r="F29" i="14"/>
  <c r="G29" i="14" s="1"/>
  <c r="F2" i="14"/>
  <c r="F17" i="14"/>
  <c r="G17" i="14" s="1"/>
  <c r="F28" i="14"/>
  <c r="G28" i="14" s="1"/>
  <c r="E30" i="14"/>
  <c r="F3" i="14"/>
  <c r="G3" i="14" s="1"/>
  <c r="J30" i="14"/>
  <c r="I83" i="9"/>
  <c r="B9" i="7"/>
  <c r="B10" i="7" s="1"/>
  <c r="B11" i="7" s="1"/>
  <c r="J83" i="9"/>
  <c r="J84" i="9" s="1"/>
  <c r="D34" i="9" s="1"/>
  <c r="J13" i="9" s="1"/>
  <c r="I6" i="9"/>
  <c r="I8" i="9"/>
  <c r="K19" i="9"/>
  <c r="J12" i="9"/>
  <c r="G2" i="14" l="1"/>
  <c r="F7" i="14"/>
  <c r="G7" i="14" s="1"/>
  <c r="F10" i="14"/>
  <c r="G10" i="14" s="1"/>
  <c r="F22" i="14"/>
  <c r="G22" i="14" s="1"/>
  <c r="F5" i="14"/>
  <c r="F16" i="14"/>
  <c r="G16" i="14" s="1"/>
  <c r="R30" i="14"/>
  <c r="F6" i="14"/>
  <c r="G6" i="14" s="1"/>
  <c r="L30" i="14"/>
  <c r="F11" i="14"/>
  <c r="G11" i="14" s="1"/>
  <c r="F8" i="14"/>
  <c r="G8" i="14" s="1"/>
  <c r="F13" i="14"/>
  <c r="G13" i="14" s="1"/>
  <c r="P30" i="14"/>
  <c r="M30" i="14"/>
  <c r="U30" i="14"/>
  <c r="N30" i="14"/>
  <c r="F9" i="14"/>
  <c r="G9" i="14" s="1"/>
  <c r="S30" i="14"/>
  <c r="V30" i="14"/>
  <c r="T30" i="14"/>
  <c r="O30" i="14"/>
  <c r="W30" i="14"/>
  <c r="F21" i="14"/>
  <c r="G21" i="14" s="1"/>
  <c r="D2" i="7"/>
  <c r="K13" i="9"/>
  <c r="L13" i="9" s="1"/>
  <c r="M13" i="9" s="1"/>
  <c r="N13" i="9" s="1"/>
  <c r="O13" i="9" s="1"/>
  <c r="P13" i="9" s="1"/>
  <c r="Q13" i="9" s="1"/>
  <c r="R13" i="9" s="1"/>
  <c r="S13" i="9" s="1"/>
  <c r="T13" i="9" s="1"/>
  <c r="U13" i="9" s="1"/>
  <c r="V13" i="9" s="1"/>
  <c r="W13" i="9" s="1"/>
  <c r="X13" i="9" s="1"/>
  <c r="Y13" i="9" s="1"/>
  <c r="Z13" i="9" s="1"/>
  <c r="AA13" i="9" s="1"/>
  <c r="AB13" i="9" s="1"/>
  <c r="I13" i="9"/>
  <c r="I12" i="9"/>
  <c r="J14" i="9"/>
  <c r="K12" i="9"/>
  <c r="J15" i="9"/>
  <c r="L19" i="9"/>
  <c r="T22" i="9"/>
  <c r="S22" i="9"/>
  <c r="N22" i="9"/>
  <c r="R22" i="9"/>
  <c r="Q22" i="9"/>
  <c r="P22" i="9"/>
  <c r="O22" i="9"/>
  <c r="I22" i="9"/>
  <c r="I9" i="9"/>
  <c r="I10" i="9" s="1"/>
  <c r="I26" i="9" s="1"/>
  <c r="AB22" i="9"/>
  <c r="AA22" i="9"/>
  <c r="Z22" i="9"/>
  <c r="Y22" i="9"/>
  <c r="X22" i="9"/>
  <c r="W22" i="9"/>
  <c r="V22" i="9"/>
  <c r="U22" i="9"/>
  <c r="J22" i="9"/>
  <c r="M22" i="9"/>
  <c r="L22" i="9"/>
  <c r="K22" i="9"/>
  <c r="I28" i="9"/>
  <c r="J6" i="9"/>
  <c r="G5" i="14" l="1"/>
  <c r="J17" i="9"/>
  <c r="J20" i="9" s="1"/>
  <c r="J23" i="9" s="1"/>
  <c r="J24" i="9" s="1"/>
  <c r="J26" i="9" s="1"/>
  <c r="I27" i="9"/>
  <c r="I29" i="9"/>
  <c r="J28" i="9"/>
  <c r="K6" i="9"/>
  <c r="M19" i="9"/>
  <c r="K14" i="9"/>
  <c r="L12" i="9"/>
  <c r="K15" i="9"/>
  <c r="I14" i="9"/>
  <c r="I15" i="9"/>
  <c r="K17" i="9" l="1"/>
  <c r="K20" i="9" s="1"/>
  <c r="K23" i="9" s="1"/>
  <c r="K24" i="9" s="1"/>
  <c r="I17" i="9"/>
  <c r="I20" i="9" s="1"/>
  <c r="I23" i="9" s="1"/>
  <c r="I24" i="9" s="1"/>
  <c r="J29" i="9"/>
  <c r="J27" i="9"/>
  <c r="M12" i="9"/>
  <c r="L15" i="9"/>
  <c r="L14" i="9"/>
  <c r="N19" i="9"/>
  <c r="K28" i="9"/>
  <c r="L6" i="9"/>
  <c r="I30" i="9"/>
  <c r="I56" i="9" s="1"/>
  <c r="I57" i="9" s="1"/>
  <c r="I58" i="9" s="1"/>
  <c r="L17" i="9" l="1"/>
  <c r="L20" i="9" s="1"/>
  <c r="L23" i="9" s="1"/>
  <c r="L24" i="9" s="1"/>
  <c r="L26" i="9" s="1"/>
  <c r="K26" i="9"/>
  <c r="K27" i="9" s="1"/>
  <c r="L28" i="9"/>
  <c r="M6" i="9"/>
  <c r="O19" i="9"/>
  <c r="M15" i="9"/>
  <c r="N12" i="9"/>
  <c r="M14" i="9"/>
  <c r="J30" i="9"/>
  <c r="J56" i="9" s="1"/>
  <c r="J57" i="9" s="1"/>
  <c r="J58" i="9" s="1"/>
  <c r="M17" i="9" l="1"/>
  <c r="M20" i="9" s="1"/>
  <c r="M23" i="9" s="1"/>
  <c r="M24" i="9" s="1"/>
  <c r="M26" i="9" s="1"/>
  <c r="K29" i="9"/>
  <c r="K30" i="9" s="1"/>
  <c r="K56" i="9" s="1"/>
  <c r="K57" i="9" s="1"/>
  <c r="K58" i="9" s="1"/>
  <c r="P19" i="9"/>
  <c r="M28" i="9"/>
  <c r="N6" i="9"/>
  <c r="L29" i="9"/>
  <c r="L27" i="9"/>
  <c r="N15" i="9"/>
  <c r="O12" i="9"/>
  <c r="N14" i="9"/>
  <c r="L30" i="9" l="1"/>
  <c r="L56" i="9" s="1"/>
  <c r="L57" i="9" s="1"/>
  <c r="L58" i="9" s="1"/>
  <c r="N17" i="9"/>
  <c r="N20" i="9" s="1"/>
  <c r="N23" i="9" s="1"/>
  <c r="N24" i="9" s="1"/>
  <c r="N26" i="9" s="1"/>
  <c r="M29" i="9"/>
  <c r="M30" i="9" s="1"/>
  <c r="M56" i="9" s="1"/>
  <c r="O15" i="9"/>
  <c r="P12" i="9"/>
  <c r="O14" i="9"/>
  <c r="N28" i="9"/>
  <c r="O6" i="9"/>
  <c r="Q19" i="9"/>
  <c r="M27" i="9"/>
  <c r="O17" i="9" l="1"/>
  <c r="O20" i="9" s="1"/>
  <c r="O23" i="9" s="1"/>
  <c r="O24" i="9" s="1"/>
  <c r="O26" i="9" s="1"/>
  <c r="M57" i="9"/>
  <c r="M58" i="9" s="1"/>
  <c r="N29" i="9"/>
  <c r="N27" i="9"/>
  <c r="R19" i="9"/>
  <c r="O28" i="9"/>
  <c r="P6" i="9"/>
  <c r="P14" i="9"/>
  <c r="P15" i="9"/>
  <c r="Q12" i="9"/>
  <c r="P17" i="9" l="1"/>
  <c r="P20" i="9" s="1"/>
  <c r="P23" i="9" s="1"/>
  <c r="P24" i="9" s="1"/>
  <c r="P26" i="9" s="1"/>
  <c r="O29" i="9"/>
  <c r="O27" i="9"/>
  <c r="P28" i="9"/>
  <c r="Q6" i="9"/>
  <c r="S19" i="9"/>
  <c r="N30" i="9"/>
  <c r="N56" i="9" s="1"/>
  <c r="N57" i="9" s="1"/>
  <c r="N58" i="9" s="1"/>
  <c r="R12" i="9"/>
  <c r="Q14" i="9"/>
  <c r="Q15" i="9"/>
  <c r="Q17" i="9" l="1"/>
  <c r="Q20" i="9" s="1"/>
  <c r="Q23" i="9" s="1"/>
  <c r="Q24" i="9" s="1"/>
  <c r="Q26" i="9" s="1"/>
  <c r="P29" i="9"/>
  <c r="P30" i="9" s="1"/>
  <c r="P56" i="9" s="1"/>
  <c r="P27" i="9"/>
  <c r="Q28" i="9"/>
  <c r="R6" i="9"/>
  <c r="R15" i="9"/>
  <c r="S12" i="9"/>
  <c r="R14" i="9"/>
  <c r="O30" i="9"/>
  <c r="O56" i="9" s="1"/>
  <c r="O57" i="9" s="1"/>
  <c r="O58" i="9" s="1"/>
  <c r="T19" i="9"/>
  <c r="R17" i="9" l="1"/>
  <c r="R20" i="9" s="1"/>
  <c r="R23" i="9" s="1"/>
  <c r="R24" i="9" s="1"/>
  <c r="R26" i="9" s="1"/>
  <c r="P57" i="9"/>
  <c r="P58" i="9" s="1"/>
  <c r="Q29" i="9"/>
  <c r="Q30" i="9" s="1"/>
  <c r="Q56" i="9" s="1"/>
  <c r="Q57" i="9" s="1"/>
  <c r="Q58" i="9" s="1"/>
  <c r="Q27" i="9"/>
  <c r="T12" i="9"/>
  <c r="S15" i="9"/>
  <c r="S14" i="9"/>
  <c r="S6" i="9"/>
  <c r="R28" i="9"/>
  <c r="U19" i="9"/>
  <c r="S17" i="9" l="1"/>
  <c r="S20" i="9" s="1"/>
  <c r="S23" i="9" s="1"/>
  <c r="S24" i="9" s="1"/>
  <c r="S26" i="9" s="1"/>
  <c r="R29" i="9"/>
  <c r="R30" i="9" s="1"/>
  <c r="R56" i="9" s="1"/>
  <c r="R57" i="9" s="1"/>
  <c r="R58" i="9" s="1"/>
  <c r="R27" i="9"/>
  <c r="V19" i="9"/>
  <c r="T6" i="9"/>
  <c r="S28" i="9"/>
  <c r="U12" i="9"/>
  <c r="T15" i="9"/>
  <c r="T14" i="9"/>
  <c r="T17" i="9" l="1"/>
  <c r="T20" i="9" s="1"/>
  <c r="T23" i="9" s="1"/>
  <c r="T24" i="9" s="1"/>
  <c r="T26" i="9" s="1"/>
  <c r="S29" i="9"/>
  <c r="S30" i="9" s="1"/>
  <c r="S56" i="9" s="1"/>
  <c r="S57" i="9" s="1"/>
  <c r="S58" i="9" s="1"/>
  <c r="S27" i="9"/>
  <c r="V12" i="9"/>
  <c r="U15" i="9"/>
  <c r="U14" i="9"/>
  <c r="U6" i="9"/>
  <c r="T28" i="9"/>
  <c r="W19" i="9"/>
  <c r="U17" i="9" l="1"/>
  <c r="U20" i="9" s="1"/>
  <c r="U23" i="9" s="1"/>
  <c r="U24" i="9" s="1"/>
  <c r="U26" i="9" s="1"/>
  <c r="T29" i="9"/>
  <c r="T30" i="9" s="1"/>
  <c r="T56" i="9" s="1"/>
  <c r="T57" i="9" s="1"/>
  <c r="T58" i="9" s="1"/>
  <c r="T27" i="9"/>
  <c r="X19" i="9"/>
  <c r="V6" i="9"/>
  <c r="U28" i="9"/>
  <c r="W12" i="9"/>
  <c r="V15" i="9"/>
  <c r="V14" i="9"/>
  <c r="V17" i="9" l="1"/>
  <c r="V20" i="9" s="1"/>
  <c r="V23" i="9" s="1"/>
  <c r="V24" i="9" s="1"/>
  <c r="V26" i="9" s="1"/>
  <c r="U29" i="9"/>
  <c r="U30" i="9" s="1"/>
  <c r="U56" i="9" s="1"/>
  <c r="U57" i="9" s="1"/>
  <c r="U58" i="9" s="1"/>
  <c r="U27" i="9"/>
  <c r="W15" i="9"/>
  <c r="W14" i="9"/>
  <c r="X12" i="9"/>
  <c r="W6" i="9"/>
  <c r="V28" i="9"/>
  <c r="Y19" i="9"/>
  <c r="W17" i="9" l="1"/>
  <c r="W20" i="9" s="1"/>
  <c r="W23" i="9" s="1"/>
  <c r="W24" i="9" s="1"/>
  <c r="W26" i="9" s="1"/>
  <c r="Z19" i="9"/>
  <c r="X6" i="9"/>
  <c r="W28" i="9"/>
  <c r="X14" i="9"/>
  <c r="X15" i="9"/>
  <c r="Y12" i="9"/>
  <c r="V29" i="9"/>
  <c r="V30" i="9" s="1"/>
  <c r="V56" i="9" s="1"/>
  <c r="V57" i="9" s="1"/>
  <c r="V58" i="9" s="1"/>
  <c r="V27" i="9"/>
  <c r="X17" i="9" l="1"/>
  <c r="X20" i="9" s="1"/>
  <c r="X23" i="9" s="1"/>
  <c r="X24" i="9" s="1"/>
  <c r="X26" i="9" s="1"/>
  <c r="Y14" i="9"/>
  <c r="Y15" i="9"/>
  <c r="Z12" i="9"/>
  <c r="W29" i="9"/>
  <c r="W30" i="9" s="1"/>
  <c r="W56" i="9" s="1"/>
  <c r="W57" i="9" s="1"/>
  <c r="W58" i="9" s="1"/>
  <c r="W27" i="9"/>
  <c r="Y6" i="9"/>
  <c r="X28" i="9"/>
  <c r="AA19" i="9"/>
  <c r="Y17" i="9" l="1"/>
  <c r="Y20" i="9" s="1"/>
  <c r="Y23" i="9" s="1"/>
  <c r="Y24" i="9" s="1"/>
  <c r="Y26" i="9" s="1"/>
  <c r="X29" i="9"/>
  <c r="X30" i="9" s="1"/>
  <c r="X56" i="9" s="1"/>
  <c r="X57" i="9" s="1"/>
  <c r="X58" i="9" s="1"/>
  <c r="X27" i="9"/>
  <c r="AB19" i="9"/>
  <c r="Z6" i="9"/>
  <c r="Y28" i="9"/>
  <c r="Z14" i="9"/>
  <c r="Z15" i="9"/>
  <c r="AA12" i="9"/>
  <c r="C21" i="5"/>
  <c r="C25" i="5" s="1"/>
  <c r="J19" i="5" s="1"/>
  <c r="I55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H28" i="5"/>
  <c r="H24" i="5"/>
  <c r="H17" i="5"/>
  <c r="H20" i="5" s="1"/>
  <c r="H6" i="5"/>
  <c r="I6" i="5" s="1"/>
  <c r="J6" i="5" s="1"/>
  <c r="K6" i="5" s="1"/>
  <c r="L6" i="5" s="1"/>
  <c r="M6" i="5" s="1"/>
  <c r="N6" i="5" s="1"/>
  <c r="O6" i="5" s="1"/>
  <c r="P6" i="5" s="1"/>
  <c r="Q6" i="5" s="1"/>
  <c r="R6" i="5" s="1"/>
  <c r="S6" i="5" s="1"/>
  <c r="T6" i="5" s="1"/>
  <c r="U6" i="5" s="1"/>
  <c r="V6" i="5" s="1"/>
  <c r="W6" i="5" s="1"/>
  <c r="X6" i="5" s="1"/>
  <c r="Y6" i="5" s="1"/>
  <c r="Z6" i="5" s="1"/>
  <c r="AA6" i="5" s="1"/>
  <c r="AB6" i="5" s="1"/>
  <c r="G1" i="4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F1" i="4"/>
  <c r="Z17" i="9" l="1"/>
  <c r="Z20" i="9" s="1"/>
  <c r="Z23" i="9" s="1"/>
  <c r="Z24" i="9" s="1"/>
  <c r="Z26" i="9" s="1"/>
  <c r="Y29" i="9"/>
  <c r="Y30" i="9" s="1"/>
  <c r="Y56" i="9" s="1"/>
  <c r="Y57" i="9" s="1"/>
  <c r="Y58" i="9" s="1"/>
  <c r="Y27" i="9"/>
  <c r="AA14" i="9"/>
  <c r="AA15" i="9"/>
  <c r="AB12" i="9"/>
  <c r="Z28" i="9"/>
  <c r="AA6" i="9"/>
  <c r="J55" i="5"/>
  <c r="C32" i="5" a="1"/>
  <c r="I19" i="5"/>
  <c r="K19" i="5"/>
  <c r="C32" i="5" l="1"/>
  <c r="I8" i="5" s="1"/>
  <c r="I22" i="5" s="1"/>
  <c r="C65" i="5"/>
  <c r="C66" i="5"/>
  <c r="AA17" i="9"/>
  <c r="AA20" i="9" s="1"/>
  <c r="AA23" i="9" s="1"/>
  <c r="AA24" i="9" s="1"/>
  <c r="AA26" i="9" s="1"/>
  <c r="Z29" i="9"/>
  <c r="Z30" i="9" s="1"/>
  <c r="Z56" i="9" s="1"/>
  <c r="Z57" i="9" s="1"/>
  <c r="Z58" i="9" s="1"/>
  <c r="Z27" i="9"/>
  <c r="AA28" i="9"/>
  <c r="AB6" i="9"/>
  <c r="AB28" i="9" s="1"/>
  <c r="AB15" i="9"/>
  <c r="AB14" i="9"/>
  <c r="J12" i="5"/>
  <c r="J13" i="5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W13" i="5" s="1"/>
  <c r="X13" i="5" s="1"/>
  <c r="Y13" i="5" s="1"/>
  <c r="Z13" i="5" s="1"/>
  <c r="AA13" i="5" s="1"/>
  <c r="AB13" i="5" s="1"/>
  <c r="K55" i="5"/>
  <c r="L19" i="5"/>
  <c r="O22" i="5" l="1"/>
  <c r="Z22" i="5"/>
  <c r="W22" i="5"/>
  <c r="N22" i="5"/>
  <c r="L22" i="5"/>
  <c r="AB22" i="5"/>
  <c r="AA22" i="5"/>
  <c r="I9" i="5"/>
  <c r="I10" i="5" s="1"/>
  <c r="I26" i="5" s="1"/>
  <c r="U22" i="5"/>
  <c r="T22" i="5"/>
  <c r="S22" i="5"/>
  <c r="P22" i="5"/>
  <c r="X22" i="5"/>
  <c r="M22" i="5"/>
  <c r="R22" i="5"/>
  <c r="V22" i="5"/>
  <c r="J22" i="5"/>
  <c r="K22" i="5"/>
  <c r="Y22" i="5"/>
  <c r="Q22" i="5"/>
  <c r="C64" i="5"/>
  <c r="AB17" i="9"/>
  <c r="AB20" i="9" s="1"/>
  <c r="AB23" i="9" s="1"/>
  <c r="AB24" i="9" s="1"/>
  <c r="AB26" i="9" s="1"/>
  <c r="H32" i="9" s="1"/>
  <c r="AA29" i="9"/>
  <c r="AA30" i="9" s="1"/>
  <c r="AA56" i="9" s="1"/>
  <c r="AA57" i="9" s="1"/>
  <c r="AA58" i="9" s="1"/>
  <c r="AA27" i="9"/>
  <c r="I13" i="5"/>
  <c r="J15" i="5"/>
  <c r="J14" i="5"/>
  <c r="K12" i="5"/>
  <c r="I12" i="5"/>
  <c r="L55" i="5"/>
  <c r="M19" i="5"/>
  <c r="I27" i="5" l="1"/>
  <c r="I29" i="5"/>
  <c r="I30" i="5" s="1"/>
  <c r="I56" i="5" s="1"/>
  <c r="I57" i="5" s="1"/>
  <c r="I58" i="5" s="1"/>
  <c r="J17" i="5"/>
  <c r="AB29" i="9"/>
  <c r="AB30" i="9" s="1"/>
  <c r="AB56" i="9" s="1"/>
  <c r="AB57" i="9" s="1"/>
  <c r="AB58" i="9" s="1"/>
  <c r="H59" i="9" s="1"/>
  <c r="H60" i="9" s="1" a="1"/>
  <c r="H60" i="9" s="1"/>
  <c r="H35" i="9" s="1"/>
  <c r="H33" i="9"/>
  <c r="AB27" i="9"/>
  <c r="H34" i="9"/>
  <c r="K15" i="5"/>
  <c r="K14" i="5"/>
  <c r="L12" i="5"/>
  <c r="I14" i="5"/>
  <c r="I15" i="5"/>
  <c r="M55" i="5"/>
  <c r="N19" i="5"/>
  <c r="J20" i="5" l="1"/>
  <c r="C68" i="5"/>
  <c r="C67" i="5" s="1"/>
  <c r="K17" i="5"/>
  <c r="K20" i="5" s="1"/>
  <c r="K23" i="5" s="1"/>
  <c r="K24" i="5" s="1"/>
  <c r="K26" i="5" s="1"/>
  <c r="K29" i="5" s="1"/>
  <c r="I17" i="5"/>
  <c r="I20" i="5" s="1"/>
  <c r="I23" i="5" s="1"/>
  <c r="I24" i="5" s="1"/>
  <c r="M12" i="5"/>
  <c r="L15" i="5"/>
  <c r="L14" i="5"/>
  <c r="N55" i="5"/>
  <c r="O19" i="5"/>
  <c r="J23" i="5" l="1"/>
  <c r="J24" i="5" s="1"/>
  <c r="J26" i="5" s="1"/>
  <c r="J29" i="5" s="1"/>
  <c r="J27" i="5"/>
  <c r="K27" i="5"/>
  <c r="L17" i="5"/>
  <c r="L20" i="5" s="1"/>
  <c r="L23" i="5" s="1"/>
  <c r="L24" i="5" s="1"/>
  <c r="L26" i="5" s="1"/>
  <c r="L29" i="5" s="1"/>
  <c r="N12" i="5"/>
  <c r="M15" i="5"/>
  <c r="M14" i="5"/>
  <c r="O55" i="5"/>
  <c r="P19" i="5"/>
  <c r="L30" i="5" l="1"/>
  <c r="L56" i="5" s="1"/>
  <c r="J30" i="5"/>
  <c r="J56" i="5" s="1"/>
  <c r="J57" i="5" s="1"/>
  <c r="J58" i="5" s="1"/>
  <c r="K30" i="5"/>
  <c r="K56" i="5" s="1"/>
  <c r="L27" i="5"/>
  <c r="M17" i="5"/>
  <c r="M20" i="5" s="1"/>
  <c r="M23" i="5" s="1"/>
  <c r="M24" i="5" s="1"/>
  <c r="M26" i="5" s="1"/>
  <c r="O12" i="5"/>
  <c r="N15" i="5"/>
  <c r="N14" i="5"/>
  <c r="P55" i="5"/>
  <c r="Q19" i="5"/>
  <c r="L57" i="5" l="1"/>
  <c r="L58" i="5" s="1"/>
  <c r="K57" i="5"/>
  <c r="K58" i="5" s="1"/>
  <c r="N17" i="5"/>
  <c r="N20" i="5" s="1"/>
  <c r="N23" i="5" s="1"/>
  <c r="N24" i="5" s="1"/>
  <c r="N26" i="5" s="1"/>
  <c r="N29" i="5" s="1"/>
  <c r="M27" i="5"/>
  <c r="M29" i="5"/>
  <c r="M30" i="5" s="1"/>
  <c r="M56" i="5" s="1"/>
  <c r="M57" i="5" s="1"/>
  <c r="M58" i="5" s="1"/>
  <c r="P12" i="5"/>
  <c r="O15" i="5"/>
  <c r="O14" i="5"/>
  <c r="Q55" i="5"/>
  <c r="R19" i="5"/>
  <c r="N27" i="5" l="1"/>
  <c r="O17" i="5"/>
  <c r="O20" i="5" s="1"/>
  <c r="O23" i="5" s="1"/>
  <c r="O24" i="5" s="1"/>
  <c r="O26" i="5" s="1"/>
  <c r="O29" i="5" s="1"/>
  <c r="O30" i="5" s="1"/>
  <c r="O56" i="5" s="1"/>
  <c r="N30" i="5"/>
  <c r="N56" i="5" s="1"/>
  <c r="N57" i="5" s="1"/>
  <c r="N58" i="5" s="1"/>
  <c r="Q12" i="5"/>
  <c r="P15" i="5"/>
  <c r="P14" i="5"/>
  <c r="R55" i="5"/>
  <c r="S19" i="5"/>
  <c r="O27" i="5" l="1"/>
  <c r="O57" i="5"/>
  <c r="O58" i="5" s="1"/>
  <c r="P17" i="5"/>
  <c r="P20" i="5" s="1"/>
  <c r="P23" i="5" s="1"/>
  <c r="P24" i="5" s="1"/>
  <c r="P26" i="5" s="1"/>
  <c r="R12" i="5"/>
  <c r="Q15" i="5"/>
  <c r="Q14" i="5"/>
  <c r="S55" i="5"/>
  <c r="T19" i="5"/>
  <c r="Q17" i="5" l="1"/>
  <c r="Q20" i="5" s="1"/>
  <c r="Q23" i="5" s="1"/>
  <c r="Q24" i="5" s="1"/>
  <c r="Q26" i="5" s="1"/>
  <c r="Q29" i="5" s="1"/>
  <c r="P27" i="5"/>
  <c r="P29" i="5"/>
  <c r="P30" i="5" s="1"/>
  <c r="P56" i="5" s="1"/>
  <c r="P57" i="5" s="1"/>
  <c r="P58" i="5" s="1"/>
  <c r="S12" i="5"/>
  <c r="R15" i="5"/>
  <c r="R14" i="5"/>
  <c r="T55" i="5"/>
  <c r="U19" i="5"/>
  <c r="Q27" i="5" l="1"/>
  <c r="R17" i="5"/>
  <c r="R20" i="5" s="1"/>
  <c r="R23" i="5" s="1"/>
  <c r="R24" i="5" s="1"/>
  <c r="R26" i="5" s="1"/>
  <c r="R27" i="5" s="1"/>
  <c r="Q30" i="5"/>
  <c r="Q56" i="5" s="1"/>
  <c r="Q57" i="5" s="1"/>
  <c r="Q58" i="5" s="1"/>
  <c r="T12" i="5"/>
  <c r="S15" i="5"/>
  <c r="S14" i="5"/>
  <c r="U55" i="5"/>
  <c r="V19" i="5"/>
  <c r="S17" i="5" l="1"/>
  <c r="S20" i="5" s="1"/>
  <c r="S23" i="5" s="1"/>
  <c r="S24" i="5" s="1"/>
  <c r="S26" i="5" s="1"/>
  <c r="S29" i="5" s="1"/>
  <c r="R29" i="5"/>
  <c r="R30" i="5" s="1"/>
  <c r="R56" i="5" s="1"/>
  <c r="R57" i="5" s="1"/>
  <c r="R58" i="5" s="1"/>
  <c r="U12" i="5"/>
  <c r="T15" i="5"/>
  <c r="T14" i="5"/>
  <c r="V55" i="5"/>
  <c r="W19" i="5"/>
  <c r="S27" i="5" l="1"/>
  <c r="S30" i="5"/>
  <c r="S56" i="5" s="1"/>
  <c r="S57" i="5" s="1"/>
  <c r="S58" i="5" s="1"/>
  <c r="T17" i="5"/>
  <c r="T20" i="5" s="1"/>
  <c r="T23" i="5" s="1"/>
  <c r="T24" i="5" s="1"/>
  <c r="T26" i="5" s="1"/>
  <c r="V12" i="5"/>
  <c r="U15" i="5"/>
  <c r="U14" i="5"/>
  <c r="W55" i="5"/>
  <c r="X19" i="5"/>
  <c r="T27" i="5" l="1"/>
  <c r="T29" i="5"/>
  <c r="T30" i="5" s="1"/>
  <c r="T56" i="5" s="1"/>
  <c r="T57" i="5" s="1"/>
  <c r="T58" i="5" s="1"/>
  <c r="U17" i="5"/>
  <c r="U20" i="5" s="1"/>
  <c r="U23" i="5" s="1"/>
  <c r="U24" i="5" s="1"/>
  <c r="U26" i="5" s="1"/>
  <c r="W12" i="5"/>
  <c r="V15" i="5"/>
  <c r="V14" i="5"/>
  <c r="X55" i="5"/>
  <c r="Y19" i="5"/>
  <c r="V17" i="5" l="1"/>
  <c r="V20" i="5" s="1"/>
  <c r="V23" i="5" s="1"/>
  <c r="V24" i="5" s="1"/>
  <c r="V26" i="5" s="1"/>
  <c r="V27" i="5" s="1"/>
  <c r="U29" i="5"/>
  <c r="U30" i="5" s="1"/>
  <c r="U56" i="5" s="1"/>
  <c r="U57" i="5" s="1"/>
  <c r="U58" i="5" s="1"/>
  <c r="U27" i="5"/>
  <c r="X12" i="5"/>
  <c r="W15" i="5"/>
  <c r="W14" i="5"/>
  <c r="Y55" i="5"/>
  <c r="Z19" i="5"/>
  <c r="V29" i="5" l="1"/>
  <c r="V30" i="5" s="1"/>
  <c r="V56" i="5" s="1"/>
  <c r="V57" i="5" s="1"/>
  <c r="V58" i="5" s="1"/>
  <c r="W17" i="5"/>
  <c r="W20" i="5" s="1"/>
  <c r="W23" i="5" s="1"/>
  <c r="W24" i="5" s="1"/>
  <c r="W26" i="5" s="1"/>
  <c r="W27" i="5" s="1"/>
  <c r="Y12" i="5"/>
  <c r="X15" i="5"/>
  <c r="X14" i="5"/>
  <c r="Z55" i="5"/>
  <c r="AA19" i="5"/>
  <c r="X17" i="5" l="1"/>
  <c r="X20" i="5" s="1"/>
  <c r="X23" i="5" s="1"/>
  <c r="X24" i="5" s="1"/>
  <c r="X26" i="5" s="1"/>
  <c r="X29" i="5" s="1"/>
  <c r="W29" i="5"/>
  <c r="W30" i="5" s="1"/>
  <c r="W56" i="5" s="1"/>
  <c r="W57" i="5" s="1"/>
  <c r="W58" i="5" s="1"/>
  <c r="Z12" i="5"/>
  <c r="Y15" i="5"/>
  <c r="Y14" i="5"/>
  <c r="AA55" i="5"/>
  <c r="AB19" i="5"/>
  <c r="Y17" i="5" l="1"/>
  <c r="Y20" i="5" s="1"/>
  <c r="Y23" i="5" s="1"/>
  <c r="Y24" i="5" s="1"/>
  <c r="Y26" i="5" s="1"/>
  <c r="Y29" i="5" s="1"/>
  <c r="Y30" i="5" s="1"/>
  <c r="Y56" i="5" s="1"/>
  <c r="X27" i="5"/>
  <c r="X30" i="5"/>
  <c r="X56" i="5" s="1"/>
  <c r="X57" i="5" s="1"/>
  <c r="X58" i="5" s="1"/>
  <c r="AA12" i="5"/>
  <c r="Z14" i="5"/>
  <c r="Z15" i="5"/>
  <c r="AB55" i="5"/>
  <c r="Y27" i="5" l="1"/>
  <c r="Y57" i="5"/>
  <c r="Y58" i="5" s="1"/>
  <c r="Z17" i="5"/>
  <c r="Z20" i="5" s="1"/>
  <c r="Z23" i="5" s="1"/>
  <c r="Z24" i="5" s="1"/>
  <c r="Z26" i="5" s="1"/>
  <c r="AB12" i="5"/>
  <c r="AA14" i="5"/>
  <c r="AA15" i="5"/>
  <c r="AA17" i="5" l="1"/>
  <c r="AA20" i="5" s="1"/>
  <c r="AA23" i="5" s="1"/>
  <c r="AA24" i="5" s="1"/>
  <c r="AA26" i="5" s="1"/>
  <c r="AB14" i="5"/>
  <c r="AB15" i="5"/>
  <c r="Z27" i="5"/>
  <c r="Z29" i="5"/>
  <c r="Z30" i="5" s="1"/>
  <c r="Z56" i="5" s="1"/>
  <c r="Z57" i="5" s="1"/>
  <c r="Z58" i="5" s="1"/>
  <c r="AB17" i="5" l="1"/>
  <c r="AB20" i="5" s="1"/>
  <c r="AB23" i="5" s="1"/>
  <c r="AB24" i="5" s="1"/>
  <c r="AB26" i="5" s="1"/>
  <c r="AA27" i="5"/>
  <c r="AA29" i="5"/>
  <c r="AA30" i="5" s="1"/>
  <c r="AA56" i="5" s="1"/>
  <c r="AA57" i="5" s="1"/>
  <c r="AA58" i="5" s="1"/>
  <c r="H34" i="5" l="1"/>
  <c r="C57" i="5" s="1"/>
  <c r="AB29" i="5"/>
  <c r="AB30" i="5" s="1"/>
  <c r="AB56" i="5" s="1"/>
  <c r="AB57" i="5" s="1"/>
  <c r="AB58" i="5" s="1"/>
  <c r="H32" i="5"/>
  <c r="AB27" i="5"/>
  <c r="H33" i="5" l="1"/>
  <c r="C56" i="5" s="1"/>
  <c r="C55" i="5"/>
  <c r="H59" i="5"/>
  <c r="H60" i="5" s="1" a="1"/>
  <c r="H60" i="5" s="1"/>
  <c r="H35" i="5" s="1"/>
  <c r="C58" i="5" s="1"/>
  <c r="F12" i="14" l="1"/>
  <c r="I30" i="14"/>
  <c r="F25" i="14"/>
  <c r="G25" i="14" s="1"/>
  <c r="F26" i="14"/>
  <c r="G26" i="14" s="1"/>
  <c r="F15" i="14"/>
  <c r="G15" i="14" s="1"/>
  <c r="F24" i="14"/>
  <c r="G24" i="14" s="1"/>
  <c r="F23" i="14"/>
  <c r="G23" i="14" s="1"/>
  <c r="F14" i="14"/>
  <c r="G14" i="14" s="1"/>
  <c r="G12" i="14" l="1"/>
  <c r="G30" i="14" s="1"/>
  <c r="F30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<sst xmlns="http://schemas.openxmlformats.org/spreadsheetml/2006/main" count="619" uniqueCount="394">
  <si>
    <t>Unit ID</t>
  </si>
  <si>
    <t>Purchased Cost [USD]</t>
  </si>
  <si>
    <t>Installed Cost [USD]</t>
  </si>
  <si>
    <t>O&amp;M Cost [USD/Year]</t>
  </si>
  <si>
    <t>Utilities [*]</t>
  </si>
  <si>
    <t>Utilities ID</t>
  </si>
  <si>
    <t>Lifespan [Years]</t>
  </si>
  <si>
    <t>Other (Notes)</t>
  </si>
  <si>
    <t>AD-201A</t>
  </si>
  <si>
    <t>AD-201B</t>
  </si>
  <si>
    <t>LE-201</t>
  </si>
  <si>
    <t>LE-301</t>
  </si>
  <si>
    <t>DC-101</t>
  </si>
  <si>
    <t>DC-301</t>
  </si>
  <si>
    <t>DC-302</t>
  </si>
  <si>
    <t>DC-401</t>
  </si>
  <si>
    <t>FD-101</t>
  </si>
  <si>
    <t>FD-201</t>
  </si>
  <si>
    <t>FD-401</t>
  </si>
  <si>
    <t>TK-302</t>
  </si>
  <si>
    <t>SS-501a</t>
  </si>
  <si>
    <t>SS-501b</t>
  </si>
  <si>
    <t>SS-502</t>
  </si>
  <si>
    <t>TK-101a</t>
  </si>
  <si>
    <t>TK-101b</t>
  </si>
  <si>
    <t>TK-102a</t>
  </si>
  <si>
    <t>TK-102b</t>
  </si>
  <si>
    <t>TK-102c</t>
  </si>
  <si>
    <t>TK-102d</t>
  </si>
  <si>
    <t>TK-103a</t>
  </si>
  <si>
    <t>TK-103b</t>
  </si>
  <si>
    <t>TK-103c</t>
  </si>
  <si>
    <t>TK-103d</t>
  </si>
  <si>
    <t>TK-401a</t>
  </si>
  <si>
    <t>TK-401b</t>
  </si>
  <si>
    <t>TK-504a</t>
  </si>
  <si>
    <t>TK-504b</t>
  </si>
  <si>
    <t>TK-504c</t>
  </si>
  <si>
    <t>TK-504d</t>
  </si>
  <si>
    <t>TK-503</t>
  </si>
  <si>
    <t>M-101</t>
  </si>
  <si>
    <t>M-201</t>
  </si>
  <si>
    <t>TK-301</t>
  </si>
  <si>
    <t>TK-402</t>
  </si>
  <si>
    <t>TK-501</t>
  </si>
  <si>
    <t>TK-502</t>
  </si>
  <si>
    <t>TK-300</t>
  </si>
  <si>
    <t>R-101</t>
  </si>
  <si>
    <t xml:space="preserve">R-201 </t>
  </si>
  <si>
    <t>R-301</t>
  </si>
  <si>
    <t>R-401</t>
  </si>
  <si>
    <t>TO-601</t>
  </si>
  <si>
    <t>M-501</t>
  </si>
  <si>
    <t>TK-104</t>
  </si>
  <si>
    <t>TK-303</t>
  </si>
  <si>
    <t>TK-304</t>
  </si>
  <si>
    <t>TK-403</t>
  </si>
  <si>
    <t>B-601</t>
  </si>
  <si>
    <t>E-101</t>
  </si>
  <si>
    <t>E-102</t>
  </si>
  <si>
    <t>E-103</t>
  </si>
  <si>
    <t>E-104</t>
  </si>
  <si>
    <t>E-105</t>
  </si>
  <si>
    <t>E-106</t>
  </si>
  <si>
    <t>E-107</t>
  </si>
  <si>
    <t>E-201</t>
  </si>
  <si>
    <t>E-202</t>
  </si>
  <si>
    <t>E-203</t>
  </si>
  <si>
    <t>E-204</t>
  </si>
  <si>
    <t>E-301</t>
  </si>
  <si>
    <t>E-302</t>
  </si>
  <si>
    <t>E-303</t>
  </si>
  <si>
    <t>E-304</t>
  </si>
  <si>
    <t>E-305</t>
  </si>
  <si>
    <t>E-401</t>
  </si>
  <si>
    <t>E-402</t>
  </si>
  <si>
    <t>E-403</t>
  </si>
  <si>
    <t>E-404</t>
  </si>
  <si>
    <t>E-405</t>
  </si>
  <si>
    <t>HVAC</t>
  </si>
  <si>
    <t>P-101</t>
  </si>
  <si>
    <t>P-102</t>
  </si>
  <si>
    <t>P-103</t>
  </si>
  <si>
    <t>P-104</t>
  </si>
  <si>
    <t>P-105</t>
  </si>
  <si>
    <t>P-106</t>
  </si>
  <si>
    <t>P-107</t>
  </si>
  <si>
    <t>P-108</t>
  </si>
  <si>
    <t>P-201</t>
  </si>
  <si>
    <t>P-202</t>
  </si>
  <si>
    <t>P-203</t>
  </si>
  <si>
    <t>P-204</t>
  </si>
  <si>
    <t>P-301</t>
  </si>
  <si>
    <t>P-302</t>
  </si>
  <si>
    <t>P-303</t>
  </si>
  <si>
    <t>P-304</t>
  </si>
  <si>
    <t>P-305</t>
  </si>
  <si>
    <t>P-306</t>
  </si>
  <si>
    <t>P-307</t>
  </si>
  <si>
    <t>P-308</t>
  </si>
  <si>
    <t>P-309</t>
  </si>
  <si>
    <t>P-401</t>
  </si>
  <si>
    <t>P-402</t>
  </si>
  <si>
    <t>P-403</t>
  </si>
  <si>
    <t>P-501</t>
  </si>
  <si>
    <t>P-502</t>
  </si>
  <si>
    <t>P-503</t>
  </si>
  <si>
    <t>P-504</t>
  </si>
  <si>
    <t>P-505</t>
  </si>
  <si>
    <t>P-506</t>
  </si>
  <si>
    <t>P-601</t>
  </si>
  <si>
    <t>C-201</t>
  </si>
  <si>
    <t>C-401</t>
  </si>
  <si>
    <t>SC-501</t>
  </si>
  <si>
    <t>SC-502</t>
  </si>
  <si>
    <t>Annual Costs [USD/Year]</t>
  </si>
  <si>
    <t>Purchase Year [-]</t>
  </si>
  <si>
    <t>Land</t>
  </si>
  <si>
    <t>Clearing</t>
  </si>
  <si>
    <t>Foundations</t>
  </si>
  <si>
    <t>Roads</t>
  </si>
  <si>
    <t>Land Improvements</t>
  </si>
  <si>
    <t>Buildings</t>
  </si>
  <si>
    <t>Utility Connections</t>
  </si>
  <si>
    <t xml:space="preserve">Insulation </t>
  </si>
  <si>
    <t>Year</t>
  </si>
  <si>
    <t>Sales</t>
  </si>
  <si>
    <t>SP  (Products Sales)</t>
  </si>
  <si>
    <t>Cost/Period</t>
  </si>
  <si>
    <t>SPF  (Forecasted Sales Annuity Factor)</t>
  </si>
  <si>
    <t>SF  (Forecasted Sales)</t>
  </si>
  <si>
    <t>S  (Total Sales)</t>
  </si>
  <si>
    <t>Expenses</t>
  </si>
  <si>
    <t>CAP  (Capital Costs)</t>
  </si>
  <si>
    <t xml:space="preserve"> </t>
  </si>
  <si>
    <t>Unescalated Cumulative Capital Cost</t>
  </si>
  <si>
    <t>Capital Cost</t>
  </si>
  <si>
    <t>Cost/period</t>
  </si>
  <si>
    <t xml:space="preserve">Cumulative Capital Cost </t>
  </si>
  <si>
    <t>Working Capital</t>
  </si>
  <si>
    <t>OP  (Operating Costs)</t>
  </si>
  <si>
    <t>Raw Materials</t>
  </si>
  <si>
    <t>Operating Labor Cost</t>
  </si>
  <si>
    <t>Maintenance Cost</t>
  </si>
  <si>
    <t>Utilities</t>
  </si>
  <si>
    <t>Operating Charges</t>
  </si>
  <si>
    <t>Plant Overhead</t>
  </si>
  <si>
    <t>Subtotal Operating Costs</t>
  </si>
  <si>
    <t>G and A Costs</t>
  </si>
  <si>
    <t>R  (Revenue)</t>
  </si>
  <si>
    <t>DEP  (Depreciation Expense)</t>
  </si>
  <si>
    <t>E  (Earnings Before Taxes)</t>
  </si>
  <si>
    <t>TAX  (Taxes)</t>
  </si>
  <si>
    <t>NE  (Net  Earnings)</t>
  </si>
  <si>
    <t>TED  (Total Earnings)</t>
  </si>
  <si>
    <t>TEX  (Total Expenses (Excludes Taxes and Depreciation))</t>
  </si>
  <si>
    <t>CF  (CashFlow for Project)</t>
  </si>
  <si>
    <t>ECONOMIC PARAMETERS</t>
  </si>
  <si>
    <t>PARAMETER</t>
  </si>
  <si>
    <t>UNITS</t>
  </si>
  <si>
    <t>VALUE</t>
  </si>
  <si>
    <t>ECONLIFE  (Economic Life of Project)</t>
  </si>
  <si>
    <t>Period = Year</t>
  </si>
  <si>
    <t>MARR</t>
  </si>
  <si>
    <t>Percent</t>
  </si>
  <si>
    <t>WORKP  (Working Capital Percentage)</t>
  </si>
  <si>
    <t>Percent/period</t>
  </si>
  <si>
    <t>OPCHG  (Operating Charges, Percent of O&amp;M)</t>
  </si>
  <si>
    <t>Plant Life</t>
  </si>
  <si>
    <t>PLANTOVH  (Plant Overhead, Percent of O&amp;M)</t>
  </si>
  <si>
    <t>CAPEX</t>
  </si>
  <si>
    <t>TAXR  (Tax Rate)</t>
  </si>
  <si>
    <t>Capital</t>
  </si>
  <si>
    <t>SALVAL  (Salvage Value (Percent of Initial Capital Cost))</t>
  </si>
  <si>
    <t>Depreciation Method</t>
  </si>
  <si>
    <t>-</t>
  </si>
  <si>
    <t>Straight Line</t>
  </si>
  <si>
    <t>Total Capital</t>
  </si>
  <si>
    <t>ESPROD  (Products Escalation, Accounts for Inflation)</t>
  </si>
  <si>
    <t>OPEX</t>
  </si>
  <si>
    <t>O&amp;M lower in year 1, scaling based on Aspen results</t>
  </si>
  <si>
    <t>ESRAW  (Raw Material Escalation)</t>
  </si>
  <si>
    <t>O&amp;M</t>
  </si>
  <si>
    <t>ESLAB  (Operating and Maintenance Labor Escalation)</t>
  </si>
  <si>
    <t>ESUT  (Utilities Escalation)</t>
  </si>
  <si>
    <t>Operating Charge</t>
  </si>
  <si>
    <t>Electricity Cost</t>
  </si>
  <si>
    <t>USD/kWh</t>
  </si>
  <si>
    <t>Aspen OPEX</t>
  </si>
  <si>
    <t>Total OPEX</t>
  </si>
  <si>
    <t>SALES</t>
  </si>
  <si>
    <t>Revenue lower in year 1, scaling based on Aspen results</t>
  </si>
  <si>
    <t>SALES PARAMETERS</t>
  </si>
  <si>
    <t>Gross Profit</t>
  </si>
  <si>
    <t xml:space="preserve">Ammonia Cost </t>
  </si>
  <si>
    <t>[USD/tonne]</t>
  </si>
  <si>
    <t>TAXABLE INCOME</t>
  </si>
  <si>
    <t xml:space="preserve">Oxygen Cost </t>
  </si>
  <si>
    <t>Depreciation Allowance</t>
  </si>
  <si>
    <t>Ammonia Production</t>
  </si>
  <si>
    <t>[tonne/Year]</t>
  </si>
  <si>
    <t>Taxable Earnings</t>
  </si>
  <si>
    <t>Oxygen Production</t>
  </si>
  <si>
    <t>Taxes Paid</t>
  </si>
  <si>
    <t>Revenue</t>
  </si>
  <si>
    <t>[USD/Year]</t>
  </si>
  <si>
    <t>CASH FLOWS</t>
  </si>
  <si>
    <t>Cash Flow</t>
  </si>
  <si>
    <t>Cumulative Cash Flow</t>
  </si>
  <si>
    <t>DCF (P|F)</t>
  </si>
  <si>
    <t>PV of Cash Flow</t>
  </si>
  <si>
    <t>ADDITIONAL EQUIPMENT</t>
  </si>
  <si>
    <t>Cumulative DCF</t>
  </si>
  <si>
    <t>SUMMARY</t>
  </si>
  <si>
    <t>Installed Cost</t>
  </si>
  <si>
    <t>[USD]</t>
  </si>
  <si>
    <t>NPV</t>
  </si>
  <si>
    <t>O&amp;M Cost</t>
  </si>
  <si>
    <t>AW</t>
  </si>
  <si>
    <t>Utilities Cost</t>
  </si>
  <si>
    <t>IRR</t>
  </si>
  <si>
    <t>DPBP</t>
  </si>
  <si>
    <t>Sensitivity Parameters (Do Not Touch)</t>
  </si>
  <si>
    <t>Total CAPEX</t>
  </si>
  <si>
    <t>[-]</t>
  </si>
  <si>
    <t>DPBP CALCULATION</t>
  </si>
  <si>
    <t>Net Present Value (NPV)</t>
  </si>
  <si>
    <t>[Million USD]</t>
  </si>
  <si>
    <t>YEAR</t>
  </si>
  <si>
    <t>Annual Worth (AW)</t>
  </si>
  <si>
    <t>Internal Rate of Return (IRR)</t>
  </si>
  <si>
    <t>[Percent]</t>
  </si>
  <si>
    <t>Find CDCF sign change</t>
  </si>
  <si>
    <t>Discounted Payback Period (DPBP)</t>
  </si>
  <si>
    <t>[Years]</t>
  </si>
  <si>
    <t>Find index of break even</t>
  </si>
  <si>
    <t>Index</t>
  </si>
  <si>
    <t>Linear Interpolation</t>
  </si>
  <si>
    <t>EQUIPMENT COSTS SUMMARY</t>
  </si>
  <si>
    <t>Total  CAPEX</t>
  </si>
  <si>
    <t>[Million USD/Year]</t>
  </si>
  <si>
    <t>Operating and Maintenance</t>
  </si>
  <si>
    <t>Other (Overhead, Administrative, etc.)</t>
  </si>
  <si>
    <t>Number of variables</t>
  </si>
  <si>
    <t>% Deviation</t>
  </si>
  <si>
    <t>COUNT</t>
  </si>
  <si>
    <t>VARIABLE</t>
  </si>
  <si>
    <t>LOWER (%)</t>
  </si>
  <si>
    <t>UPPER (%)</t>
  </si>
  <si>
    <t>STEPS</t>
  </si>
  <si>
    <t>Variable</t>
  </si>
  <si>
    <t>Deviation</t>
  </si>
  <si>
    <t>A106 Carbon Steel Pipes</t>
  </si>
  <si>
    <t>Carbon Steel Fittings</t>
  </si>
  <si>
    <t>Installed Cost/Unit [USD]</t>
  </si>
  <si>
    <t>Cost/Unit [USD]</t>
  </si>
  <si>
    <t>Units Bought [-]</t>
  </si>
  <si>
    <t>Controller</t>
  </si>
  <si>
    <t>TT</t>
  </si>
  <si>
    <t>PT, Equipment</t>
  </si>
  <si>
    <t>PT, Piping</t>
  </si>
  <si>
    <t>LT, Ultrasonic</t>
  </si>
  <si>
    <t>LT, Submersed</t>
  </si>
  <si>
    <t>AT</t>
  </si>
  <si>
    <t>Speed/Power Sensor</t>
  </si>
  <si>
    <t>FT</t>
  </si>
  <si>
    <t>&lt; 1" CV</t>
  </si>
  <si>
    <t>1" to 2" CV</t>
  </si>
  <si>
    <t>&gt; 2" CV</t>
  </si>
  <si>
    <t>Alarm</t>
  </si>
  <si>
    <t>Cost/MT [USD]</t>
  </si>
  <si>
    <t xml:space="preserve"> Units Bought [MT/Year]</t>
  </si>
  <si>
    <t>Cost/Year [USD/Year]</t>
  </si>
  <si>
    <t>Propylene</t>
  </si>
  <si>
    <t>Butene</t>
  </si>
  <si>
    <t>Benzene</t>
  </si>
  <si>
    <t>PVC Resin</t>
  </si>
  <si>
    <t>Fumed Silica</t>
  </si>
  <si>
    <t>Sulfuric Acid</t>
  </si>
  <si>
    <t>Hydrogen</t>
  </si>
  <si>
    <t>Total:</t>
  </si>
  <si>
    <t>Cost/Unit, Lower [USD]</t>
  </si>
  <si>
    <t>Cost/Unit, Upper [USD]</t>
  </si>
  <si>
    <t xml:space="preserve"> Units Sold [1/Year]</t>
  </si>
  <si>
    <t>Position</t>
  </si>
  <si>
    <t># of Personnel</t>
  </si>
  <si>
    <t>Salary [USD/Year]</t>
  </si>
  <si>
    <t>Hourly [USD/hr]</t>
  </si>
  <si>
    <t>Salary Cost [USD/Year]</t>
  </si>
  <si>
    <t>Non Salary Cost [USD/Year]</t>
  </si>
  <si>
    <t>Total Cost [USD/Year]</t>
  </si>
  <si>
    <t>Operational Staff [0/1]</t>
  </si>
  <si>
    <t>Overtime [USD/Year]</t>
  </si>
  <si>
    <t>Bonuses [USD/Year]</t>
  </si>
  <si>
    <t>Training [USD/Year]</t>
  </si>
  <si>
    <t>Social Security [USD/Year]</t>
  </si>
  <si>
    <t>Unemployment [USD/Year]</t>
  </si>
  <si>
    <t>Workers Comp. [USD/Year]</t>
  </si>
  <si>
    <t>Medical Leave [USD/Year]</t>
  </si>
  <si>
    <t>Health Care [USD/Year]</t>
  </si>
  <si>
    <t>Federal Benefits [USD/Year]</t>
  </si>
  <si>
    <t>Vision [USD/Year]</t>
  </si>
  <si>
    <t>Dental  [USD/Year]</t>
  </si>
  <si>
    <t>Disability [USD/Year]</t>
  </si>
  <si>
    <t>Life Insurance [USD/Year]</t>
  </si>
  <si>
    <t>401K Program [USD/Year]</t>
  </si>
  <si>
    <t>401K Mat. (5%) [USD/Year]</t>
  </si>
  <si>
    <t>Non-Federal &amp; Bonuses [USD/Year]</t>
  </si>
  <si>
    <t>Chief Executive Officer</t>
  </si>
  <si>
    <t xml:space="preserve">Chief Operating Officer </t>
  </si>
  <si>
    <t>Vice Executive Officer</t>
  </si>
  <si>
    <t>Chief Quality Officer</t>
  </si>
  <si>
    <t>Saftey Officer</t>
  </si>
  <si>
    <t>Senior Engineer</t>
  </si>
  <si>
    <t>Maitenence Engineer</t>
  </si>
  <si>
    <t>Material Storage Director</t>
  </si>
  <si>
    <t>Operations Engineer</t>
  </si>
  <si>
    <t>Floor Managers</t>
  </si>
  <si>
    <t>Equipment Operators</t>
  </si>
  <si>
    <t>Controls Engineer</t>
  </si>
  <si>
    <t>Maintence Crew</t>
  </si>
  <si>
    <t xml:space="preserve">Transportation Staff </t>
  </si>
  <si>
    <t>Truck Drivers</t>
  </si>
  <si>
    <t>Financial Director</t>
  </si>
  <si>
    <t>Procurement Manager</t>
  </si>
  <si>
    <t>Accountant</t>
  </si>
  <si>
    <t>Sales &amp; Marketing Director</t>
  </si>
  <si>
    <t>Sales &amp; Marketing Team</t>
  </si>
  <si>
    <t>Building Director</t>
  </si>
  <si>
    <t>IT Staff</t>
  </si>
  <si>
    <t>Janitorial Staff</t>
  </si>
  <si>
    <t>Security Manager</t>
  </si>
  <si>
    <t>Security Staff</t>
  </si>
  <si>
    <t>HR Director</t>
  </si>
  <si>
    <t>Recruitng Specialist</t>
  </si>
  <si>
    <t xml:space="preserve">Attorney </t>
  </si>
  <si>
    <t>Total</t>
  </si>
  <si>
    <t>Cost/Unit [USD/*]</t>
  </si>
  <si>
    <t>Units Bought [*]</t>
  </si>
  <si>
    <t>Cost [USD]</t>
  </si>
  <si>
    <t>174,529 is the kg/hr of cooling water assuming we recycle it all the cost is annual</t>
  </si>
  <si>
    <t xml:space="preserve"> Units Bought [1/Lifespan]</t>
  </si>
  <si>
    <t>Storage Tank Registration</t>
  </si>
  <si>
    <t>EPCRA</t>
  </si>
  <si>
    <t>PI-7</t>
  </si>
  <si>
    <t>TRI</t>
  </si>
  <si>
    <t>Packaging</t>
  </si>
  <si>
    <t>Utilities Cost [USD/Year]</t>
  </si>
  <si>
    <t>DC-304</t>
  </si>
  <si>
    <t>Parameter</t>
  </si>
  <si>
    <t>Value</t>
  </si>
  <si>
    <t>Electricity Cost [$/kWh]</t>
  </si>
  <si>
    <t>Additional Unit Ops</t>
  </si>
  <si>
    <t>E-306</t>
  </si>
  <si>
    <t>R-302</t>
  </si>
  <si>
    <t>R-303</t>
  </si>
  <si>
    <t>S-103</t>
  </si>
  <si>
    <t>S-201</t>
  </si>
  <si>
    <t>SUM:</t>
  </si>
  <si>
    <t>TOT. ANN. [USD/Year]</t>
  </si>
  <si>
    <t>Purchase Costs Ranges from 120000 to 1.2M</t>
  </si>
  <si>
    <t>From sept 2025 data, it was sold at $1140 per MT in the USA (High Purity). Will sell it at half price to account for time and impurities.</t>
  </si>
  <si>
    <t>Packaging Unit</t>
  </si>
  <si>
    <t>TCEQ Title V</t>
  </si>
  <si>
    <t>TCEQ TPDES</t>
  </si>
  <si>
    <t>TCEQ NSR Air Permit</t>
  </si>
  <si>
    <t>TCEQ Hazardous Waste</t>
  </si>
  <si>
    <t>Building Permit</t>
  </si>
  <si>
    <t>Fire Inspection/Permit</t>
  </si>
  <si>
    <t>EPA RCRA</t>
  </si>
  <si>
    <t>DOT Hazardous Mat.</t>
  </si>
  <si>
    <t>OSHA PSM Registration</t>
  </si>
  <si>
    <t>Env. Eng. Consultant</t>
  </si>
  <si>
    <t>PPE (Annualized)</t>
  </si>
  <si>
    <t>Phenol Residue Disposal</t>
  </si>
  <si>
    <t>General Industrial Waste</t>
  </si>
  <si>
    <t>API 510</t>
  </si>
  <si>
    <t>Relief Valve Testing</t>
  </si>
  <si>
    <t>API 653</t>
  </si>
  <si>
    <t>LPG Bullet Inspection</t>
  </si>
  <si>
    <t>ATEX EE Inspection</t>
  </si>
  <si>
    <t>Fire Suppression (NFPA 25)</t>
  </si>
  <si>
    <t>Gas Detection Calibration</t>
  </si>
  <si>
    <t>(Shifted to equipment tab for simplicity)</t>
  </si>
  <si>
    <t>Depreciable [0/1]</t>
  </si>
  <si>
    <t>16 oz Can</t>
  </si>
  <si>
    <t>32 oz Can</t>
  </si>
  <si>
    <t>1 gal Can</t>
  </si>
  <si>
    <t>Phenol, MT</t>
  </si>
  <si>
    <t>1 - Electricity [kWh]</t>
  </si>
  <si>
    <t>2 - Water [kg]</t>
  </si>
  <si>
    <r>
      <t>3 - Natural Gas [m</t>
    </r>
    <r>
      <rPr>
        <vertAlign val="superscript"/>
        <sz val="10"/>
        <color theme="1"/>
        <rFont val="Aptos Narrow"/>
        <family val="2"/>
        <scheme val="minor"/>
      </rPr>
      <t>3</t>
    </r>
    <r>
      <rPr>
        <sz val="10"/>
        <color theme="1"/>
        <rFont val="Aptos Narrow"/>
        <family val="2"/>
        <scheme val="minor"/>
      </rPr>
      <t>/hr]</t>
    </r>
  </si>
  <si>
    <t>4 - 2 bar Steam [kWh]</t>
  </si>
  <si>
    <t>5 - 40 bar Steam [kWh]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</si>
</sst>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"/>
    <numFmt numFmtId="165" formatCode="0.0000"/>
    <numFmt numFmtId="166" formatCode="0.0"/>
    <numFmt numFmtId="167" formatCode="&quot;$&quot;#,##0.00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rial"/>
      <family val="2"/>
    </font>
    <font>
      <sz val="10"/>
      <color theme="1"/>
      <name val="Cambria"/>
      <family val="1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2"/>
      <color rgb="FF000000"/>
      <name val="Cambria"/>
      <family val="1"/>
    </font>
    <font>
      <sz val="9"/>
      <color theme="1"/>
      <name val="Aptos Narrow"/>
      <family val="2"/>
      <scheme val="minor"/>
    </font>
    <font>
      <u/>
      <sz val="10"/>
      <color theme="1"/>
      <name val="Aptos Narrow"/>
      <family val="2"/>
      <scheme val="minor"/>
    </font>
    <font>
      <vertAlign val="superscript"/>
      <sz val="10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92">
    <xf numFmtId="0" fontId="0" fillId="0" borderId="0" xfId="0"/>
    <xf numFmtId="2" fontId="0" fillId="0" borderId="0" xfId="0" applyNumberFormat="1"/>
    <xf numFmtId="165" fontId="0" fillId="0" borderId="0" xfId="0" applyNumberFormat="1"/>
    <xf numFmtId="8" fontId="0" fillId="0" borderId="0" xfId="0" applyNumberFormat="1"/>
    <xf numFmtId="0" fontId="0" fillId="2" borderId="0" xfId="0" applyFill="1"/>
    <xf numFmtId="0" fontId="0" fillId="3" borderId="0" xfId="0" applyFill="1"/>
    <xf numFmtId="0" fontId="0" fillId="3" borderId="1" xfId="0" applyFill="1" applyBorder="1"/>
    <xf numFmtId="0" fontId="0" fillId="0" borderId="1" xfId="0" applyBorder="1"/>
    <xf numFmtId="0" fontId="0" fillId="2" borderId="1" xfId="0" applyFill="1" applyBorder="1"/>
    <xf numFmtId="1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right"/>
    </xf>
    <xf numFmtId="11" fontId="0" fillId="0" borderId="0" xfId="0" applyNumberFormat="1"/>
    <xf numFmtId="0" fontId="2" fillId="0" borderId="0" xfId="0" applyFont="1"/>
    <xf numFmtId="11" fontId="0" fillId="2" borderId="0" xfId="0" applyNumberFormat="1" applyFill="1"/>
    <xf numFmtId="0" fontId="0" fillId="5" borderId="0" xfId="0" applyFill="1"/>
    <xf numFmtId="1" fontId="0" fillId="5" borderId="0" xfId="0" applyNumberFormat="1" applyFill="1"/>
    <xf numFmtId="9" fontId="0" fillId="3" borderId="0" xfId="0" applyNumberFormat="1" applyFill="1"/>
    <xf numFmtId="0" fontId="1" fillId="0" borderId="3" xfId="0" applyFont="1" applyBorder="1"/>
    <xf numFmtId="0" fontId="1" fillId="0" borderId="0" xfId="0" applyFont="1"/>
    <xf numFmtId="0" fontId="1" fillId="0" borderId="4" xfId="0" applyFont="1" applyBorder="1"/>
    <xf numFmtId="1" fontId="1" fillId="0" borderId="4" xfId="0" applyNumberFormat="1" applyFont="1" applyBorder="1"/>
    <xf numFmtId="0" fontId="5" fillId="0" borderId="0" xfId="0" applyFont="1"/>
    <xf numFmtId="0" fontId="5" fillId="0" borderId="1" xfId="0" applyFont="1" applyBorder="1"/>
    <xf numFmtId="2" fontId="5" fillId="0" borderId="1" xfId="0" applyNumberFormat="1" applyFont="1" applyBorder="1"/>
    <xf numFmtId="0" fontId="5" fillId="5" borderId="0" xfId="0" applyFont="1" applyFill="1"/>
    <xf numFmtId="1" fontId="5" fillId="5" borderId="0" xfId="0" applyNumberFormat="1" applyFont="1" applyFill="1"/>
    <xf numFmtId="0" fontId="5" fillId="2" borderId="0" xfId="0" applyFont="1" applyFill="1"/>
    <xf numFmtId="11" fontId="5" fillId="2" borderId="0" xfId="0" applyNumberFormat="1" applyFont="1" applyFill="1"/>
    <xf numFmtId="164" fontId="5" fillId="0" borderId="1" xfId="0" applyNumberFormat="1" applyFont="1" applyBorder="1"/>
    <xf numFmtId="0" fontId="5" fillId="3" borderId="0" xfId="0" applyFont="1" applyFill="1"/>
    <xf numFmtId="11" fontId="5" fillId="0" borderId="0" xfId="0" applyNumberFormat="1" applyFont="1"/>
    <xf numFmtId="1" fontId="5" fillId="0" borderId="1" xfId="0" applyNumberFormat="1" applyFont="1" applyBorder="1"/>
    <xf numFmtId="9" fontId="5" fillId="3" borderId="0" xfId="0" applyNumberFormat="1" applyFont="1" applyFill="1"/>
    <xf numFmtId="165" fontId="5" fillId="0" borderId="0" xfId="0" applyNumberFormat="1" applyFont="1"/>
    <xf numFmtId="0" fontId="4" fillId="0" borderId="1" xfId="0" applyFont="1" applyBorder="1"/>
    <xf numFmtId="0" fontId="5" fillId="4" borderId="1" xfId="0" applyFont="1" applyFill="1" applyBorder="1"/>
    <xf numFmtId="1" fontId="5" fillId="3" borderId="1" xfId="0" applyNumberFormat="1" applyFont="1" applyFill="1" applyBorder="1"/>
    <xf numFmtId="2" fontId="5" fillId="0" borderId="0" xfId="0" applyNumberFormat="1" applyFont="1"/>
    <xf numFmtId="8" fontId="5" fillId="0" borderId="0" xfId="0" applyNumberFormat="1" applyFont="1"/>
    <xf numFmtId="166" fontId="5" fillId="0" borderId="1" xfId="0" applyNumberFormat="1" applyFont="1" applyBorder="1"/>
    <xf numFmtId="165" fontId="5" fillId="0" borderId="1" xfId="0" applyNumberFormat="1" applyFont="1" applyBorder="1"/>
    <xf numFmtId="0" fontId="5" fillId="2" borderId="6" xfId="0" applyFont="1" applyFill="1" applyBorder="1"/>
    <xf numFmtId="0" fontId="5" fillId="2" borderId="7" xfId="0" applyFont="1" applyFill="1" applyBorder="1"/>
    <xf numFmtId="0" fontId="5" fillId="2" borderId="8" xfId="0" applyFont="1" applyFill="1" applyBorder="1"/>
    <xf numFmtId="0" fontId="5" fillId="0" borderId="9" xfId="0" applyFont="1" applyBorder="1"/>
    <xf numFmtId="0" fontId="5" fillId="0" borderId="10" xfId="0" applyFont="1" applyBorder="1"/>
    <xf numFmtId="0" fontId="5" fillId="2" borderId="5" xfId="0" applyFont="1" applyFill="1" applyBorder="1"/>
    <xf numFmtId="0" fontId="5" fillId="0" borderId="11" xfId="0" applyFont="1" applyBorder="1"/>
    <xf numFmtId="0" fontId="5" fillId="0" borderId="2" xfId="0" applyFont="1" applyBorder="1"/>
    <xf numFmtId="0" fontId="5" fillId="0" borderId="12" xfId="0" applyFont="1" applyBorder="1"/>
    <xf numFmtId="0" fontId="5" fillId="2" borderId="1" xfId="0" applyFont="1" applyFill="1" applyBorder="1"/>
    <xf numFmtId="0" fontId="5" fillId="3" borderId="1" xfId="0" applyFont="1" applyFill="1" applyBorder="1"/>
    <xf numFmtId="1" fontId="5" fillId="0" borderId="1" xfId="0" applyNumberFormat="1" applyFont="1" applyBorder="1" applyAlignment="1">
      <alignment horizontal="right"/>
    </xf>
    <xf numFmtId="166" fontId="5" fillId="0" borderId="10" xfId="0" applyNumberFormat="1" applyFont="1" applyBorder="1"/>
    <xf numFmtId="2" fontId="5" fillId="0" borderId="10" xfId="0" applyNumberFormat="1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166" fontId="5" fillId="0" borderId="12" xfId="0" applyNumberFormat="1" applyFont="1" applyBorder="1"/>
    <xf numFmtId="0" fontId="5" fillId="6" borderId="0" xfId="0" applyFont="1" applyFill="1"/>
    <xf numFmtId="0" fontId="3" fillId="0" borderId="1" xfId="0" applyFont="1" applyBorder="1"/>
    <xf numFmtId="167" fontId="5" fillId="2" borderId="1" xfId="0" applyNumberFormat="1" applyFont="1" applyFill="1" applyBorder="1"/>
    <xf numFmtId="167" fontId="5" fillId="0" borderId="1" xfId="0" applyNumberFormat="1" applyFont="1" applyBorder="1"/>
    <xf numFmtId="167" fontId="5" fillId="6" borderId="0" xfId="0" applyNumberFormat="1" applyFont="1" applyFill="1"/>
    <xf numFmtId="167" fontId="5" fillId="0" borderId="0" xfId="0" applyNumberFormat="1" applyFont="1"/>
    <xf numFmtId="1" fontId="5" fillId="0" borderId="0" xfId="0" applyNumberFormat="1" applyFont="1"/>
    <xf numFmtId="2" fontId="5" fillId="0" borderId="1" xfId="0" applyNumberFormat="1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5" fillId="3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1" fontId="5" fillId="0" borderId="1" xfId="1" applyNumberFormat="1" applyFont="1" applyFill="1" applyBorder="1" applyAlignment="1">
      <alignment horizontal="center" vertical="center"/>
    </xf>
    <xf numFmtId="1" fontId="5" fillId="0" borderId="1" xfId="1" applyNumberFormat="1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2" fontId="5" fillId="0" borderId="1" xfId="1" applyNumberFormat="1" applyFont="1" applyBorder="1" applyAlignment="1">
      <alignment horizontal="center" vertical="center"/>
    </xf>
    <xf numFmtId="1" fontId="0" fillId="0" borderId="1" xfId="1" applyNumberFormat="1" applyFont="1" applyBorder="1" applyAlignment="1">
      <alignment horizontal="center" vertical="center"/>
    </xf>
    <xf numFmtId="1" fontId="0" fillId="0" borderId="0" xfId="0" applyNumberFormat="1"/>
    <xf numFmtId="0" fontId="10" fillId="0" borderId="1" xfId="0" applyFont="1" applyBorder="1"/>
    <xf numFmtId="0" fontId="9" fillId="0" borderId="13" xfId="0" applyFont="1" applyBorder="1"/>
    <xf numFmtId="0" fontId="5" fillId="0" borderId="13" xfId="0" applyFont="1" applyBorder="1"/>
    <xf numFmtId="0" fontId="11" fillId="0" borderId="13" xfId="0" applyFont="1" applyBorder="1"/>
    <xf numFmtId="0" fontId="5" fillId="0" borderId="13" xfId="0" applyFont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6" formatCode="0.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'OLD_Revised Cash Flows'!$H$6:$AB$6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'OLD_Revised Cash Flows'!$H$30:$AB$30</c:f>
              <c:numCache>
                <c:formatCode>0.00E+00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92-4E70-B709-D12365A33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119631"/>
        <c:axId val="1092109071"/>
      </c:scatterChart>
      <c:valAx>
        <c:axId val="10921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109071"/>
        <c:crosses val="autoZero"/>
        <c:crossBetween val="midCat"/>
      </c:valAx>
      <c:valAx>
        <c:axId val="109210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Cumulative DCF</a:t>
                </a:r>
                <a:r>
                  <a:rPr lang="en-US" baseline="0"/>
                  <a:t>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119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'OLD_Revised Cash Flows'!$H$6:$AB$6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'OLD_Revised Cash Flows'!$H$29:$AB$29</c:f>
              <c:numCache>
                <c:formatCode>0.00E+00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32-4029-BCEF-11AC4898E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119631"/>
        <c:axId val="1092109071"/>
      </c:scatterChart>
      <c:valAx>
        <c:axId val="10921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109071"/>
        <c:crosses val="autoZero"/>
        <c:crossBetween val="midCat"/>
      </c:valAx>
      <c:valAx>
        <c:axId val="109210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Discounted Cash Flows 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119631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  <a:prstDash val="sysDot"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ysDot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'OLD_Revised Cash Flows'!$H$6:$AB$6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'OLD_Revised Cash Flows'!$H$26:$AB$26</c:f>
              <c:numCache>
                <c:formatCode>0.00E+00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46-4E0D-8ED9-001916CF8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119631"/>
        <c:axId val="1092109071"/>
      </c:scatterChart>
      <c:valAx>
        <c:axId val="10921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109071"/>
        <c:crosses val="autoZero"/>
        <c:crossBetween val="midCat"/>
      </c:valAx>
      <c:valAx>
        <c:axId val="109210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Cash Flows 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119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Tax Rate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'OLD_Sensitivity Analysis'!$J$8:$T$8</c:f>
              <c:numCache>
                <c:formatCode>General</c:formatCode>
                <c:ptCount val="11"/>
                <c:pt idx="0">
                  <c:v>-0.5</c:v>
                </c:pt>
                <c:pt idx="1">
                  <c:v>-0.30000000000000004</c:v>
                </c:pt>
                <c:pt idx="2">
                  <c:v>-9.9999999999999978E-2</c:v>
                </c:pt>
                <c:pt idx="3">
                  <c:v>0.10000000000000009</c:v>
                </c:pt>
                <c:pt idx="4">
                  <c:v>0.30000000000000004</c:v>
                </c:pt>
                <c:pt idx="5">
                  <c:v>0.5</c:v>
                </c:pt>
              </c:numCache>
            </c:numRef>
          </c:xVal>
          <c:yVal>
            <c:numRef>
              <c:f>'OLD_Sensitivity Analysis'!$J$9:$T$9</c:f>
              <c:numCache>
                <c:formatCode>General</c:formatCode>
                <c:ptCount val="11"/>
                <c:pt idx="0">
                  <c:v>15407192.1995</c:v>
                </c:pt>
                <c:pt idx="1">
                  <c:v>13314466.5868</c:v>
                </c:pt>
                <c:pt idx="2">
                  <c:v>11221740.974199999</c:v>
                </c:pt>
                <c:pt idx="3">
                  <c:v>9129015.3615000006</c:v>
                </c:pt>
                <c:pt idx="4">
                  <c:v>7036289.7488000002</c:v>
                </c:pt>
                <c:pt idx="5">
                  <c:v>4943564.1360999998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0-497C-ADC6-D65BD52EC4B9}"/>
            </c:ext>
          </c:extLst>
        </c:ser>
        <c:ser>
          <c:idx val="1"/>
          <c:order val="1"/>
          <c:tx>
            <c:v>Prod. Escalation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'OLD_Sensitivity Analysis'!$J$10:$T$10</c:f>
              <c:numCache>
                <c:formatCode>General</c:formatCode>
                <c:ptCount val="11"/>
                <c:pt idx="0">
                  <c:v>-0.5</c:v>
                </c:pt>
                <c:pt idx="1">
                  <c:v>-0.30000000000000004</c:v>
                </c:pt>
                <c:pt idx="2">
                  <c:v>-9.9999999999999978E-2</c:v>
                </c:pt>
                <c:pt idx="3">
                  <c:v>0.10000000000000009</c:v>
                </c:pt>
                <c:pt idx="4">
                  <c:v>0.30000000000000004</c:v>
                </c:pt>
                <c:pt idx="5">
                  <c:v>0.5</c:v>
                </c:pt>
              </c:numCache>
            </c:numRef>
          </c:xVal>
          <c:yVal>
            <c:numRef>
              <c:f>'OLD_Sensitivity Analysis'!$J$11:$T$11</c:f>
              <c:numCache>
                <c:formatCode>General</c:formatCode>
                <c:ptCount val="11"/>
                <c:pt idx="0">
                  <c:v>-12711680.723300001</c:v>
                </c:pt>
                <c:pt idx="1">
                  <c:v>-3428099.3406000002</c:v>
                </c:pt>
                <c:pt idx="2">
                  <c:v>5490628.7004000004</c:v>
                </c:pt>
                <c:pt idx="3">
                  <c:v>15017850.6274</c:v>
                </c:pt>
                <c:pt idx="4">
                  <c:v>25199651.900600001</c:v>
                </c:pt>
                <c:pt idx="5">
                  <c:v>36085686.409299999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0-497C-ADC6-D65BD52EC4B9}"/>
            </c:ext>
          </c:extLst>
        </c:ser>
        <c:ser>
          <c:idx val="2"/>
          <c:order val="2"/>
          <c:tx>
            <c:v>Utilities Escalation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'OLD_Sensitivity Analysis'!$J$12:$T$12</c:f>
              <c:numCache>
                <c:formatCode>General</c:formatCode>
                <c:ptCount val="11"/>
                <c:pt idx="0">
                  <c:v>-0.5</c:v>
                </c:pt>
                <c:pt idx="1">
                  <c:v>-0.30000000000000004</c:v>
                </c:pt>
                <c:pt idx="2">
                  <c:v>-9.9999999999999978E-2</c:v>
                </c:pt>
                <c:pt idx="3">
                  <c:v>0.10000000000000009</c:v>
                </c:pt>
                <c:pt idx="4">
                  <c:v>0.30000000000000004</c:v>
                </c:pt>
                <c:pt idx="5">
                  <c:v>0.5</c:v>
                </c:pt>
              </c:numCache>
            </c:numRef>
          </c:xVal>
          <c:yVal>
            <c:numRef>
              <c:f>'OLD_Sensitivity Analysis'!$J$13:$T$13</c:f>
              <c:numCache>
                <c:formatCode>General</c:formatCode>
                <c:ptCount val="11"/>
                <c:pt idx="0">
                  <c:v>17354133.524099998</c:v>
                </c:pt>
                <c:pt idx="1">
                  <c:v>14611238.0451</c:v>
                </c:pt>
                <c:pt idx="2">
                  <c:v>11698786.636299999</c:v>
                </c:pt>
                <c:pt idx="3">
                  <c:v>8605162.0874000005</c:v>
                </c:pt>
                <c:pt idx="4">
                  <c:v>5317935.0785999997</c:v>
                </c:pt>
                <c:pt idx="5">
                  <c:v>1823808.4987000001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70-497C-ADC6-D65BD52EC4B9}"/>
            </c:ext>
          </c:extLst>
        </c:ser>
        <c:ser>
          <c:idx val="3"/>
          <c:order val="3"/>
          <c:tx>
            <c:v>Electricity Cost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'OLD_Sensitivity Analysis'!$J$14:$T$14</c:f>
              <c:numCache>
                <c:formatCode>General</c:formatCode>
                <c:ptCount val="11"/>
                <c:pt idx="0">
                  <c:v>-0.5</c:v>
                </c:pt>
                <c:pt idx="1">
                  <c:v>-0.30000000000000004</c:v>
                </c:pt>
                <c:pt idx="2">
                  <c:v>-9.9999999999999978E-2</c:v>
                </c:pt>
                <c:pt idx="3">
                  <c:v>0.10000000000000009</c:v>
                </c:pt>
                <c:pt idx="4">
                  <c:v>0.30000000000000004</c:v>
                </c:pt>
                <c:pt idx="5">
                  <c:v>0.5</c:v>
                </c:pt>
              </c:numCache>
            </c:numRef>
          </c:xVal>
          <c:yVal>
            <c:numRef>
              <c:f>'OLD_Sensitivity Analysis'!$J$15:$T$15</c:f>
              <c:numCache>
                <c:formatCode>General</c:formatCode>
                <c:ptCount val="11"/>
                <c:pt idx="0">
                  <c:v>41336463.571999997</c:v>
                </c:pt>
                <c:pt idx="1">
                  <c:v>28872029.410300002</c:v>
                </c:pt>
                <c:pt idx="2">
                  <c:v>16407595.248600001</c:v>
                </c:pt>
                <c:pt idx="3">
                  <c:v>3943161.0869999998</c:v>
                </c:pt>
                <c:pt idx="4">
                  <c:v>-8521273.0746999998</c:v>
                </c:pt>
                <c:pt idx="5">
                  <c:v>-22700472.773200002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70-497C-ADC6-D65BD52EC4B9}"/>
            </c:ext>
          </c:extLst>
        </c:ser>
        <c:ser>
          <c:idx val="4"/>
          <c:order val="4"/>
          <c:tx>
            <c:v>Ammonia Sellling Price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'OLD_Sensitivity Analysis'!$J$16:$T$16</c:f>
              <c:numCache>
                <c:formatCode>General</c:formatCode>
                <c:ptCount val="11"/>
                <c:pt idx="0">
                  <c:v>-0.5</c:v>
                </c:pt>
                <c:pt idx="1">
                  <c:v>-0.30000000000000004</c:v>
                </c:pt>
                <c:pt idx="2">
                  <c:v>-9.9999999999999978E-2</c:v>
                </c:pt>
                <c:pt idx="3">
                  <c:v>0.10000000000000009</c:v>
                </c:pt>
                <c:pt idx="4">
                  <c:v>0.30000000000000004</c:v>
                </c:pt>
                <c:pt idx="5">
                  <c:v>0.5</c:v>
                </c:pt>
              </c:numCache>
            </c:numRef>
          </c:xVal>
          <c:yVal>
            <c:numRef>
              <c:f>'OLD_Sensitivity Analysis'!$J$17:$T$17</c:f>
              <c:numCache>
                <c:formatCode>General</c:formatCode>
                <c:ptCount val="11"/>
                <c:pt idx="0">
                  <c:v>-96247227.2711</c:v>
                </c:pt>
                <c:pt idx="1">
                  <c:v>-49492733.870200001</c:v>
                </c:pt>
                <c:pt idx="2">
                  <c:v>-6632862.2098000003</c:v>
                </c:pt>
                <c:pt idx="3">
                  <c:v>26983618.545400001</c:v>
                </c:pt>
                <c:pt idx="4">
                  <c:v>60600099.300700001</c:v>
                </c:pt>
                <c:pt idx="5">
                  <c:v>94216580.055999994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70-497C-ADC6-D65BD52EC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0929439"/>
        <c:axId val="1410921759"/>
      </c:scatterChart>
      <c:valAx>
        <c:axId val="14109294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Variation from Base</a:t>
                </a:r>
                <a:r>
                  <a:rPr lang="en-US" baseline="0"/>
                  <a:t>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921759"/>
        <c:crosses val="autoZero"/>
        <c:crossBetween val="midCat"/>
      </c:valAx>
      <c:valAx>
        <c:axId val="141092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</a:t>
                </a:r>
                <a:r>
                  <a:rPr lang="en-US" baseline="0"/>
                  <a:t> (Million USD)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929439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32688</xdr:colOff>
      <xdr:row>2</xdr:row>
      <xdr:rowOff>46383</xdr:rowOff>
    </xdr:from>
    <xdr:to>
      <xdr:col>13</xdr:col>
      <xdr:colOff>351458</xdr:colOff>
      <xdr:row>9</xdr:row>
      <xdr:rowOff>85752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D26F622-46C0-D0C1-7B88-794A608A4C15}"/>
            </a:ext>
          </a:extLst>
        </xdr:cNvPr>
        <xdr:cNvSpPr txBox="1"/>
      </xdr:nvSpPr>
      <xdr:spPr>
        <a:xfrm>
          <a:off x="11535575" y="377687"/>
          <a:ext cx="3433031" cy="11989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</a:t>
          </a:r>
          <a:r>
            <a:rPr lang="en-US" sz="1100" baseline="0"/>
            <a:t> the operating and maintenance (O&amp;M) cost is unknown, assume 3-7% of the installed equipment (ISBL) cost.</a:t>
          </a:r>
        </a:p>
        <a:p>
          <a:endParaRPr lang="en-US" sz="1100" baseline="0"/>
        </a:p>
        <a:p>
          <a:r>
            <a:rPr lang="en-US" sz="1100" baseline="0"/>
            <a:t>Add any additional annualized maintenance costs to this. Ex: Solid catalyst/adsorbent replenishment, valve tray replacement, etc.</a:t>
          </a:r>
        </a:p>
      </xdr:txBody>
    </xdr:sp>
    <xdr:clientData/>
  </xdr:twoCellAnchor>
  <xdr:twoCellAnchor>
    <xdr:from>
      <xdr:col>8</xdr:col>
      <xdr:colOff>32524</xdr:colOff>
      <xdr:row>11</xdr:row>
      <xdr:rowOff>118497</xdr:rowOff>
    </xdr:from>
    <xdr:to>
      <xdr:col>14</xdr:col>
      <xdr:colOff>6626</xdr:colOff>
      <xdr:row>29</xdr:row>
      <xdr:rowOff>42297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7091DB3-347F-982B-486C-39DB823ABF6D}"/>
            </a:ext>
          </a:extLst>
        </xdr:cNvPr>
        <xdr:cNvSpPr txBox="1"/>
      </xdr:nvSpPr>
      <xdr:spPr>
        <a:xfrm>
          <a:off x="11535411" y="1940671"/>
          <a:ext cx="3711215" cy="29055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ALL</a:t>
          </a:r>
          <a:r>
            <a:rPr lang="en-US" sz="1100" baseline="0"/>
            <a:t> costs must be in 2025 or later USD</a:t>
          </a:r>
        </a:p>
        <a:p>
          <a:r>
            <a:rPr lang="en-US" sz="1100" baseline="0"/>
            <a:t>(CEPCI in 2025 = 800)</a:t>
          </a:r>
        </a:p>
        <a:p>
          <a:endParaRPr lang="en-US" sz="1100" baseline="0"/>
        </a:p>
        <a:p>
          <a:r>
            <a:rPr lang="en-US" sz="1100" baseline="0"/>
            <a:t>You MUST give a </a:t>
          </a:r>
          <a:r>
            <a:rPr lang="en-US" sz="1100" baseline="0">
              <a:solidFill>
                <a:srgbClr val="FF0000"/>
              </a:solidFill>
            </a:rPr>
            <a:t>lifespan</a:t>
          </a:r>
          <a:r>
            <a:rPr lang="en-US" sz="1100" baseline="0"/>
            <a:t>/how often the equipment needs to be replaced</a:t>
          </a:r>
        </a:p>
        <a:p>
          <a:endParaRPr lang="en-US" sz="1100" baseline="0"/>
        </a:p>
        <a:p>
          <a:r>
            <a:rPr lang="en-US" sz="1100" baseline="0"/>
            <a:t>Any other cash flows should be noted and explained</a:t>
          </a:r>
        </a:p>
        <a:p>
          <a:endParaRPr lang="en-US" sz="1100" baseline="0"/>
        </a:p>
        <a:p>
          <a:r>
            <a:rPr lang="en-US" sz="1100" baseline="0"/>
            <a:t>Utilities ID's:</a:t>
          </a:r>
        </a:p>
        <a:p>
          <a:r>
            <a:rPr lang="en-US" sz="1100" baseline="0"/>
            <a:t>0 - None</a:t>
          </a:r>
        </a:p>
        <a:p>
          <a:r>
            <a:rPr lang="en-US" sz="1100" baseline="0"/>
            <a:t>1 - Electricity [kW]</a:t>
          </a:r>
        </a:p>
        <a:p>
          <a:r>
            <a:rPr lang="en-US" sz="1100" baseline="0"/>
            <a:t>2 - Water/Cooling water [kg/hr]</a:t>
          </a:r>
        </a:p>
        <a:p>
          <a:r>
            <a:rPr lang="en-US" sz="1100" baseline="0"/>
            <a:t>3 - Natural Gas [m</a:t>
          </a:r>
          <a:r>
            <a:rPr lang="en-US" sz="1100" baseline="30000"/>
            <a:t>3</a:t>
          </a:r>
          <a:r>
            <a:rPr lang="en-US" sz="1100" baseline="0"/>
            <a:t>/hr]</a:t>
          </a:r>
        </a:p>
        <a:p>
          <a:r>
            <a:rPr lang="en-US" sz="1100" baseline="0"/>
            <a:t>4 - LP Steam [kW]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(If steam is generated, report as negative) </a:t>
          </a:r>
          <a:endParaRPr lang="en-US" sz="1100" baseline="0"/>
        </a:p>
        <a:p>
          <a:r>
            <a:rPr lang="en-US" sz="1100" baseline="0"/>
            <a:t>5 - HP Steam [kW] (If steam is generated, report as negative)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92710</xdr:colOff>
      <xdr:row>2</xdr:row>
      <xdr:rowOff>143348</xdr:rowOff>
    </xdr:from>
    <xdr:to>
      <xdr:col>11</xdr:col>
      <xdr:colOff>533590</xdr:colOff>
      <xdr:row>18</xdr:row>
      <xdr:rowOff>60046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E6EB86-B198-C954-7D64-17CEE17F9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73970" y="478628"/>
          <a:ext cx="3488880" cy="259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364068</xdr:colOff>
      <xdr:row>36</xdr:row>
      <xdr:rowOff>110065</xdr:rowOff>
    </xdr:from>
    <xdr:to>
      <xdr:col>26</xdr:col>
      <xdr:colOff>254002</xdr:colOff>
      <xdr:row>51</xdr:row>
      <xdr:rowOff>67732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11B939-2413-86A3-6D40-A96A46198FE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93133</xdr:colOff>
      <xdr:row>36</xdr:row>
      <xdr:rowOff>76200</xdr:rowOff>
    </xdr:from>
    <xdr:to>
      <xdr:col>18</xdr:col>
      <xdr:colOff>651933</xdr:colOff>
      <xdr:row>51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2528B49-82E1-448E-9951-380B1940EED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110064</xdr:colOff>
      <xdr:row>36</xdr:row>
      <xdr:rowOff>110068</xdr:rowOff>
    </xdr:from>
    <xdr:to>
      <xdr:col>11</xdr:col>
      <xdr:colOff>304798</xdr:colOff>
      <xdr:row>51</xdr:row>
      <xdr:rowOff>67735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DFF9CC-7B24-476A-B0FD-E17B83AA74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0</xdr:row>
          <xdr:rowOff>160020</xdr:rowOff>
        </xdr:from>
        <xdr:to>
          <xdr:col>12</xdr:col>
          <xdr:colOff>190500</xdr:colOff>
          <xdr:row>4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Sensitivity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153670</xdr:colOff>
      <xdr:row>18</xdr:row>
      <xdr:rowOff>35560</xdr:rowOff>
    </xdr:from>
    <xdr:to>
      <xdr:col>14</xdr:col>
      <xdr:colOff>458470</xdr:colOff>
      <xdr:row>33</xdr:row>
      <xdr:rowOff>35560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A7A54F-4AEC-7C82-1897-EF7E1E188D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317500</xdr:colOff>
      <xdr:row>0</xdr:row>
      <xdr:rowOff>143510</xdr:rowOff>
    </xdr:from>
    <xdr:to>
      <xdr:col>12</xdr:col>
      <xdr:colOff>609600</xdr:colOff>
      <xdr:row>14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401ED68-4523-4A69-914E-9228F1A06702}"/>
            </a:ext>
          </a:extLst>
        </xdr:cNvPr>
        <xdr:cNvSpPr txBox="1"/>
      </xdr:nvSpPr>
      <xdr:spPr>
        <a:xfrm>
          <a:off x="11023600" y="143510"/>
          <a:ext cx="3416300" cy="2355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Include</a:t>
          </a:r>
          <a:r>
            <a:rPr lang="en-US" sz="1100" baseline="0"/>
            <a:t> all piping costs, solids transport cost</a:t>
          </a:r>
        </a:p>
        <a:p>
          <a:endParaRPr lang="en-US" sz="1100" baseline="0"/>
        </a:p>
        <a:p>
          <a:r>
            <a:rPr lang="en-US" sz="1100" baseline="0"/>
            <a:t>Do NOT include pump or compressors, this is factor in the equipments tab </a:t>
          </a:r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ALL</a:t>
          </a:r>
          <a:r>
            <a:rPr lang="en-US" sz="1100" baseline="0"/>
            <a:t> costs must be in 2025 or later USD</a:t>
          </a:r>
        </a:p>
        <a:p>
          <a:r>
            <a:rPr lang="en-US" sz="1100" baseline="0"/>
            <a:t>(CEPCI in 2025 = 800)</a:t>
          </a:r>
        </a:p>
        <a:p>
          <a:endParaRPr lang="en-US" sz="1100" baseline="0"/>
        </a:p>
        <a:p>
          <a:r>
            <a:rPr lang="en-US" sz="1100" baseline="0"/>
            <a:t>You MUST give a lifespan/how often the equipment needs to be replaced</a:t>
          </a:r>
        </a:p>
        <a:p>
          <a:endParaRPr lang="en-US" sz="1100" baseline="0"/>
        </a:p>
        <a:p>
          <a:r>
            <a:rPr lang="en-US" sz="1100" baseline="0"/>
            <a:t>Any other cash flows should be noted and explained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901700</xdr:colOff>
      <xdr:row>33</xdr:row>
      <xdr:rowOff>17780</xdr:rowOff>
    </xdr:from>
    <xdr:to>
      <xdr:col>2</xdr:col>
      <xdr:colOff>883920</xdr:colOff>
      <xdr:row>41</xdr:row>
      <xdr:rowOff>19050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E06D1AFF-FCB6-01BB-98FC-412664ED599F}"/>
            </a:ext>
          </a:extLst>
        </xdr:cNvPr>
        <xdr:cNvSpPr txBox="1"/>
      </xdr:nvSpPr>
      <xdr:spPr>
        <a:xfrm>
          <a:off x="901700" y="5999480"/>
          <a:ext cx="2877820" cy="13220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All</a:t>
          </a:r>
          <a:r>
            <a:rPr lang="en-US" sz="1100" baseline="0"/>
            <a:t> labor costs. Copy from other Excel.  </a:t>
          </a:r>
        </a:p>
        <a:p>
          <a:endParaRPr lang="en-US" sz="1100" baseline="0"/>
        </a:p>
        <a:p>
          <a:r>
            <a:rPr lang="en-US" sz="1100" baseline="0"/>
            <a:t>NOTE FORMATTING!!!</a:t>
          </a:r>
        </a:p>
        <a:p>
          <a:endParaRPr lang="en-US" sz="1100" baseline="0"/>
        </a:p>
        <a:p>
          <a:r>
            <a:rPr lang="en-US" sz="1100" baseline="0">
              <a:solidFill>
                <a:srgbClr val="FF0000"/>
              </a:solidFill>
            </a:rPr>
            <a:t>LABEL operational staff = 1, other staff = 0.</a:t>
          </a:r>
        </a:p>
        <a:p>
          <a:endParaRPr lang="en-US" sz="1100" baseline="0">
            <a:solidFill>
              <a:srgbClr val="FF0000"/>
            </a:solidFill>
          </a:endParaRPr>
        </a:p>
        <a:p>
          <a:r>
            <a:rPr lang="en-US" sz="1100" baseline="0">
              <a:solidFill>
                <a:srgbClr val="FF0000"/>
              </a:solidFill>
            </a:rPr>
            <a:t>DO NOT PUT DASHES!!! FILL BLANKS WITH 0!!!</a:t>
          </a:r>
        </a:p>
        <a:p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480060</xdr:colOff>
      <xdr:row>2</xdr:row>
      <xdr:rowOff>82550</xdr:rowOff>
    </xdr:from>
    <xdr:to>
      <xdr:col>13</xdr:col>
      <xdr:colOff>219710</xdr:colOff>
      <xdr:row>12</xdr:row>
      <xdr:rowOff>99060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AB2F37FF-B255-6D4B-FB7D-CEED9288BFE8}"/>
            </a:ext>
          </a:extLst>
        </xdr:cNvPr>
        <xdr:cNvSpPr txBox="1"/>
      </xdr:nvSpPr>
      <xdr:spPr>
        <a:xfrm>
          <a:off x="10614660" y="450850"/>
          <a:ext cx="3397250" cy="18580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Utilities ID's: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1 - Electricity [USD/kWh]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2 - Water/Cooling water [USD/kg]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3 - Natural Gas [USD/m</a:t>
          </a:r>
          <a:r>
            <a:rPr lang="en-US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</a:p>
        <a:p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4 - LP Steam [USD/kW] </a:t>
          </a:r>
          <a:r>
            <a:rPr lang="en-US" sz="1100" u="non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(Cost will be auto calculated)</a:t>
          </a:r>
          <a:endParaRPr lang="en-US" u="none">
            <a:solidFill>
              <a:srgbClr val="FF0000"/>
            </a:solidFill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5 - HP Steam [USD/kW] </a:t>
          </a:r>
          <a:r>
            <a:rPr lang="en-US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(Cost will be auto calculated)</a:t>
          </a:r>
          <a:endParaRPr lang="en-US">
            <a:solidFill>
              <a:srgbClr val="FF0000"/>
            </a:solidFill>
            <a:effectLst/>
          </a:endParaRPr>
        </a:p>
        <a:p>
          <a:r>
            <a:rPr lang="en-US">
              <a:effectLst/>
            </a:rPr>
            <a:t> </a:t>
          </a:r>
        </a:p>
        <a:p>
          <a:r>
            <a:rPr lang="en-US">
              <a:solidFill>
                <a:srgbClr val="FF0000"/>
              </a:solidFill>
              <a:effectLst/>
            </a:rPr>
            <a:t>Units Bought + Cost will be auto calculated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594360</xdr:colOff>
      <xdr:row>2</xdr:row>
      <xdr:rowOff>106680</xdr:rowOff>
    </xdr:from>
    <xdr:to>
      <xdr:col>16</xdr:col>
      <xdr:colOff>7620</xdr:colOff>
      <xdr:row>11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DE3BD92-15B2-4B61-A8F8-DB644E074086}"/>
            </a:ext>
          </a:extLst>
        </xdr:cNvPr>
        <xdr:cNvSpPr txBox="1"/>
      </xdr:nvSpPr>
      <xdr:spPr>
        <a:xfrm>
          <a:off x="10675620" y="472440"/>
          <a:ext cx="4899660" cy="15392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Include</a:t>
          </a:r>
          <a:r>
            <a:rPr lang="en-US" sz="1100" baseline="0"/>
            <a:t> (but not limited to): </a:t>
          </a:r>
        </a:p>
        <a:p>
          <a:endParaRPr lang="en-US" sz="1100" baseline="0"/>
        </a:p>
        <a:p>
          <a:r>
            <a:rPr lang="en-US" sz="1100" baseline="0"/>
            <a:t>- Permits</a:t>
          </a:r>
        </a:p>
        <a:p>
          <a:r>
            <a:rPr lang="en-US" sz="1100" baseline="0"/>
            <a:t>- Waste treatment</a:t>
          </a:r>
        </a:p>
        <a:p>
          <a:r>
            <a:rPr lang="en-US" sz="1100" baseline="0"/>
            <a:t>- Inspection</a:t>
          </a:r>
        </a:p>
        <a:p>
          <a:r>
            <a:rPr lang="en-US" sz="1100" baseline="0"/>
            <a:t>- PPE</a:t>
          </a:r>
        </a:p>
        <a:p>
          <a:r>
            <a:rPr lang="en-US" sz="1100" baseline="0"/>
            <a:t>- Training (not sure if this is already factored in labor?)</a:t>
          </a:r>
        </a:p>
        <a:p>
          <a:r>
            <a:rPr lang="en-US" sz="1100" baseline="0"/>
            <a:t>- Regulatory taxes (Carbon tax, etc.)</a:t>
          </a:r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0</xdr:row>
      <xdr:rowOff>57150</xdr:rowOff>
    </xdr:from>
    <xdr:to>
      <xdr:col>13</xdr:col>
      <xdr:colOff>571500</xdr:colOff>
      <xdr:row>20</xdr:row>
      <xdr:rowOff>66675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FD190AFD-D35C-978A-CD2B-A5D79F928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77550" y="57150"/>
          <a:ext cx="4105275" cy="36671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6816DD-4FEC-4002-8980-A4AD14C4BBB7}" name="Table1" displayName="Table1" ref="A2:C15" totalsRowShown="0" headerRowDxfId="34" dataDxfId="33">
  <autoFilter ref="A2:C15" xr:uid="{D16816DD-4FEC-4002-8980-A4AD14C4BBB7}"/>
  <tableColumns count="3">
    <tableColumn id="1" xr3:uid="{8D13F9E3-991E-4859-B7CA-40277374CFDF}" name="PARAMETER" dataDxfId="32"/>
    <tableColumn id="2" xr3:uid="{CDF6B524-FE15-411F-82D2-13304B932855}" name="UNITS" dataDxfId="31"/>
    <tableColumn id="3" xr3:uid="{CF36BA66-AA53-4B96-9A47-61B3A3E8CCAD}" name="VALUE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E35A3C-BC81-4BC8-A1CB-6FFC6EAEF1FA}" name="Table2" displayName="Table2" ref="A20:C25" totalsRowShown="0" headerRowDxfId="29" dataDxfId="28" tableBorderDxfId="27">
  <autoFilter ref="A20:C25" xr:uid="{28E35A3C-BC81-4BC8-A1CB-6FFC6EAEF1FA}"/>
  <tableColumns count="3">
    <tableColumn id="1" xr3:uid="{92D2189C-525E-4DDA-82C9-806E580D93CA}" name="PARAMETER" dataDxfId="26"/>
    <tableColumn id="2" xr3:uid="{1B34E62F-692D-45E8-AB0D-747165386C95}" name="UNITS" dataDxfId="25"/>
    <tableColumn id="3" xr3:uid="{2C8A2885-AE89-4672-B8F3-9179FD43927D}" name="VALUE" dataDxfId="2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BCCB60-5365-4C61-BA9D-C70F28785FF4}" name="Table6" displayName="Table6" ref="A54:C58" totalsRowShown="0" headerRowDxfId="23" dataDxfId="21" headerRowBorderDxfId="22" tableBorderDxfId="20">
  <autoFilter ref="A54:C58" xr:uid="{64BCCB60-5365-4C61-BA9D-C70F28785FF4}"/>
  <tableColumns count="3">
    <tableColumn id="1" xr3:uid="{8CA44EAC-14B3-44BE-976F-1DCE69C155F5}" name="PARAMETER" dataDxfId="19"/>
    <tableColumn id="2" xr3:uid="{D15C2D6E-17DF-4545-A583-5F972369D952}" name="UNITS" dataDxfId="18"/>
    <tableColumn id="3" xr3:uid="{E7CAD419-62F9-4586-9267-8B2E9D1CAC26}" name="VALUE" dataDxfId="17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F48223-566A-42A3-93A7-E1A9298638AC}" name="Table4" displayName="Table4" ref="A63:C68" totalsRowShown="0" headerRowDxfId="16" headerRowBorderDxfId="15" tableBorderDxfId="14" totalsRowBorderDxfId="13">
  <autoFilter ref="A63:C68" xr:uid="{CFF48223-566A-42A3-93A7-E1A9298638AC}"/>
  <tableColumns count="3">
    <tableColumn id="1" xr3:uid="{867D63AA-EC12-4120-97BD-C6CB851C6EED}" name="PARAMETER" dataDxfId="12"/>
    <tableColumn id="2" xr3:uid="{28879733-EF52-46D3-9CC4-46C1A2237BE5}" name="UNITS" dataDxfId="11"/>
    <tableColumn id="3" xr3:uid="{5E0A0C94-66F7-4EE1-AD70-17058D4CFECF}" name="VALUE" dataDxfId="10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B010CF7-E43B-4346-BA6A-3DC4C8A13A3F}" name="Table9" displayName="Table9" ref="B6:F21" totalsRowShown="0" headerRowDxfId="9" dataDxfId="7" headerRowBorderDxfId="8" tableBorderDxfId="6" totalsRowBorderDxfId="5">
  <autoFilter ref="B6:F21" xr:uid="{AB010CF7-E43B-4346-BA6A-3DC4C8A13A3F}"/>
  <tableColumns count="5">
    <tableColumn id="1" xr3:uid="{97D2E55C-F84E-46A9-92F8-B5FE2E74B534}" name="COUNT" dataDxfId="4">
      <calculatedColumnFormula>IF(C7&lt;&gt;"",B6+1,"")</calculatedColumnFormula>
    </tableColumn>
    <tableColumn id="2" xr3:uid="{D8BFD327-BB36-4336-ACB5-C0715582D17C}" name="VARIABLE" dataDxfId="3"/>
    <tableColumn id="3" xr3:uid="{0D7A5936-4200-4409-84B1-68C0816CCF8B}" name="LOWER (%)" dataDxfId="2"/>
    <tableColumn id="4" xr3:uid="{576DFD7A-DF59-4157-928A-1BE927B2FB2F}" name="UPPER (%)" dataDxfId="1"/>
    <tableColumn id="5" xr3:uid="{B24D2652-CCC8-45FB-B5E2-167EB3455FC2}" name="STEP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1C3114B-1903-412F-BC73-FF6160F01368}">
  <we:reference id="WA200007447" version="1.0.0.0" store="Omex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3C86F-2262-4003-870D-1AD442E01500}">
  <sheetPr codeName="Sheet1"/>
  <dimension ref="A1:J497"/>
  <sheetViews>
    <sheetView tabSelected="1" zoomScale="94" workbookViewId="0">
      <selection activeCell="E55" sqref="E55"/>
    </sheetView>
  </sheetViews>
  <sheetFormatPr defaultColWidth="8.88671875" defaultRowHeight="13.8" x14ac:dyDescent="0.3"/>
  <cols>
    <col min="1" max="8" width="20.6640625" style="21" customWidth="1"/>
    <col min="9" max="16384" width="8.88671875" style="21"/>
  </cols>
  <sheetData>
    <row r="1" spans="1:9" x14ac:dyDescent="0.3">
      <c r="A1" s="50" t="s">
        <v>0</v>
      </c>
      <c r="B1" s="50" t="s">
        <v>1</v>
      </c>
      <c r="C1" s="50" t="s">
        <v>2</v>
      </c>
      <c r="D1" s="50" t="s">
        <v>3</v>
      </c>
      <c r="E1" s="50" t="s">
        <v>4</v>
      </c>
      <c r="F1" s="50" t="s">
        <v>5</v>
      </c>
      <c r="G1" s="50" t="s">
        <v>6</v>
      </c>
      <c r="H1" s="50" t="s">
        <v>7</v>
      </c>
    </row>
    <row r="2" spans="1:9" x14ac:dyDescent="0.3">
      <c r="A2" s="51" t="s">
        <v>8</v>
      </c>
      <c r="B2" s="31">
        <v>23051.223510445769</v>
      </c>
      <c r="C2" s="52">
        <v>118629.3364916365</v>
      </c>
      <c r="D2" s="52">
        <v>11542.930483827433</v>
      </c>
      <c r="E2" s="74">
        <v>0</v>
      </c>
      <c r="F2" s="52">
        <v>0</v>
      </c>
      <c r="G2" s="22">
        <v>25</v>
      </c>
      <c r="H2" s="22"/>
      <c r="I2" s="65"/>
    </row>
    <row r="3" spans="1:9" x14ac:dyDescent="0.3">
      <c r="A3" s="51" t="s">
        <v>9</v>
      </c>
      <c r="B3" s="31">
        <v>23051.223510445769</v>
      </c>
      <c r="C3" s="52">
        <v>118629.3364916365</v>
      </c>
      <c r="D3" s="52">
        <v>11542.930483827433</v>
      </c>
      <c r="E3" s="74">
        <v>0</v>
      </c>
      <c r="F3" s="52">
        <v>0</v>
      </c>
      <c r="G3" s="22">
        <v>25</v>
      </c>
      <c r="H3" s="22"/>
    </row>
    <row r="4" spans="1:9" x14ac:dyDescent="0.3">
      <c r="A4" s="51" t="s">
        <v>10</v>
      </c>
      <c r="B4" s="31">
        <v>25606.173941192406</v>
      </c>
      <c r="C4" s="31">
        <v>101211.6376291104</v>
      </c>
      <c r="D4" s="52">
        <v>7420.2714347836682</v>
      </c>
      <c r="E4" s="74">
        <v>0.75</v>
      </c>
      <c r="F4" s="52">
        <v>1</v>
      </c>
      <c r="G4" s="22">
        <v>25</v>
      </c>
      <c r="H4" s="22"/>
    </row>
    <row r="5" spans="1:9" x14ac:dyDescent="0.3">
      <c r="A5" s="51" t="s">
        <v>11</v>
      </c>
      <c r="B5" s="31">
        <v>24960.450441965451</v>
      </c>
      <c r="C5" s="31">
        <v>99522.249736234284</v>
      </c>
      <c r="D5" s="52">
        <v>7302.0142822823409</v>
      </c>
      <c r="E5" s="74">
        <v>0.8</v>
      </c>
      <c r="F5" s="52">
        <v>1</v>
      </c>
      <c r="G5" s="22">
        <v>25</v>
      </c>
      <c r="H5" s="22"/>
    </row>
    <row r="6" spans="1:9" x14ac:dyDescent="0.3">
      <c r="A6" s="51" t="s">
        <v>12</v>
      </c>
      <c r="B6" s="31">
        <v>26240.938903088485</v>
      </c>
      <c r="C6" s="31">
        <v>102053.48585320394</v>
      </c>
      <c r="D6" s="52">
        <v>7479.2008104702163</v>
      </c>
      <c r="E6" s="74">
        <v>0</v>
      </c>
      <c r="F6" s="52">
        <v>0</v>
      </c>
      <c r="G6" s="22">
        <v>25</v>
      </c>
      <c r="H6" s="22"/>
    </row>
    <row r="7" spans="1:9" x14ac:dyDescent="0.3">
      <c r="A7" s="51" t="s">
        <v>13</v>
      </c>
      <c r="B7" s="31">
        <v>24307.031267824026</v>
      </c>
      <c r="C7" s="52">
        <v>99522.249736234284</v>
      </c>
      <c r="D7" s="52">
        <v>7302.0142822823409</v>
      </c>
      <c r="E7" s="74">
        <v>0</v>
      </c>
      <c r="F7" s="52">
        <v>0</v>
      </c>
      <c r="G7" s="22">
        <v>25</v>
      </c>
      <c r="H7" s="22"/>
    </row>
    <row r="8" spans="1:9" x14ac:dyDescent="0.3">
      <c r="A8" s="51" t="s">
        <v>14</v>
      </c>
      <c r="B8" s="31">
        <v>23047.24960689959</v>
      </c>
      <c r="C8" s="52">
        <v>104541.76450383657</v>
      </c>
      <c r="D8" s="52">
        <v>7653.3803160145007</v>
      </c>
      <c r="E8" s="74">
        <v>0</v>
      </c>
      <c r="F8" s="52">
        <v>0</v>
      </c>
      <c r="G8" s="22">
        <v>25</v>
      </c>
      <c r="H8" s="22"/>
    </row>
    <row r="9" spans="1:9" x14ac:dyDescent="0.3">
      <c r="A9" s="51" t="s">
        <v>15</v>
      </c>
      <c r="B9" s="31">
        <v>29931.533623209427</v>
      </c>
      <c r="C9" s="52">
        <v>96960.846573599891</v>
      </c>
      <c r="D9" s="52">
        <v>7122.7160608979329</v>
      </c>
      <c r="E9" s="74">
        <v>0</v>
      </c>
      <c r="F9" s="52">
        <v>0</v>
      </c>
      <c r="G9" s="22">
        <v>25</v>
      </c>
      <c r="H9" s="22"/>
    </row>
    <row r="10" spans="1:9" x14ac:dyDescent="0.3">
      <c r="A10" s="51" t="s">
        <v>16</v>
      </c>
      <c r="B10" s="31">
        <v>20094.349809805339</v>
      </c>
      <c r="C10" s="52">
        <v>115697.19302663596</v>
      </c>
      <c r="D10" s="52">
        <v>8098.8035118645175</v>
      </c>
      <c r="E10" s="74">
        <v>0</v>
      </c>
      <c r="F10" s="52">
        <v>0</v>
      </c>
      <c r="G10" s="22">
        <v>25</v>
      </c>
      <c r="H10" s="22"/>
    </row>
    <row r="11" spans="1:9" x14ac:dyDescent="0.3">
      <c r="A11" s="51" t="s">
        <v>17</v>
      </c>
      <c r="B11" s="31">
        <v>25391.416741168541</v>
      </c>
      <c r="C11" s="52">
        <v>150256.29878851134</v>
      </c>
      <c r="D11" s="52">
        <v>10517.940915195795</v>
      </c>
      <c r="E11" s="74">
        <v>0</v>
      </c>
      <c r="F11" s="52">
        <v>0</v>
      </c>
      <c r="G11" s="22">
        <v>25</v>
      </c>
      <c r="H11" s="22"/>
    </row>
    <row r="12" spans="1:9" x14ac:dyDescent="0.3">
      <c r="A12" s="51" t="s">
        <v>18</v>
      </c>
      <c r="B12" s="31">
        <v>24960.450441965451</v>
      </c>
      <c r="C12" s="52">
        <v>100873.63604522281</v>
      </c>
      <c r="D12" s="52">
        <v>7061.1545231655973</v>
      </c>
      <c r="E12" s="74">
        <v>0</v>
      </c>
      <c r="F12" s="52">
        <v>0</v>
      </c>
      <c r="G12" s="22">
        <v>25</v>
      </c>
      <c r="H12" s="22"/>
    </row>
    <row r="13" spans="1:9" x14ac:dyDescent="0.3">
      <c r="A13" s="51" t="s">
        <v>19</v>
      </c>
      <c r="B13" s="31">
        <v>19923.014716266043</v>
      </c>
      <c r="C13" s="31">
        <v>78098.217687762895</v>
      </c>
      <c r="D13" s="31">
        <v>3904.910884388145</v>
      </c>
      <c r="E13" s="74">
        <v>0</v>
      </c>
      <c r="F13" s="52">
        <v>0</v>
      </c>
      <c r="G13" s="22">
        <v>25</v>
      </c>
      <c r="H13" s="22"/>
    </row>
    <row r="14" spans="1:9" x14ac:dyDescent="0.3">
      <c r="A14" s="51" t="s">
        <v>20</v>
      </c>
      <c r="B14" s="31">
        <v>30652</v>
      </c>
      <c r="C14" s="31">
        <v>107895</v>
      </c>
      <c r="D14" s="31">
        <v>4315</v>
      </c>
      <c r="E14" s="74">
        <v>0</v>
      </c>
      <c r="F14" s="52">
        <v>0</v>
      </c>
      <c r="G14" s="22">
        <v>30</v>
      </c>
      <c r="H14" s="22"/>
    </row>
    <row r="15" spans="1:9" x14ac:dyDescent="0.3">
      <c r="A15" s="51" t="s">
        <v>21</v>
      </c>
      <c r="B15" s="31">
        <v>30652</v>
      </c>
      <c r="C15" s="31">
        <v>107895</v>
      </c>
      <c r="D15" s="31">
        <v>4315</v>
      </c>
      <c r="E15" s="74">
        <v>0</v>
      </c>
      <c r="F15" s="52">
        <v>0</v>
      </c>
      <c r="G15" s="22">
        <v>30</v>
      </c>
      <c r="H15" s="22"/>
    </row>
    <row r="16" spans="1:9" x14ac:dyDescent="0.3">
      <c r="A16" s="51" t="s">
        <v>22</v>
      </c>
      <c r="B16" s="31">
        <v>23962</v>
      </c>
      <c r="C16" s="31">
        <v>84347</v>
      </c>
      <c r="D16" s="31">
        <v>3373</v>
      </c>
      <c r="E16" s="74">
        <v>0</v>
      </c>
      <c r="F16" s="52">
        <v>0</v>
      </c>
      <c r="G16" s="22">
        <v>30</v>
      </c>
      <c r="H16" s="22"/>
    </row>
    <row r="17" spans="1:8" x14ac:dyDescent="0.3">
      <c r="A17" s="51" t="s">
        <v>23</v>
      </c>
      <c r="B17" s="31">
        <v>254993</v>
      </c>
      <c r="C17" s="31">
        <v>897577</v>
      </c>
      <c r="D17" s="31">
        <v>35903</v>
      </c>
      <c r="E17" s="74">
        <v>0</v>
      </c>
      <c r="F17" s="52">
        <v>0</v>
      </c>
      <c r="G17" s="22">
        <v>30</v>
      </c>
      <c r="H17" s="22"/>
    </row>
    <row r="18" spans="1:8" x14ac:dyDescent="0.3">
      <c r="A18" s="51" t="s">
        <v>24</v>
      </c>
      <c r="B18" s="31">
        <v>254993</v>
      </c>
      <c r="C18" s="31">
        <v>897577</v>
      </c>
      <c r="D18" s="31">
        <v>35903</v>
      </c>
      <c r="E18" s="74">
        <v>0</v>
      </c>
      <c r="F18" s="52">
        <v>0</v>
      </c>
      <c r="G18" s="22">
        <v>30</v>
      </c>
      <c r="H18" s="22"/>
    </row>
    <row r="19" spans="1:8" x14ac:dyDescent="0.3">
      <c r="A19" s="51" t="s">
        <v>25</v>
      </c>
      <c r="B19" s="31">
        <v>101699.71590909091</v>
      </c>
      <c r="C19" s="31">
        <v>357983</v>
      </c>
      <c r="D19" s="31">
        <v>14316</v>
      </c>
      <c r="E19" s="74">
        <v>0</v>
      </c>
      <c r="F19" s="52">
        <v>0</v>
      </c>
      <c r="G19" s="22">
        <v>25</v>
      </c>
      <c r="H19" s="22"/>
    </row>
    <row r="20" spans="1:8" x14ac:dyDescent="0.3">
      <c r="A20" s="51" t="s">
        <v>26</v>
      </c>
      <c r="B20" s="31">
        <v>101699.71590909091</v>
      </c>
      <c r="C20" s="31">
        <v>357983</v>
      </c>
      <c r="D20" s="31">
        <v>14316</v>
      </c>
      <c r="E20" s="74">
        <v>0</v>
      </c>
      <c r="F20" s="52">
        <v>0</v>
      </c>
      <c r="G20" s="22">
        <v>25</v>
      </c>
      <c r="H20" s="22"/>
    </row>
    <row r="21" spans="1:8" x14ac:dyDescent="0.3">
      <c r="A21" s="51" t="s">
        <v>27</v>
      </c>
      <c r="B21" s="31">
        <v>101699.71590909091</v>
      </c>
      <c r="C21" s="31">
        <v>357983</v>
      </c>
      <c r="D21" s="31">
        <v>14316</v>
      </c>
      <c r="E21" s="74">
        <v>0</v>
      </c>
      <c r="F21" s="52">
        <v>0</v>
      </c>
      <c r="G21" s="22">
        <v>25</v>
      </c>
      <c r="H21" s="22"/>
    </row>
    <row r="22" spans="1:8" x14ac:dyDescent="0.3">
      <c r="A22" s="51" t="s">
        <v>28</v>
      </c>
      <c r="B22" s="31">
        <v>101699.71590909091</v>
      </c>
      <c r="C22" s="31">
        <v>357983</v>
      </c>
      <c r="D22" s="31">
        <v>14316</v>
      </c>
      <c r="E22" s="74">
        <v>0</v>
      </c>
      <c r="F22" s="52">
        <v>0</v>
      </c>
      <c r="G22" s="22">
        <v>25</v>
      </c>
      <c r="H22" s="22"/>
    </row>
    <row r="23" spans="1:8" x14ac:dyDescent="0.3">
      <c r="A23" s="51" t="s">
        <v>29</v>
      </c>
      <c r="B23" s="31">
        <v>103804.26136363637</v>
      </c>
      <c r="C23" s="31">
        <v>365391</v>
      </c>
      <c r="D23" s="31">
        <v>14615</v>
      </c>
      <c r="E23" s="39">
        <v>0</v>
      </c>
      <c r="F23" s="52">
        <v>0</v>
      </c>
      <c r="G23" s="22">
        <v>25</v>
      </c>
      <c r="H23" s="22"/>
    </row>
    <row r="24" spans="1:8" x14ac:dyDescent="0.3">
      <c r="A24" s="51" t="s">
        <v>30</v>
      </c>
      <c r="B24" s="31">
        <v>103804.26136363637</v>
      </c>
      <c r="C24" s="31">
        <v>365391</v>
      </c>
      <c r="D24" s="31">
        <v>14615</v>
      </c>
      <c r="E24" s="39">
        <v>0</v>
      </c>
      <c r="F24" s="52">
        <v>0</v>
      </c>
      <c r="G24" s="22">
        <v>25</v>
      </c>
      <c r="H24" s="22"/>
    </row>
    <row r="25" spans="1:8" x14ac:dyDescent="0.3">
      <c r="A25" s="51" t="s">
        <v>31</v>
      </c>
      <c r="B25" s="31">
        <v>103804.26136363637</v>
      </c>
      <c r="C25" s="31">
        <v>365391</v>
      </c>
      <c r="D25" s="31">
        <v>14615</v>
      </c>
      <c r="E25" s="39">
        <v>0</v>
      </c>
      <c r="F25" s="52">
        <v>0</v>
      </c>
      <c r="G25" s="22">
        <v>25</v>
      </c>
      <c r="H25" s="22"/>
    </row>
    <row r="26" spans="1:8" x14ac:dyDescent="0.3">
      <c r="A26" s="51" t="s">
        <v>32</v>
      </c>
      <c r="B26" s="31">
        <v>103804.26136363637</v>
      </c>
      <c r="C26" s="31">
        <v>365391</v>
      </c>
      <c r="D26" s="31">
        <v>14615</v>
      </c>
      <c r="E26" s="39">
        <v>0</v>
      </c>
      <c r="F26" s="52">
        <v>0</v>
      </c>
      <c r="G26" s="22">
        <v>25</v>
      </c>
      <c r="H26" s="22"/>
    </row>
    <row r="27" spans="1:8" x14ac:dyDescent="0.3">
      <c r="A27" s="51" t="s">
        <v>33</v>
      </c>
      <c r="B27" s="31">
        <v>92063.352272727279</v>
      </c>
      <c r="C27" s="31">
        <v>324063</v>
      </c>
      <c r="D27" s="31">
        <v>12962</v>
      </c>
      <c r="E27" s="39">
        <v>0</v>
      </c>
      <c r="F27" s="52">
        <v>0</v>
      </c>
      <c r="G27" s="22">
        <v>25</v>
      </c>
      <c r="H27" s="22"/>
    </row>
    <row r="28" spans="1:8" x14ac:dyDescent="0.3">
      <c r="A28" s="51" t="s">
        <v>34</v>
      </c>
      <c r="B28" s="31">
        <v>92063.352272727279</v>
      </c>
      <c r="C28" s="31">
        <v>324063</v>
      </c>
      <c r="D28" s="31">
        <v>12962</v>
      </c>
      <c r="E28" s="39">
        <v>0</v>
      </c>
      <c r="F28" s="52">
        <v>0</v>
      </c>
      <c r="G28" s="22">
        <v>25</v>
      </c>
      <c r="H28" s="22"/>
    </row>
    <row r="29" spans="1:8" x14ac:dyDescent="0.3">
      <c r="A29" s="51" t="s">
        <v>35</v>
      </c>
      <c r="B29" s="31">
        <v>47305</v>
      </c>
      <c r="C29" s="31">
        <v>166513</v>
      </c>
      <c r="D29" s="31">
        <v>6660</v>
      </c>
      <c r="E29" s="39">
        <v>0</v>
      </c>
      <c r="F29" s="52">
        <v>0</v>
      </c>
      <c r="G29" s="22">
        <v>30</v>
      </c>
      <c r="H29" s="22"/>
    </row>
    <row r="30" spans="1:8" x14ac:dyDescent="0.3">
      <c r="A30" s="51" t="s">
        <v>36</v>
      </c>
      <c r="B30" s="31">
        <v>47305</v>
      </c>
      <c r="C30" s="31">
        <v>166513</v>
      </c>
      <c r="D30" s="31">
        <v>6660</v>
      </c>
      <c r="E30" s="39">
        <v>0</v>
      </c>
      <c r="F30" s="52">
        <v>0</v>
      </c>
      <c r="G30" s="22">
        <v>30</v>
      </c>
      <c r="H30" s="22"/>
    </row>
    <row r="31" spans="1:8" x14ac:dyDescent="0.3">
      <c r="A31" s="51" t="s">
        <v>37</v>
      </c>
      <c r="B31" s="31">
        <v>47305</v>
      </c>
      <c r="C31" s="31">
        <v>166513</v>
      </c>
      <c r="D31" s="31">
        <v>6660</v>
      </c>
      <c r="E31" s="39">
        <v>0</v>
      </c>
      <c r="F31" s="52">
        <v>0</v>
      </c>
      <c r="G31" s="22">
        <v>30</v>
      </c>
      <c r="H31" s="22"/>
    </row>
    <row r="32" spans="1:8" x14ac:dyDescent="0.3">
      <c r="A32" s="51" t="s">
        <v>38</v>
      </c>
      <c r="B32" s="31">
        <v>47305</v>
      </c>
      <c r="C32" s="31">
        <v>166513</v>
      </c>
      <c r="D32" s="31">
        <v>6660</v>
      </c>
      <c r="E32" s="39">
        <v>0</v>
      </c>
      <c r="F32" s="52">
        <v>0</v>
      </c>
      <c r="G32" s="22">
        <v>30</v>
      </c>
      <c r="H32" s="22"/>
    </row>
    <row r="33" spans="1:10" x14ac:dyDescent="0.3">
      <c r="A33" s="51" t="s">
        <v>39</v>
      </c>
      <c r="B33" s="31">
        <v>43039.204545454544</v>
      </c>
      <c r="C33" s="31">
        <v>151498</v>
      </c>
      <c r="D33" s="31">
        <v>6059</v>
      </c>
      <c r="E33" s="39">
        <v>0</v>
      </c>
      <c r="F33" s="52">
        <v>0</v>
      </c>
      <c r="G33" s="22">
        <v>20</v>
      </c>
      <c r="H33" s="22"/>
      <c r="J33" s="65"/>
    </row>
    <row r="34" spans="1:10" x14ac:dyDescent="0.3">
      <c r="A34" s="51" t="s">
        <v>40</v>
      </c>
      <c r="B34" s="31">
        <v>26686</v>
      </c>
      <c r="C34" s="31">
        <v>93938</v>
      </c>
      <c r="D34" s="31">
        <v>4460</v>
      </c>
      <c r="E34" s="39">
        <v>1.204</v>
      </c>
      <c r="F34" s="52">
        <v>1</v>
      </c>
      <c r="G34" s="22">
        <v>20</v>
      </c>
      <c r="H34" s="22"/>
    </row>
    <row r="35" spans="1:10" x14ac:dyDescent="0.3">
      <c r="A35" s="51" t="s">
        <v>41</v>
      </c>
      <c r="B35" s="31">
        <v>27251</v>
      </c>
      <c r="C35" s="31">
        <v>101374</v>
      </c>
      <c r="D35" s="31">
        <v>4054</v>
      </c>
      <c r="E35" s="39">
        <v>1.5269999999999999</v>
      </c>
      <c r="F35" s="52">
        <v>1</v>
      </c>
      <c r="G35" s="22">
        <v>20</v>
      </c>
      <c r="H35" s="22"/>
    </row>
    <row r="36" spans="1:10" x14ac:dyDescent="0.3">
      <c r="A36" s="51" t="s">
        <v>42</v>
      </c>
      <c r="B36" s="31">
        <v>36894.602272727272</v>
      </c>
      <c r="C36" s="31">
        <v>91280</v>
      </c>
      <c r="D36" s="31">
        <v>3651</v>
      </c>
      <c r="E36" s="39">
        <v>0</v>
      </c>
      <c r="F36" s="52">
        <v>0</v>
      </c>
      <c r="G36" s="22">
        <v>20</v>
      </c>
      <c r="H36" s="22"/>
    </row>
    <row r="37" spans="1:10" x14ac:dyDescent="0.3">
      <c r="A37" s="51" t="s">
        <v>43</v>
      </c>
      <c r="B37" s="31">
        <v>27350</v>
      </c>
      <c r="C37" s="31">
        <v>96272</v>
      </c>
      <c r="D37" s="31">
        <v>3850</v>
      </c>
      <c r="E37" s="39">
        <v>0</v>
      </c>
      <c r="F37" s="52">
        <v>0</v>
      </c>
      <c r="G37" s="22">
        <v>30</v>
      </c>
      <c r="H37" s="22"/>
    </row>
    <row r="38" spans="1:10" x14ac:dyDescent="0.3">
      <c r="A38" s="51" t="s">
        <v>44</v>
      </c>
      <c r="B38" s="31">
        <v>14933</v>
      </c>
      <c r="C38" s="31">
        <v>52719</v>
      </c>
      <c r="D38" s="31">
        <v>2108</v>
      </c>
      <c r="E38" s="39">
        <v>0</v>
      </c>
      <c r="F38" s="52">
        <v>0</v>
      </c>
      <c r="G38" s="22">
        <v>30</v>
      </c>
      <c r="H38" s="22"/>
    </row>
    <row r="39" spans="1:10" x14ac:dyDescent="0.3">
      <c r="A39" s="51" t="s">
        <v>45</v>
      </c>
      <c r="B39" s="31">
        <v>14977.2</v>
      </c>
      <c r="C39" s="31">
        <v>52719</v>
      </c>
      <c r="D39" s="31">
        <v>2108</v>
      </c>
      <c r="E39" s="39">
        <v>0</v>
      </c>
      <c r="F39" s="52">
        <v>0</v>
      </c>
      <c r="G39" s="22">
        <v>30</v>
      </c>
      <c r="H39" s="22"/>
    </row>
    <row r="40" spans="1:10" x14ac:dyDescent="0.3">
      <c r="A40" s="51" t="s">
        <v>46</v>
      </c>
      <c r="B40" s="31">
        <v>2479.8295454545455</v>
      </c>
      <c r="C40" s="31">
        <v>8729</v>
      </c>
      <c r="D40" s="31">
        <v>349.16</v>
      </c>
      <c r="E40" s="39">
        <v>0</v>
      </c>
      <c r="F40" s="52">
        <v>0</v>
      </c>
      <c r="G40" s="22">
        <v>20</v>
      </c>
      <c r="H40" s="22"/>
    </row>
    <row r="41" spans="1:10" x14ac:dyDescent="0.3">
      <c r="A41" s="51" t="s">
        <v>47</v>
      </c>
      <c r="B41" s="22">
        <v>47784</v>
      </c>
      <c r="C41" s="31">
        <v>187309</v>
      </c>
      <c r="D41" s="31">
        <f>C41*0.03+1550</f>
        <v>7169.2699999999995</v>
      </c>
      <c r="E41" s="39">
        <v>16148</v>
      </c>
      <c r="F41" s="31">
        <v>2</v>
      </c>
      <c r="G41" s="22">
        <v>10</v>
      </c>
      <c r="H41" s="22"/>
    </row>
    <row r="42" spans="1:10" x14ac:dyDescent="0.3">
      <c r="A42" s="51" t="s">
        <v>48</v>
      </c>
      <c r="B42" s="22">
        <v>400167</v>
      </c>
      <c r="C42" s="31">
        <v>1568655</v>
      </c>
      <c r="D42" s="31">
        <f>C42*0.03</f>
        <v>47059.65</v>
      </c>
      <c r="E42" s="39">
        <v>33760.765550239237</v>
      </c>
      <c r="F42" s="31">
        <v>2</v>
      </c>
      <c r="G42" s="22">
        <v>20</v>
      </c>
      <c r="H42" s="22"/>
    </row>
    <row r="43" spans="1:10" x14ac:dyDescent="0.3">
      <c r="A43" s="51" t="s">
        <v>49</v>
      </c>
      <c r="B43" s="22">
        <v>177272</v>
      </c>
      <c r="C43" s="31">
        <v>694888</v>
      </c>
      <c r="D43" s="31">
        <f>C43*0.03</f>
        <v>20846.64</v>
      </c>
      <c r="E43" s="39">
        <v>27043.062200956938</v>
      </c>
      <c r="F43" s="31">
        <v>2</v>
      </c>
      <c r="G43" s="22">
        <v>20</v>
      </c>
      <c r="H43" s="22"/>
    </row>
    <row r="44" spans="1:10" x14ac:dyDescent="0.3">
      <c r="A44" s="51" t="s">
        <v>50</v>
      </c>
      <c r="B44" s="22">
        <v>42835</v>
      </c>
      <c r="C44" s="31">
        <v>167906</v>
      </c>
      <c r="D44" s="31">
        <f>C44*0.03+10618</f>
        <v>15655.18</v>
      </c>
      <c r="E44" s="39">
        <v>-112</v>
      </c>
      <c r="F44" s="31">
        <v>4</v>
      </c>
      <c r="G44" s="22">
        <v>10</v>
      </c>
      <c r="H44" s="22"/>
    </row>
    <row r="45" spans="1:10" x14ac:dyDescent="0.3">
      <c r="A45" s="51" t="s">
        <v>51</v>
      </c>
      <c r="B45" s="31">
        <v>52500</v>
      </c>
      <c r="C45" s="22">
        <v>149148</v>
      </c>
      <c r="D45" s="31">
        <v>21000</v>
      </c>
      <c r="E45" s="39">
        <v>159.35</v>
      </c>
      <c r="F45" s="31">
        <v>1</v>
      </c>
      <c r="G45" s="22">
        <v>20</v>
      </c>
      <c r="H45" s="22"/>
    </row>
    <row r="46" spans="1:10" x14ac:dyDescent="0.3">
      <c r="A46" s="51" t="s">
        <v>52</v>
      </c>
      <c r="B46" s="22">
        <v>28809</v>
      </c>
      <c r="C46" s="31">
        <v>101410</v>
      </c>
      <c r="D46" s="31">
        <v>4056</v>
      </c>
      <c r="E46" s="39">
        <v>2.4</v>
      </c>
      <c r="F46" s="31">
        <v>1</v>
      </c>
      <c r="G46" s="22">
        <v>10</v>
      </c>
      <c r="H46" s="22"/>
    </row>
    <row r="47" spans="1:10" x14ac:dyDescent="0.3">
      <c r="A47" s="51" t="s">
        <v>46</v>
      </c>
      <c r="B47" s="22">
        <v>8792</v>
      </c>
      <c r="C47" s="31">
        <v>30726</v>
      </c>
      <c r="D47" s="31">
        <v>1229</v>
      </c>
      <c r="E47" s="39">
        <v>0</v>
      </c>
      <c r="F47" s="31">
        <v>1</v>
      </c>
      <c r="G47" s="22">
        <v>10</v>
      </c>
      <c r="H47" s="22"/>
    </row>
    <row r="48" spans="1:10" x14ac:dyDescent="0.3">
      <c r="A48" s="51" t="s">
        <v>53</v>
      </c>
      <c r="B48" s="22">
        <v>15000</v>
      </c>
      <c r="C48" s="31">
        <v>52174</v>
      </c>
      <c r="D48" s="31">
        <v>2086</v>
      </c>
      <c r="E48" s="39">
        <v>0</v>
      </c>
      <c r="F48" s="31">
        <v>0</v>
      </c>
      <c r="G48" s="22">
        <v>10</v>
      </c>
      <c r="H48" s="22"/>
    </row>
    <row r="49" spans="1:8" x14ac:dyDescent="0.3">
      <c r="A49" s="51" t="s">
        <v>54</v>
      </c>
      <c r="B49" s="22">
        <v>15000</v>
      </c>
      <c r="C49" s="31">
        <v>52174</v>
      </c>
      <c r="D49" s="31">
        <v>2086</v>
      </c>
      <c r="E49" s="39">
        <v>0</v>
      </c>
      <c r="F49" s="31">
        <v>0</v>
      </c>
      <c r="G49" s="22">
        <v>10</v>
      </c>
      <c r="H49" s="22"/>
    </row>
    <row r="50" spans="1:8" x14ac:dyDescent="0.3">
      <c r="A50" s="51" t="s">
        <v>55</v>
      </c>
      <c r="B50" s="22">
        <v>15000</v>
      </c>
      <c r="C50" s="31">
        <v>52164</v>
      </c>
      <c r="D50" s="31">
        <v>2086</v>
      </c>
      <c r="E50" s="39">
        <v>0</v>
      </c>
      <c r="F50" s="31">
        <v>0</v>
      </c>
      <c r="G50" s="22">
        <v>10</v>
      </c>
      <c r="H50" s="22"/>
    </row>
    <row r="51" spans="1:8" x14ac:dyDescent="0.3">
      <c r="A51" s="51" t="s">
        <v>56</v>
      </c>
      <c r="B51" s="22">
        <v>15000</v>
      </c>
      <c r="C51" s="31">
        <v>52167</v>
      </c>
      <c r="D51" s="31">
        <v>2086</v>
      </c>
      <c r="E51" s="39">
        <v>0</v>
      </c>
      <c r="F51" s="31">
        <v>0</v>
      </c>
      <c r="G51" s="22">
        <v>10</v>
      </c>
      <c r="H51" s="22"/>
    </row>
    <row r="52" spans="1:8" x14ac:dyDescent="0.3">
      <c r="A52" s="51" t="s">
        <v>57</v>
      </c>
      <c r="B52" s="21">
        <v>560376</v>
      </c>
      <c r="C52" s="31">
        <v>823753</v>
      </c>
      <c r="D52" s="31">
        <v>32950.120000000003</v>
      </c>
      <c r="E52" s="39">
        <f>54.2/0.715</f>
        <v>75.804195804195814</v>
      </c>
      <c r="F52" s="31">
        <v>3</v>
      </c>
      <c r="G52" s="22">
        <v>30</v>
      </c>
      <c r="H52" s="22"/>
    </row>
    <row r="53" spans="1:8" x14ac:dyDescent="0.3">
      <c r="A53" s="51" t="s">
        <v>58</v>
      </c>
      <c r="B53" s="31">
        <v>42663.249406235758</v>
      </c>
      <c r="C53" s="31">
        <v>62714.976627166565</v>
      </c>
      <c r="D53" s="31">
        <v>4266.3249406235764</v>
      </c>
      <c r="E53" s="39">
        <v>260.86223778555541</v>
      </c>
      <c r="F53" s="31">
        <v>5</v>
      </c>
      <c r="G53" s="22">
        <v>20</v>
      </c>
      <c r="H53" s="22"/>
    </row>
    <row r="54" spans="1:8" x14ac:dyDescent="0.3">
      <c r="A54" s="51" t="s">
        <v>59</v>
      </c>
      <c r="B54" s="31">
        <v>42663.249406235758</v>
      </c>
      <c r="C54" s="31">
        <v>62714.976627166565</v>
      </c>
      <c r="D54" s="31">
        <v>4266.3249406235764</v>
      </c>
      <c r="E54" s="39">
        <v>0</v>
      </c>
      <c r="F54" s="31">
        <v>0</v>
      </c>
      <c r="G54" s="22">
        <v>20</v>
      </c>
      <c r="H54" s="22"/>
    </row>
    <row r="55" spans="1:8" x14ac:dyDescent="0.3">
      <c r="A55" s="51" t="s">
        <v>60</v>
      </c>
      <c r="B55" s="31">
        <v>42430.107858595278</v>
      </c>
      <c r="C55" s="31">
        <v>62372.258552135056</v>
      </c>
      <c r="D55" s="31">
        <v>4243.0107858595284</v>
      </c>
      <c r="E55" s="39">
        <v>0</v>
      </c>
      <c r="F55" s="31">
        <v>0</v>
      </c>
      <c r="G55" s="22">
        <v>20</v>
      </c>
      <c r="H55" s="22"/>
    </row>
    <row r="56" spans="1:8" x14ac:dyDescent="0.3">
      <c r="A56" s="51" t="s">
        <v>61</v>
      </c>
      <c r="B56" s="31">
        <v>42202.486760122105</v>
      </c>
      <c r="C56" s="31">
        <v>62037.655537379491</v>
      </c>
      <c r="D56" s="31">
        <v>4220.248676012211</v>
      </c>
      <c r="E56" s="39">
        <v>-119.013742062104</v>
      </c>
      <c r="F56" s="31">
        <v>4</v>
      </c>
      <c r="G56" s="22">
        <v>20</v>
      </c>
      <c r="H56" s="22"/>
    </row>
    <row r="57" spans="1:8" x14ac:dyDescent="0.3">
      <c r="A57" s="51" t="s">
        <v>62</v>
      </c>
      <c r="B57" s="31">
        <v>42202.486760122105</v>
      </c>
      <c r="C57" s="31">
        <v>62037.655537379491</v>
      </c>
      <c r="D57" s="31">
        <v>4220.248676012211</v>
      </c>
      <c r="E57" s="39">
        <v>27920.979493976585</v>
      </c>
      <c r="F57" s="31">
        <v>2</v>
      </c>
      <c r="G57" s="22">
        <v>20</v>
      </c>
      <c r="H57" s="22"/>
    </row>
    <row r="58" spans="1:8" x14ac:dyDescent="0.3">
      <c r="A58" s="51" t="s">
        <v>63</v>
      </c>
      <c r="B58" s="31">
        <v>42663.249406235758</v>
      </c>
      <c r="C58" s="31">
        <v>62714.976627166565</v>
      </c>
      <c r="D58" s="31">
        <v>4266.3249406235764</v>
      </c>
      <c r="E58" s="39">
        <v>23253.588516746415</v>
      </c>
      <c r="F58" s="31">
        <v>2</v>
      </c>
      <c r="G58" s="22">
        <v>20</v>
      </c>
      <c r="H58" s="22"/>
    </row>
    <row r="59" spans="1:8" x14ac:dyDescent="0.3">
      <c r="A59" s="51" t="s">
        <v>64</v>
      </c>
      <c r="B59" s="31">
        <v>44337.160909174825</v>
      </c>
      <c r="C59" s="31">
        <v>65175.626536486991</v>
      </c>
      <c r="D59" s="31">
        <v>4433.7160909174827</v>
      </c>
      <c r="E59" s="39">
        <v>163</v>
      </c>
      <c r="F59" s="31">
        <v>5</v>
      </c>
      <c r="G59" s="22">
        <v>20</v>
      </c>
      <c r="H59" s="22"/>
    </row>
    <row r="60" spans="1:8" x14ac:dyDescent="0.3">
      <c r="A60" s="51" t="s">
        <v>65</v>
      </c>
      <c r="B60" s="31">
        <v>42202.486760122105</v>
      </c>
      <c r="C60" s="31">
        <v>62037.655537379491</v>
      </c>
      <c r="D60" s="31">
        <v>4220.248676012211</v>
      </c>
      <c r="E60" s="39">
        <v>9.3672579003157868</v>
      </c>
      <c r="F60" s="31">
        <v>4</v>
      </c>
      <c r="G60" s="22">
        <v>20</v>
      </c>
      <c r="H60" s="22"/>
    </row>
    <row r="61" spans="1:8" x14ac:dyDescent="0.3">
      <c r="A61" s="51" t="s">
        <v>66</v>
      </c>
      <c r="B61" s="31">
        <v>42663.249406235758</v>
      </c>
      <c r="C61" s="31">
        <v>62714.976627166565</v>
      </c>
      <c r="D61" s="31">
        <v>4266.3249406235764</v>
      </c>
      <c r="E61" s="39">
        <v>6501.7971838134636</v>
      </c>
      <c r="F61" s="31">
        <v>2</v>
      </c>
      <c r="G61" s="22">
        <v>20</v>
      </c>
      <c r="H61" s="22"/>
    </row>
    <row r="62" spans="1:8" x14ac:dyDescent="0.3">
      <c r="A62" s="51" t="s">
        <v>67</v>
      </c>
      <c r="B62" s="31">
        <v>42663.249406235758</v>
      </c>
      <c r="C62" s="31">
        <v>62714.976627166565</v>
      </c>
      <c r="D62" s="31">
        <v>4266.3249406235764</v>
      </c>
      <c r="E62" s="39">
        <v>8240.7261160325033</v>
      </c>
      <c r="F62" s="31">
        <v>2</v>
      </c>
      <c r="G62" s="22">
        <v>20</v>
      </c>
      <c r="H62" s="22"/>
    </row>
    <row r="63" spans="1:8" x14ac:dyDescent="0.3">
      <c r="A63" s="51" t="s">
        <v>68</v>
      </c>
      <c r="B63" s="31">
        <v>42663.249406235758</v>
      </c>
      <c r="C63" s="31">
        <v>62714.976627166565</v>
      </c>
      <c r="D63" s="31">
        <v>4266.3249406235764</v>
      </c>
      <c r="E63" s="39">
        <v>5324.4892791885486</v>
      </c>
      <c r="F63" s="31">
        <v>2</v>
      </c>
      <c r="G63" s="22">
        <v>20</v>
      </c>
      <c r="H63" s="22"/>
    </row>
    <row r="64" spans="1:8" x14ac:dyDescent="0.3">
      <c r="A64" s="51" t="s">
        <v>69</v>
      </c>
      <c r="B64" s="31">
        <v>42663.249406235758</v>
      </c>
      <c r="C64" s="31">
        <v>62714.976627166565</v>
      </c>
      <c r="D64" s="31">
        <v>4266.3249406235764</v>
      </c>
      <c r="E64" s="39">
        <v>9715.6455299265508</v>
      </c>
      <c r="F64" s="31">
        <v>2</v>
      </c>
      <c r="G64" s="22">
        <v>20</v>
      </c>
      <c r="H64" s="22"/>
    </row>
    <row r="65" spans="1:8" x14ac:dyDescent="0.3">
      <c r="A65" s="51" t="s">
        <v>70</v>
      </c>
      <c r="B65" s="31">
        <v>42663.249406235758</v>
      </c>
      <c r="C65" s="31">
        <v>62714.976627166565</v>
      </c>
      <c r="D65" s="31">
        <v>4266.3249406235764</v>
      </c>
      <c r="E65" s="39">
        <v>20845.402314445131</v>
      </c>
      <c r="F65" s="31">
        <v>2</v>
      </c>
      <c r="G65" s="22">
        <v>20</v>
      </c>
      <c r="H65" s="22"/>
    </row>
    <row r="66" spans="1:8" x14ac:dyDescent="0.3">
      <c r="A66" s="51" t="s">
        <v>71</v>
      </c>
      <c r="B66" s="31">
        <v>44337.160909174825</v>
      </c>
      <c r="C66" s="31">
        <v>65175.626536486991</v>
      </c>
      <c r="D66" s="31">
        <v>4433.7160909174827</v>
      </c>
      <c r="E66" s="39">
        <v>59.462665618414</v>
      </c>
      <c r="F66" s="31">
        <v>5</v>
      </c>
      <c r="G66" s="22">
        <v>20</v>
      </c>
      <c r="H66" s="22"/>
    </row>
    <row r="67" spans="1:8" x14ac:dyDescent="0.3">
      <c r="A67" s="51" t="s">
        <v>72</v>
      </c>
      <c r="B67" s="31">
        <v>42202.486760122105</v>
      </c>
      <c r="C67" s="31">
        <v>62037.655537379491</v>
      </c>
      <c r="D67" s="31">
        <v>4220.248676012211</v>
      </c>
      <c r="E67" s="39">
        <v>6144.6095400944005</v>
      </c>
      <c r="F67" s="31">
        <v>2</v>
      </c>
      <c r="G67" s="22">
        <v>20</v>
      </c>
      <c r="H67" s="22"/>
    </row>
    <row r="68" spans="1:8" x14ac:dyDescent="0.3">
      <c r="A68" s="51" t="s">
        <v>73</v>
      </c>
      <c r="B68" s="31">
        <v>45031.562584516112</v>
      </c>
      <c r="C68" s="31">
        <v>66196.396999238685</v>
      </c>
      <c r="D68" s="31">
        <v>4503.1562584516114</v>
      </c>
      <c r="E68" s="39">
        <v>100.88394984859319</v>
      </c>
      <c r="F68" s="31">
        <v>4</v>
      </c>
      <c r="G68" s="22">
        <v>20</v>
      </c>
      <c r="H68" s="22"/>
    </row>
    <row r="69" spans="1:8" x14ac:dyDescent="0.3">
      <c r="A69" s="51" t="s">
        <v>74</v>
      </c>
      <c r="B69" s="31">
        <v>42202.486760122105</v>
      </c>
      <c r="C69" s="31">
        <v>62037.655537379491</v>
      </c>
      <c r="D69" s="31">
        <v>4220.248676012211</v>
      </c>
      <c r="E69" s="39">
        <v>49.587062200933936</v>
      </c>
      <c r="F69" s="31">
        <v>5</v>
      </c>
      <c r="G69" s="22">
        <v>20</v>
      </c>
      <c r="H69" s="22"/>
    </row>
    <row r="70" spans="1:8" x14ac:dyDescent="0.3">
      <c r="A70" s="51" t="s">
        <v>75</v>
      </c>
      <c r="B70" s="31">
        <v>42202.486760122105</v>
      </c>
      <c r="C70" s="31">
        <v>62037.655537379491</v>
      </c>
      <c r="D70" s="31">
        <v>4220.248676012211</v>
      </c>
      <c r="E70" s="39">
        <v>9.0794227136598114</v>
      </c>
      <c r="F70" s="31">
        <v>5</v>
      </c>
      <c r="G70" s="22">
        <v>20</v>
      </c>
      <c r="H70" s="22"/>
    </row>
    <row r="71" spans="1:8" x14ac:dyDescent="0.3">
      <c r="A71" s="51" t="s">
        <v>76</v>
      </c>
      <c r="B71" s="31">
        <v>42202.486760122105</v>
      </c>
      <c r="C71" s="31">
        <v>62037.655537379491</v>
      </c>
      <c r="D71" s="31">
        <v>4220.248676012211</v>
      </c>
      <c r="E71" s="39">
        <v>5511.1687870966616</v>
      </c>
      <c r="F71" s="31">
        <v>2</v>
      </c>
      <c r="G71" s="22">
        <v>20</v>
      </c>
      <c r="H71" s="22"/>
    </row>
    <row r="72" spans="1:8" x14ac:dyDescent="0.3">
      <c r="A72" s="51" t="s">
        <v>77</v>
      </c>
      <c r="B72" s="31">
        <v>42202.486760122105</v>
      </c>
      <c r="C72" s="31">
        <v>62037.655537379491</v>
      </c>
      <c r="D72" s="31">
        <v>4220.248676012211</v>
      </c>
      <c r="E72" s="39">
        <v>5585.9984943099425</v>
      </c>
      <c r="F72" s="31">
        <v>2</v>
      </c>
      <c r="G72" s="22">
        <v>20</v>
      </c>
      <c r="H72" s="22"/>
    </row>
    <row r="73" spans="1:8" x14ac:dyDescent="0.3">
      <c r="A73" s="51" t="s">
        <v>78</v>
      </c>
      <c r="B73" s="31">
        <v>44337.160909174825</v>
      </c>
      <c r="C73" s="31">
        <v>65175.626536486991</v>
      </c>
      <c r="D73" s="31">
        <v>4433.7160909174827</v>
      </c>
      <c r="E73" s="39">
        <v>2.6848859256646245</v>
      </c>
      <c r="F73" s="31">
        <v>5</v>
      </c>
      <c r="G73" s="22">
        <v>20</v>
      </c>
      <c r="H73" s="22"/>
    </row>
    <row r="74" spans="1:8" x14ac:dyDescent="0.3">
      <c r="A74" s="51" t="s">
        <v>79</v>
      </c>
      <c r="B74" s="31">
        <v>45000</v>
      </c>
      <c r="C74" s="31">
        <v>577210</v>
      </c>
      <c r="D74" s="31">
        <v>4500</v>
      </c>
      <c r="E74" s="39">
        <v>676.67</v>
      </c>
      <c r="F74" s="31">
        <v>1</v>
      </c>
      <c r="G74" s="22">
        <v>25</v>
      </c>
      <c r="H74" s="22"/>
    </row>
    <row r="75" spans="1:8" x14ac:dyDescent="0.3">
      <c r="A75" s="51" t="s">
        <v>80</v>
      </c>
      <c r="B75" s="31">
        <v>12059</v>
      </c>
      <c r="C75" s="31">
        <v>48235</v>
      </c>
      <c r="D75" s="31">
        <v>1447</v>
      </c>
      <c r="E75" s="39">
        <v>0.75</v>
      </c>
      <c r="F75" s="31">
        <v>1</v>
      </c>
      <c r="G75" s="22">
        <v>15</v>
      </c>
      <c r="H75" s="22"/>
    </row>
    <row r="76" spans="1:8" x14ac:dyDescent="0.3">
      <c r="A76" s="51" t="s">
        <v>81</v>
      </c>
      <c r="B76" s="31">
        <v>12059</v>
      </c>
      <c r="C76" s="31">
        <v>48235</v>
      </c>
      <c r="D76" s="31">
        <v>1447</v>
      </c>
      <c r="E76" s="39">
        <v>0.75</v>
      </c>
      <c r="F76" s="31">
        <v>1</v>
      </c>
      <c r="G76" s="22">
        <v>15</v>
      </c>
      <c r="H76" s="22"/>
    </row>
    <row r="77" spans="1:8" x14ac:dyDescent="0.3">
      <c r="A77" s="51" t="s">
        <v>82</v>
      </c>
      <c r="B77" s="31">
        <v>12059</v>
      </c>
      <c r="C77" s="31">
        <v>48235</v>
      </c>
      <c r="D77" s="31">
        <v>1447</v>
      </c>
      <c r="E77" s="39">
        <v>0.75</v>
      </c>
      <c r="F77" s="31">
        <v>1</v>
      </c>
      <c r="G77" s="22">
        <v>15</v>
      </c>
      <c r="H77" s="22"/>
    </row>
    <row r="78" spans="1:8" x14ac:dyDescent="0.3">
      <c r="A78" s="51" t="s">
        <v>83</v>
      </c>
      <c r="B78" s="22">
        <v>12113</v>
      </c>
      <c r="C78" s="31">
        <v>48452</v>
      </c>
      <c r="D78" s="31">
        <v>1454</v>
      </c>
      <c r="E78" s="39">
        <v>1.5</v>
      </c>
      <c r="F78" s="31">
        <v>1</v>
      </c>
      <c r="G78" s="22">
        <v>15</v>
      </c>
      <c r="H78" s="22"/>
    </row>
    <row r="79" spans="1:8" x14ac:dyDescent="0.3">
      <c r="A79" s="51" t="s">
        <v>84</v>
      </c>
      <c r="B79" s="22">
        <v>12113</v>
      </c>
      <c r="C79" s="31">
        <v>48452</v>
      </c>
      <c r="D79" s="31">
        <v>1454</v>
      </c>
      <c r="E79" s="39">
        <v>0.75</v>
      </c>
      <c r="F79" s="31">
        <v>1</v>
      </c>
      <c r="G79" s="22">
        <v>15</v>
      </c>
      <c r="H79" s="22"/>
    </row>
    <row r="80" spans="1:8" x14ac:dyDescent="0.3">
      <c r="A80" s="51" t="s">
        <v>85</v>
      </c>
      <c r="B80" s="22">
        <v>12140</v>
      </c>
      <c r="C80" s="31">
        <v>48561</v>
      </c>
      <c r="D80" s="31">
        <v>1457</v>
      </c>
      <c r="E80" s="39">
        <v>0.75</v>
      </c>
      <c r="F80" s="31">
        <v>1</v>
      </c>
      <c r="G80" s="22">
        <v>15</v>
      </c>
      <c r="H80" s="22"/>
    </row>
    <row r="81" spans="1:8" x14ac:dyDescent="0.3">
      <c r="A81" s="51" t="s">
        <v>86</v>
      </c>
      <c r="B81" s="22">
        <v>12067</v>
      </c>
      <c r="C81" s="31">
        <v>48266</v>
      </c>
      <c r="D81" s="31">
        <v>1448</v>
      </c>
      <c r="E81" s="39">
        <v>1.5</v>
      </c>
      <c r="F81" s="31">
        <v>1</v>
      </c>
      <c r="G81" s="22">
        <v>15</v>
      </c>
      <c r="H81" s="22"/>
    </row>
    <row r="82" spans="1:8" x14ac:dyDescent="0.3">
      <c r="A82" s="51" t="s">
        <v>87</v>
      </c>
      <c r="B82" s="22">
        <v>12058</v>
      </c>
      <c r="C82" s="31">
        <v>48232</v>
      </c>
      <c r="D82" s="31">
        <v>1447</v>
      </c>
      <c r="E82" s="39">
        <v>0.75</v>
      </c>
      <c r="F82" s="31">
        <v>1</v>
      </c>
      <c r="G82" s="22">
        <v>15</v>
      </c>
      <c r="H82" s="22"/>
    </row>
    <row r="83" spans="1:8" x14ac:dyDescent="0.3">
      <c r="A83" s="51" t="s">
        <v>88</v>
      </c>
      <c r="B83" s="22">
        <v>12118</v>
      </c>
      <c r="C83" s="31">
        <v>48473</v>
      </c>
      <c r="D83" s="31">
        <v>1454</v>
      </c>
      <c r="E83" s="39">
        <v>0.75</v>
      </c>
      <c r="F83" s="31">
        <v>1</v>
      </c>
      <c r="G83" s="22">
        <v>15</v>
      </c>
      <c r="H83" s="22"/>
    </row>
    <row r="84" spans="1:8" x14ac:dyDescent="0.3">
      <c r="A84" s="51" t="s">
        <v>89</v>
      </c>
      <c r="B84" s="22">
        <v>12078</v>
      </c>
      <c r="C84" s="31">
        <v>48310</v>
      </c>
      <c r="D84" s="31">
        <v>1449</v>
      </c>
      <c r="E84" s="39">
        <v>0.75</v>
      </c>
      <c r="F84" s="31">
        <v>1</v>
      </c>
      <c r="G84" s="22">
        <v>15</v>
      </c>
      <c r="H84" s="22"/>
    </row>
    <row r="85" spans="1:8" x14ac:dyDescent="0.3">
      <c r="A85" s="51" t="s">
        <v>90</v>
      </c>
      <c r="B85" s="22">
        <v>12059</v>
      </c>
      <c r="C85" s="31">
        <v>48234</v>
      </c>
      <c r="D85" s="31">
        <v>1447</v>
      </c>
      <c r="E85" s="39">
        <v>0.75</v>
      </c>
      <c r="F85" s="31">
        <v>1</v>
      </c>
      <c r="G85" s="22">
        <v>15</v>
      </c>
      <c r="H85" s="22"/>
    </row>
    <row r="86" spans="1:8" x14ac:dyDescent="0.3">
      <c r="A86" s="51" t="s">
        <v>91</v>
      </c>
      <c r="B86" s="22">
        <v>12059</v>
      </c>
      <c r="C86" s="31">
        <v>48234</v>
      </c>
      <c r="D86" s="31">
        <v>1447</v>
      </c>
      <c r="E86" s="39">
        <v>0.75</v>
      </c>
      <c r="F86" s="31">
        <v>1</v>
      </c>
      <c r="G86" s="22">
        <v>15</v>
      </c>
      <c r="H86" s="22"/>
    </row>
    <row r="87" spans="1:8" x14ac:dyDescent="0.3">
      <c r="A87" s="51" t="s">
        <v>92</v>
      </c>
      <c r="B87" s="22">
        <v>12059</v>
      </c>
      <c r="C87" s="31">
        <v>48234</v>
      </c>
      <c r="D87" s="31">
        <v>1447</v>
      </c>
      <c r="E87" s="39">
        <v>0.75</v>
      </c>
      <c r="F87" s="31">
        <v>1</v>
      </c>
      <c r="G87" s="22">
        <v>15</v>
      </c>
      <c r="H87" s="22"/>
    </row>
    <row r="88" spans="1:8" x14ac:dyDescent="0.3">
      <c r="A88" s="51" t="s">
        <v>93</v>
      </c>
      <c r="B88" s="22">
        <v>12083</v>
      </c>
      <c r="C88" s="31">
        <v>48331</v>
      </c>
      <c r="D88" s="31">
        <v>1450</v>
      </c>
      <c r="E88" s="39">
        <v>0.75</v>
      </c>
      <c r="F88" s="31">
        <v>1</v>
      </c>
      <c r="G88" s="22">
        <v>15</v>
      </c>
      <c r="H88" s="22"/>
    </row>
    <row r="89" spans="1:8" x14ac:dyDescent="0.3">
      <c r="A89" s="51" t="s">
        <v>94</v>
      </c>
      <c r="B89" s="22">
        <v>12059</v>
      </c>
      <c r="C89" s="31">
        <v>48234</v>
      </c>
      <c r="D89" s="31">
        <v>1447</v>
      </c>
      <c r="E89" s="39">
        <v>0.75</v>
      </c>
      <c r="F89" s="31">
        <v>1</v>
      </c>
      <c r="G89" s="22">
        <v>15</v>
      </c>
      <c r="H89" s="22"/>
    </row>
    <row r="90" spans="1:8" x14ac:dyDescent="0.3">
      <c r="A90" s="51" t="s">
        <v>95</v>
      </c>
      <c r="B90" s="22">
        <v>12100</v>
      </c>
      <c r="C90" s="31">
        <v>48398</v>
      </c>
      <c r="D90" s="31">
        <v>1452</v>
      </c>
      <c r="E90" s="39">
        <v>0.75</v>
      </c>
      <c r="F90" s="31">
        <v>1</v>
      </c>
      <c r="G90" s="22">
        <v>15</v>
      </c>
      <c r="H90" s="22"/>
    </row>
    <row r="91" spans="1:8" x14ac:dyDescent="0.3">
      <c r="A91" s="51" t="s">
        <v>96</v>
      </c>
      <c r="B91" s="22">
        <v>12045</v>
      </c>
      <c r="C91" s="31">
        <v>48179</v>
      </c>
      <c r="D91" s="31">
        <v>1445</v>
      </c>
      <c r="E91" s="39">
        <v>0.75</v>
      </c>
      <c r="F91" s="31">
        <v>1</v>
      </c>
      <c r="G91" s="22">
        <v>15</v>
      </c>
      <c r="H91" s="22"/>
    </row>
    <row r="92" spans="1:8" x14ac:dyDescent="0.3">
      <c r="A92" s="51" t="s">
        <v>97</v>
      </c>
      <c r="B92" s="22">
        <v>12066</v>
      </c>
      <c r="C92" s="31">
        <v>48266</v>
      </c>
      <c r="D92" s="31">
        <v>1448</v>
      </c>
      <c r="E92" s="39">
        <v>0.75</v>
      </c>
      <c r="F92" s="31">
        <v>1</v>
      </c>
      <c r="G92" s="22">
        <v>15</v>
      </c>
      <c r="H92" s="22"/>
    </row>
    <row r="93" spans="1:8" x14ac:dyDescent="0.3">
      <c r="A93" s="51" t="s">
        <v>98</v>
      </c>
      <c r="B93" s="22">
        <v>12059</v>
      </c>
      <c r="C93" s="31">
        <v>48234</v>
      </c>
      <c r="D93" s="31">
        <v>1447</v>
      </c>
      <c r="E93" s="39">
        <v>0.75</v>
      </c>
      <c r="F93" s="31">
        <v>1</v>
      </c>
      <c r="G93" s="22">
        <v>15</v>
      </c>
      <c r="H93" s="22"/>
    </row>
    <row r="94" spans="1:8" x14ac:dyDescent="0.3">
      <c r="A94" s="51" t="s">
        <v>99</v>
      </c>
      <c r="B94" s="22">
        <v>12059</v>
      </c>
      <c r="C94" s="31">
        <v>48234</v>
      </c>
      <c r="D94" s="31">
        <v>1447</v>
      </c>
      <c r="E94" s="39">
        <v>0.75</v>
      </c>
      <c r="F94" s="31">
        <v>1</v>
      </c>
      <c r="G94" s="22">
        <v>15</v>
      </c>
      <c r="H94" s="22"/>
    </row>
    <row r="95" spans="1:8" x14ac:dyDescent="0.3">
      <c r="A95" s="51" t="s">
        <v>100</v>
      </c>
      <c r="B95" s="22">
        <v>12059</v>
      </c>
      <c r="C95" s="31">
        <v>48234</v>
      </c>
      <c r="D95" s="31">
        <v>1447</v>
      </c>
      <c r="E95" s="39">
        <v>0.75</v>
      </c>
      <c r="F95" s="31">
        <v>1</v>
      </c>
      <c r="G95" s="22">
        <v>15</v>
      </c>
      <c r="H95" s="22"/>
    </row>
    <row r="96" spans="1:8" x14ac:dyDescent="0.3">
      <c r="A96" s="51" t="s">
        <v>101</v>
      </c>
      <c r="B96" s="22">
        <v>12059</v>
      </c>
      <c r="C96" s="31">
        <v>48234</v>
      </c>
      <c r="D96" s="31">
        <v>1447</v>
      </c>
      <c r="E96" s="39">
        <v>0.75</v>
      </c>
      <c r="F96" s="31">
        <v>1</v>
      </c>
      <c r="G96" s="22">
        <v>15</v>
      </c>
      <c r="H96" s="22"/>
    </row>
    <row r="97" spans="1:8" x14ac:dyDescent="0.3">
      <c r="A97" s="51" t="s">
        <v>102</v>
      </c>
      <c r="B97" s="22">
        <v>12059</v>
      </c>
      <c r="C97" s="31">
        <v>48234</v>
      </c>
      <c r="D97" s="31">
        <v>1447</v>
      </c>
      <c r="E97" s="39">
        <v>0.75</v>
      </c>
      <c r="F97" s="31">
        <v>1</v>
      </c>
      <c r="G97" s="22">
        <v>15</v>
      </c>
      <c r="H97" s="22"/>
    </row>
    <row r="98" spans="1:8" x14ac:dyDescent="0.3">
      <c r="A98" s="51" t="s">
        <v>103</v>
      </c>
      <c r="B98" s="22">
        <v>12059</v>
      </c>
      <c r="C98" s="31">
        <v>48234</v>
      </c>
      <c r="D98" s="31">
        <v>1447</v>
      </c>
      <c r="E98" s="39">
        <v>0.75</v>
      </c>
      <c r="F98" s="31">
        <v>1</v>
      </c>
      <c r="G98" s="22">
        <v>15</v>
      </c>
      <c r="H98" s="22"/>
    </row>
    <row r="99" spans="1:8" x14ac:dyDescent="0.3">
      <c r="A99" s="51" t="s">
        <v>104</v>
      </c>
      <c r="B99" s="22">
        <v>12059</v>
      </c>
      <c r="C99" s="31">
        <v>48234</v>
      </c>
      <c r="D99" s="31">
        <v>1447</v>
      </c>
      <c r="E99" s="39">
        <v>0.75</v>
      </c>
      <c r="F99" s="31">
        <v>1</v>
      </c>
      <c r="G99" s="22">
        <v>15</v>
      </c>
      <c r="H99" s="22"/>
    </row>
    <row r="100" spans="1:8" x14ac:dyDescent="0.3">
      <c r="A100" s="51" t="s">
        <v>105</v>
      </c>
      <c r="B100" s="22">
        <v>12059</v>
      </c>
      <c r="C100" s="31">
        <v>48234</v>
      </c>
      <c r="D100" s="31">
        <v>1447</v>
      </c>
      <c r="E100" s="39">
        <v>0.75</v>
      </c>
      <c r="F100" s="31">
        <v>1</v>
      </c>
      <c r="G100" s="22">
        <v>15</v>
      </c>
      <c r="H100" s="22"/>
    </row>
    <row r="101" spans="1:8" x14ac:dyDescent="0.3">
      <c r="A101" s="51" t="s">
        <v>106</v>
      </c>
      <c r="B101" s="22">
        <v>12059</v>
      </c>
      <c r="C101" s="31">
        <v>48234</v>
      </c>
      <c r="D101" s="31">
        <v>1447</v>
      </c>
      <c r="E101" s="39">
        <v>0.75</v>
      </c>
      <c r="F101" s="31">
        <v>1</v>
      </c>
      <c r="G101" s="22">
        <v>15</v>
      </c>
      <c r="H101" s="22"/>
    </row>
    <row r="102" spans="1:8" x14ac:dyDescent="0.3">
      <c r="A102" s="51" t="s">
        <v>107</v>
      </c>
      <c r="B102" s="22">
        <v>12059</v>
      </c>
      <c r="C102" s="31">
        <v>48234</v>
      </c>
      <c r="D102" s="31">
        <v>1447</v>
      </c>
      <c r="E102" s="39">
        <v>0.75</v>
      </c>
      <c r="F102" s="31">
        <v>1</v>
      </c>
      <c r="G102" s="22">
        <v>15</v>
      </c>
      <c r="H102" s="22"/>
    </row>
    <row r="103" spans="1:8" x14ac:dyDescent="0.3">
      <c r="A103" s="51" t="s">
        <v>108</v>
      </c>
      <c r="B103" s="22">
        <v>12059</v>
      </c>
      <c r="C103" s="31">
        <v>48234</v>
      </c>
      <c r="D103" s="31">
        <v>1447</v>
      </c>
      <c r="E103" s="39">
        <v>0.75</v>
      </c>
      <c r="F103" s="31">
        <v>1</v>
      </c>
      <c r="G103" s="22">
        <v>15</v>
      </c>
      <c r="H103" s="22"/>
    </row>
    <row r="104" spans="1:8" x14ac:dyDescent="0.3">
      <c r="A104" s="51" t="s">
        <v>109</v>
      </c>
      <c r="B104" s="22">
        <v>12059</v>
      </c>
      <c r="C104" s="31">
        <v>48234</v>
      </c>
      <c r="D104" s="31">
        <v>1447</v>
      </c>
      <c r="E104" s="39">
        <v>0.75</v>
      </c>
      <c r="F104" s="31">
        <v>1</v>
      </c>
      <c r="G104" s="22">
        <v>15</v>
      </c>
      <c r="H104" s="22"/>
    </row>
    <row r="105" spans="1:8" x14ac:dyDescent="0.3">
      <c r="A105" s="51" t="s">
        <v>110</v>
      </c>
      <c r="B105" s="22">
        <v>19017</v>
      </c>
      <c r="C105" s="31">
        <v>76067</v>
      </c>
      <c r="D105" s="31">
        <v>2282</v>
      </c>
      <c r="E105" s="39">
        <v>223.7</v>
      </c>
      <c r="F105" s="31">
        <v>1</v>
      </c>
      <c r="G105" s="22">
        <v>15</v>
      </c>
      <c r="H105" s="22"/>
    </row>
    <row r="106" spans="1:8" x14ac:dyDescent="0.3">
      <c r="A106" s="51" t="s">
        <v>111</v>
      </c>
      <c r="B106" s="22">
        <v>250000</v>
      </c>
      <c r="C106" s="31">
        <v>1500000</v>
      </c>
      <c r="D106" s="31">
        <v>45000</v>
      </c>
      <c r="E106" s="39">
        <v>181</v>
      </c>
      <c r="F106" s="31">
        <v>1</v>
      </c>
      <c r="G106" s="22">
        <v>20</v>
      </c>
      <c r="H106" s="22"/>
    </row>
    <row r="107" spans="1:8" x14ac:dyDescent="0.3">
      <c r="A107" s="51" t="s">
        <v>112</v>
      </c>
      <c r="B107" s="22">
        <v>35000</v>
      </c>
      <c r="C107" s="31">
        <v>43750</v>
      </c>
      <c r="D107" s="31">
        <v>1312.5</v>
      </c>
      <c r="E107" s="39">
        <v>75</v>
      </c>
      <c r="F107" s="31">
        <v>1</v>
      </c>
      <c r="G107" s="22">
        <v>15</v>
      </c>
      <c r="H107" s="22"/>
    </row>
    <row r="108" spans="1:8" x14ac:dyDescent="0.3">
      <c r="A108" s="51" t="s">
        <v>113</v>
      </c>
      <c r="B108" s="22">
        <v>4500</v>
      </c>
      <c r="C108" s="31">
        <v>5625</v>
      </c>
      <c r="D108" s="31">
        <v>169</v>
      </c>
      <c r="E108" s="39">
        <v>1</v>
      </c>
      <c r="F108" s="31">
        <v>1</v>
      </c>
      <c r="G108" s="22">
        <v>15</v>
      </c>
      <c r="H108" s="22"/>
    </row>
    <row r="109" spans="1:8" x14ac:dyDescent="0.3">
      <c r="A109" s="51" t="s">
        <v>114</v>
      </c>
      <c r="B109" s="22">
        <v>4500</v>
      </c>
      <c r="C109" s="31">
        <v>5625</v>
      </c>
      <c r="D109" s="31">
        <v>169</v>
      </c>
      <c r="E109" s="39">
        <v>1</v>
      </c>
      <c r="F109" s="31">
        <v>1</v>
      </c>
      <c r="G109" s="22">
        <v>12</v>
      </c>
      <c r="H109" s="22"/>
    </row>
    <row r="110" spans="1:8" x14ac:dyDescent="0.3">
      <c r="A110" s="68" t="s">
        <v>362</v>
      </c>
      <c r="B110" s="22">
        <v>1000000</v>
      </c>
      <c r="C110" s="52">
        <v>2200000</v>
      </c>
      <c r="D110" s="52">
        <f>0.08*B110</f>
        <v>80000</v>
      </c>
      <c r="E110" s="52">
        <v>0</v>
      </c>
      <c r="F110" s="31">
        <v>0</v>
      </c>
      <c r="G110" s="22">
        <v>20</v>
      </c>
      <c r="H110" s="22"/>
    </row>
    <row r="111" spans="1:8" x14ac:dyDescent="0.3">
      <c r="A111" s="51"/>
      <c r="B111" s="22"/>
      <c r="C111" s="31"/>
      <c r="D111" s="31"/>
      <c r="E111" s="39"/>
      <c r="F111" s="31"/>
      <c r="G111" s="22"/>
      <c r="H111" s="22"/>
    </row>
    <row r="112" spans="1:8" x14ac:dyDescent="0.3">
      <c r="A112" s="51"/>
      <c r="B112" s="22"/>
      <c r="C112" s="31"/>
      <c r="D112" s="31"/>
      <c r="E112" s="39"/>
      <c r="F112" s="31"/>
      <c r="G112" s="22"/>
      <c r="H112" s="22"/>
    </row>
    <row r="113" spans="1:8" x14ac:dyDescent="0.3">
      <c r="A113" s="51"/>
      <c r="B113" s="22"/>
      <c r="C113" s="31"/>
      <c r="D113" s="31"/>
      <c r="E113" s="39"/>
      <c r="F113" s="31"/>
      <c r="G113" s="22"/>
      <c r="H113" s="22"/>
    </row>
    <row r="114" spans="1:8" x14ac:dyDescent="0.3">
      <c r="A114" s="51"/>
      <c r="B114" s="22"/>
      <c r="C114" s="31"/>
      <c r="D114" s="31"/>
      <c r="E114" s="39"/>
      <c r="F114" s="31"/>
      <c r="G114" s="22"/>
      <c r="H114" s="22"/>
    </row>
    <row r="115" spans="1:8" x14ac:dyDescent="0.3">
      <c r="A115" s="51"/>
      <c r="B115" s="22"/>
      <c r="C115" s="31"/>
      <c r="D115" s="31"/>
      <c r="E115" s="39"/>
      <c r="F115" s="31"/>
      <c r="G115" s="22"/>
      <c r="H115" s="22"/>
    </row>
    <row r="116" spans="1:8" x14ac:dyDescent="0.3">
      <c r="A116" s="51"/>
      <c r="B116" s="22"/>
      <c r="C116" s="31"/>
      <c r="D116" s="31"/>
      <c r="E116" s="39"/>
      <c r="F116" s="31"/>
      <c r="G116" s="22"/>
      <c r="H116" s="22"/>
    </row>
    <row r="117" spans="1:8" x14ac:dyDescent="0.3">
      <c r="A117" s="51"/>
      <c r="B117" s="22"/>
      <c r="C117" s="31"/>
      <c r="D117" s="31"/>
      <c r="E117" s="39"/>
      <c r="F117" s="31"/>
      <c r="G117" s="22"/>
      <c r="H117" s="22"/>
    </row>
    <row r="118" spans="1:8" x14ac:dyDescent="0.3">
      <c r="A118" s="51"/>
      <c r="B118" s="22"/>
      <c r="C118" s="31"/>
      <c r="D118" s="31"/>
      <c r="E118" s="39"/>
      <c r="F118" s="31"/>
      <c r="G118" s="22"/>
      <c r="H118" s="22"/>
    </row>
    <row r="119" spans="1:8" x14ac:dyDescent="0.3">
      <c r="A119" s="51"/>
      <c r="B119" s="22"/>
      <c r="C119" s="31"/>
      <c r="D119" s="31"/>
      <c r="E119" s="39"/>
      <c r="F119" s="31"/>
      <c r="G119" s="22"/>
      <c r="H119" s="22"/>
    </row>
    <row r="120" spans="1:8" x14ac:dyDescent="0.3">
      <c r="A120" s="51"/>
      <c r="B120" s="22"/>
      <c r="C120" s="31"/>
      <c r="D120" s="31"/>
      <c r="E120" s="39"/>
      <c r="F120" s="31"/>
      <c r="G120" s="22"/>
      <c r="H120" s="22"/>
    </row>
    <row r="121" spans="1:8" x14ac:dyDescent="0.3">
      <c r="A121" s="51"/>
      <c r="B121" s="22"/>
      <c r="C121" s="31"/>
      <c r="D121" s="31"/>
      <c r="E121" s="39"/>
      <c r="F121" s="31"/>
      <c r="G121" s="22"/>
      <c r="H121" s="22"/>
    </row>
    <row r="122" spans="1:8" x14ac:dyDescent="0.3">
      <c r="A122" s="51"/>
      <c r="B122" s="22"/>
      <c r="C122" s="31"/>
      <c r="D122" s="31"/>
      <c r="E122" s="39"/>
      <c r="F122" s="31"/>
      <c r="G122" s="22"/>
      <c r="H122" s="22"/>
    </row>
    <row r="123" spans="1:8" x14ac:dyDescent="0.3">
      <c r="A123" s="51"/>
      <c r="B123" s="22"/>
      <c r="C123" s="31"/>
      <c r="D123" s="31"/>
      <c r="E123" s="39"/>
      <c r="F123" s="31"/>
      <c r="G123" s="22"/>
      <c r="H123" s="22"/>
    </row>
    <row r="124" spans="1:8" x14ac:dyDescent="0.3">
      <c r="A124" s="51"/>
      <c r="B124" s="22"/>
      <c r="C124" s="31"/>
      <c r="D124" s="31"/>
      <c r="E124" s="39"/>
      <c r="F124" s="31"/>
      <c r="G124" s="22"/>
      <c r="H124" s="22"/>
    </row>
    <row r="125" spans="1:8" x14ac:dyDescent="0.3">
      <c r="A125" s="51"/>
      <c r="B125" s="22"/>
      <c r="C125" s="31"/>
      <c r="D125" s="31"/>
      <c r="E125" s="39"/>
      <c r="F125" s="31"/>
      <c r="G125" s="22"/>
      <c r="H125" s="22"/>
    </row>
    <row r="126" spans="1:8" x14ac:dyDescent="0.3">
      <c r="A126" s="51"/>
      <c r="B126" s="22"/>
      <c r="C126" s="31"/>
      <c r="D126" s="31"/>
      <c r="E126" s="39"/>
      <c r="F126" s="31"/>
      <c r="G126" s="22"/>
      <c r="H126" s="22"/>
    </row>
    <row r="127" spans="1:8" x14ac:dyDescent="0.3">
      <c r="A127" s="51"/>
      <c r="B127" s="22"/>
      <c r="C127" s="31"/>
      <c r="D127" s="31"/>
      <c r="E127" s="39"/>
      <c r="F127" s="31"/>
      <c r="G127" s="22"/>
      <c r="H127" s="22"/>
    </row>
    <row r="128" spans="1:8" x14ac:dyDescent="0.3">
      <c r="A128" s="51"/>
      <c r="B128" s="22"/>
      <c r="C128" s="31"/>
      <c r="D128" s="31"/>
      <c r="E128" s="39"/>
      <c r="F128" s="31"/>
      <c r="G128" s="22"/>
      <c r="H128" s="22"/>
    </row>
    <row r="129" spans="1:8" x14ac:dyDescent="0.3">
      <c r="A129" s="51"/>
      <c r="B129" s="22"/>
      <c r="C129" s="31"/>
      <c r="D129" s="31"/>
      <c r="E129" s="39"/>
      <c r="F129" s="31"/>
      <c r="G129" s="22"/>
      <c r="H129" s="22"/>
    </row>
    <row r="130" spans="1:8" x14ac:dyDescent="0.3">
      <c r="A130" s="51"/>
      <c r="B130" s="22"/>
      <c r="C130" s="31"/>
      <c r="D130" s="31"/>
      <c r="E130" s="39"/>
      <c r="F130" s="31"/>
      <c r="G130" s="22"/>
      <c r="H130" s="22"/>
    </row>
    <row r="131" spans="1:8" x14ac:dyDescent="0.3">
      <c r="A131" s="51"/>
      <c r="B131" s="22"/>
      <c r="C131" s="31"/>
      <c r="D131" s="31"/>
      <c r="E131" s="39"/>
      <c r="F131" s="31"/>
      <c r="G131" s="22"/>
      <c r="H131" s="22"/>
    </row>
    <row r="132" spans="1:8" x14ac:dyDescent="0.3">
      <c r="A132" s="51"/>
      <c r="B132" s="22"/>
      <c r="C132" s="31"/>
      <c r="D132" s="31"/>
      <c r="E132" s="39"/>
      <c r="F132" s="31"/>
      <c r="G132" s="22"/>
      <c r="H132" s="22"/>
    </row>
    <row r="133" spans="1:8" x14ac:dyDescent="0.3">
      <c r="A133" s="51"/>
      <c r="B133" s="22"/>
      <c r="C133" s="31"/>
      <c r="D133" s="31"/>
      <c r="E133" s="39"/>
      <c r="F133" s="31"/>
      <c r="G133" s="22"/>
      <c r="H133" s="22"/>
    </row>
    <row r="134" spans="1:8" x14ac:dyDescent="0.3">
      <c r="A134" s="51"/>
      <c r="B134" s="22"/>
      <c r="C134" s="31"/>
      <c r="D134" s="31"/>
      <c r="E134" s="39"/>
      <c r="F134" s="31"/>
      <c r="G134" s="22"/>
      <c r="H134" s="22"/>
    </row>
    <row r="135" spans="1:8" x14ac:dyDescent="0.3">
      <c r="A135" s="51"/>
      <c r="B135" s="22"/>
      <c r="C135" s="31"/>
      <c r="D135" s="31"/>
      <c r="E135" s="39"/>
      <c r="F135" s="31"/>
      <c r="G135" s="22"/>
      <c r="H135" s="22"/>
    </row>
    <row r="136" spans="1:8" x14ac:dyDescent="0.3">
      <c r="A136" s="51"/>
      <c r="B136" s="22"/>
      <c r="C136" s="31"/>
      <c r="D136" s="31"/>
      <c r="E136" s="39"/>
      <c r="F136" s="31"/>
      <c r="G136" s="22"/>
      <c r="H136" s="22"/>
    </row>
    <row r="137" spans="1:8" x14ac:dyDescent="0.3">
      <c r="A137" s="51"/>
      <c r="B137" s="22"/>
      <c r="C137" s="31"/>
      <c r="D137" s="31"/>
      <c r="E137" s="39"/>
      <c r="F137" s="31"/>
      <c r="G137" s="22"/>
      <c r="H137" s="22"/>
    </row>
    <row r="138" spans="1:8" x14ac:dyDescent="0.3">
      <c r="A138" s="51"/>
      <c r="B138" s="22"/>
      <c r="C138" s="31"/>
      <c r="D138" s="31"/>
      <c r="E138" s="39"/>
      <c r="F138" s="31"/>
      <c r="G138" s="22"/>
      <c r="H138" s="22"/>
    </row>
    <row r="139" spans="1:8" x14ac:dyDescent="0.3">
      <c r="A139" s="51"/>
      <c r="B139" s="22"/>
      <c r="C139" s="31"/>
      <c r="D139" s="31"/>
      <c r="E139" s="39"/>
      <c r="F139" s="31"/>
      <c r="G139" s="22"/>
      <c r="H139" s="22"/>
    </row>
    <row r="140" spans="1:8" x14ac:dyDescent="0.3">
      <c r="A140" s="51"/>
      <c r="B140" s="22"/>
      <c r="C140" s="31"/>
      <c r="D140" s="31"/>
      <c r="E140" s="39"/>
      <c r="F140" s="31"/>
      <c r="G140" s="22"/>
      <c r="H140" s="22"/>
    </row>
    <row r="141" spans="1:8" x14ac:dyDescent="0.3">
      <c r="A141" s="51"/>
      <c r="B141" s="22"/>
      <c r="C141" s="31"/>
      <c r="D141" s="31"/>
      <c r="E141" s="39"/>
      <c r="F141" s="31"/>
      <c r="G141" s="22"/>
      <c r="H141" s="22"/>
    </row>
    <row r="142" spans="1:8" x14ac:dyDescent="0.3">
      <c r="A142" s="51"/>
      <c r="B142" s="22"/>
      <c r="C142" s="31"/>
      <c r="D142" s="31"/>
      <c r="E142" s="39"/>
      <c r="F142" s="31"/>
      <c r="G142" s="22"/>
      <c r="H142" s="22"/>
    </row>
    <row r="143" spans="1:8" x14ac:dyDescent="0.3">
      <c r="A143" s="51"/>
      <c r="B143" s="22"/>
      <c r="C143" s="31"/>
      <c r="D143" s="31"/>
      <c r="E143" s="39"/>
      <c r="F143" s="31"/>
      <c r="G143" s="22"/>
      <c r="H143" s="22"/>
    </row>
    <row r="144" spans="1:8" x14ac:dyDescent="0.3">
      <c r="A144" s="51"/>
      <c r="B144" s="22"/>
      <c r="C144" s="31"/>
      <c r="D144" s="31"/>
      <c r="E144" s="39"/>
      <c r="F144" s="31"/>
      <c r="G144" s="22"/>
      <c r="H144" s="22"/>
    </row>
    <row r="145" spans="1:8" x14ac:dyDescent="0.3">
      <c r="A145" s="51"/>
      <c r="B145" s="22"/>
      <c r="C145" s="31"/>
      <c r="D145" s="31"/>
      <c r="E145" s="39"/>
      <c r="F145" s="31"/>
      <c r="G145" s="22"/>
      <c r="H145" s="22"/>
    </row>
    <row r="146" spans="1:8" x14ac:dyDescent="0.3">
      <c r="A146" s="51"/>
      <c r="B146" s="22"/>
      <c r="C146" s="31"/>
      <c r="D146" s="31"/>
      <c r="E146" s="39"/>
      <c r="F146" s="31"/>
      <c r="G146" s="22"/>
      <c r="H146" s="22"/>
    </row>
    <row r="147" spans="1:8" x14ac:dyDescent="0.3">
      <c r="A147" s="51"/>
      <c r="B147" s="22"/>
      <c r="C147" s="31"/>
      <c r="D147" s="31"/>
      <c r="E147" s="39"/>
      <c r="F147" s="31"/>
      <c r="G147" s="22"/>
      <c r="H147" s="22"/>
    </row>
    <row r="148" spans="1:8" x14ac:dyDescent="0.3">
      <c r="A148" s="51"/>
      <c r="B148" s="22"/>
      <c r="C148" s="31"/>
      <c r="D148" s="31"/>
      <c r="E148" s="39"/>
      <c r="F148" s="31"/>
      <c r="G148" s="22"/>
      <c r="H148" s="22"/>
    </row>
    <row r="149" spans="1:8" x14ac:dyDescent="0.3">
      <c r="A149" s="51"/>
      <c r="B149" s="22"/>
      <c r="C149" s="31"/>
      <c r="D149" s="31"/>
      <c r="E149" s="39"/>
      <c r="F149" s="31"/>
      <c r="G149" s="22"/>
      <c r="H149" s="22"/>
    </row>
    <row r="150" spans="1:8" x14ac:dyDescent="0.3">
      <c r="A150" s="51"/>
      <c r="B150" s="22"/>
      <c r="C150" s="31"/>
      <c r="D150" s="31"/>
      <c r="E150" s="39"/>
      <c r="F150" s="31"/>
      <c r="G150" s="22"/>
      <c r="H150" s="22"/>
    </row>
    <row r="151" spans="1:8" x14ac:dyDescent="0.3">
      <c r="A151" s="51"/>
      <c r="B151" s="22"/>
      <c r="C151" s="31"/>
      <c r="D151" s="31"/>
      <c r="E151" s="39"/>
      <c r="F151" s="31"/>
      <c r="G151" s="22"/>
      <c r="H151" s="22"/>
    </row>
    <row r="152" spans="1:8" x14ac:dyDescent="0.3">
      <c r="A152" s="51"/>
      <c r="B152" s="22"/>
      <c r="C152" s="31"/>
      <c r="D152" s="31"/>
      <c r="E152" s="39"/>
      <c r="F152" s="31"/>
      <c r="G152" s="22"/>
      <c r="H152" s="22"/>
    </row>
    <row r="153" spans="1:8" x14ac:dyDescent="0.3">
      <c r="A153" s="51"/>
      <c r="B153" s="22"/>
      <c r="C153" s="31"/>
      <c r="D153" s="31"/>
      <c r="E153" s="39"/>
      <c r="F153" s="31"/>
      <c r="G153" s="22"/>
      <c r="H153" s="22"/>
    </row>
    <row r="154" spans="1:8" x14ac:dyDescent="0.3">
      <c r="A154" s="51"/>
      <c r="B154" s="22"/>
      <c r="C154" s="31"/>
      <c r="D154" s="31"/>
      <c r="E154" s="39"/>
      <c r="F154" s="31"/>
      <c r="G154" s="22"/>
      <c r="H154" s="22"/>
    </row>
    <row r="155" spans="1:8" x14ac:dyDescent="0.3">
      <c r="A155" s="51"/>
      <c r="B155" s="22"/>
      <c r="C155" s="31"/>
      <c r="D155" s="31"/>
      <c r="E155" s="39"/>
      <c r="F155" s="31"/>
      <c r="G155" s="22"/>
      <c r="H155" s="22"/>
    </row>
    <row r="156" spans="1:8" x14ac:dyDescent="0.3">
      <c r="A156" s="51"/>
      <c r="B156" s="22"/>
      <c r="C156" s="31"/>
      <c r="D156" s="31"/>
      <c r="E156" s="39"/>
      <c r="F156" s="31"/>
      <c r="G156" s="22"/>
      <c r="H156" s="22"/>
    </row>
    <row r="157" spans="1:8" x14ac:dyDescent="0.3">
      <c r="A157" s="51"/>
      <c r="B157" s="22"/>
      <c r="C157" s="31"/>
      <c r="D157" s="31"/>
      <c r="E157" s="39"/>
      <c r="F157" s="31"/>
      <c r="G157" s="22"/>
      <c r="H157" s="22"/>
    </row>
    <row r="158" spans="1:8" x14ac:dyDescent="0.3">
      <c r="A158" s="51"/>
      <c r="B158" s="22"/>
      <c r="C158" s="31"/>
      <c r="D158" s="31"/>
      <c r="E158" s="39"/>
      <c r="F158" s="31"/>
      <c r="G158" s="22"/>
      <c r="H158" s="22"/>
    </row>
    <row r="159" spans="1:8" x14ac:dyDescent="0.3">
      <c r="A159" s="51"/>
      <c r="B159" s="22"/>
      <c r="C159" s="31"/>
      <c r="D159" s="31"/>
      <c r="E159" s="39"/>
      <c r="F159" s="31"/>
      <c r="G159" s="22"/>
      <c r="H159" s="22"/>
    </row>
    <row r="160" spans="1:8" x14ac:dyDescent="0.3">
      <c r="A160" s="51"/>
      <c r="B160" s="22"/>
      <c r="C160" s="31"/>
      <c r="D160" s="31"/>
      <c r="E160" s="39"/>
      <c r="F160" s="31"/>
      <c r="G160" s="22"/>
      <c r="H160" s="22"/>
    </row>
    <row r="161" spans="1:8" x14ac:dyDescent="0.3">
      <c r="A161" s="51"/>
      <c r="B161" s="22"/>
      <c r="C161" s="31"/>
      <c r="D161" s="31"/>
      <c r="E161" s="39"/>
      <c r="F161" s="31"/>
      <c r="G161" s="22"/>
      <c r="H161" s="22"/>
    </row>
    <row r="162" spans="1:8" x14ac:dyDescent="0.3">
      <c r="A162" s="51"/>
      <c r="B162" s="22"/>
      <c r="C162" s="31"/>
      <c r="D162" s="31"/>
      <c r="E162" s="39"/>
      <c r="F162" s="31"/>
      <c r="G162" s="22"/>
      <c r="H162" s="22"/>
    </row>
    <row r="163" spans="1:8" x14ac:dyDescent="0.3">
      <c r="A163" s="51"/>
      <c r="B163" s="22"/>
      <c r="C163" s="31"/>
      <c r="D163" s="31"/>
      <c r="E163" s="39"/>
      <c r="F163" s="31"/>
      <c r="G163" s="22"/>
      <c r="H163" s="22"/>
    </row>
    <row r="164" spans="1:8" x14ac:dyDescent="0.3">
      <c r="A164" s="51"/>
      <c r="B164" s="22"/>
      <c r="C164" s="31"/>
      <c r="D164" s="31"/>
      <c r="E164" s="39"/>
      <c r="F164" s="31"/>
      <c r="G164" s="22"/>
      <c r="H164" s="22"/>
    </row>
    <row r="165" spans="1:8" x14ac:dyDescent="0.3">
      <c r="A165" s="51"/>
      <c r="B165" s="22"/>
      <c r="C165" s="31"/>
      <c r="D165" s="31"/>
      <c r="E165" s="39"/>
      <c r="F165" s="31"/>
      <c r="G165" s="22"/>
      <c r="H165" s="22"/>
    </row>
    <row r="166" spans="1:8" x14ac:dyDescent="0.3">
      <c r="A166" s="51"/>
      <c r="B166" s="22"/>
      <c r="C166" s="31"/>
      <c r="D166" s="31"/>
      <c r="E166" s="39"/>
      <c r="F166" s="31"/>
      <c r="G166" s="22"/>
      <c r="H166" s="22"/>
    </row>
    <row r="167" spans="1:8" x14ac:dyDescent="0.3">
      <c r="A167" s="51"/>
      <c r="B167" s="22"/>
      <c r="C167" s="31"/>
      <c r="D167" s="31"/>
      <c r="E167" s="39"/>
      <c r="F167" s="31"/>
      <c r="G167" s="22"/>
      <c r="H167" s="22"/>
    </row>
    <row r="168" spans="1:8" x14ac:dyDescent="0.3">
      <c r="A168" s="51"/>
      <c r="B168" s="22"/>
      <c r="C168" s="31"/>
      <c r="D168" s="31"/>
      <c r="E168" s="39"/>
      <c r="F168" s="31"/>
      <c r="G168" s="22"/>
      <c r="H168" s="22"/>
    </row>
    <row r="169" spans="1:8" x14ac:dyDescent="0.3">
      <c r="A169" s="51"/>
      <c r="B169" s="22"/>
      <c r="C169" s="31"/>
      <c r="D169" s="31"/>
      <c r="E169" s="39"/>
      <c r="F169" s="31"/>
      <c r="G169" s="22"/>
      <c r="H169" s="22"/>
    </row>
    <row r="170" spans="1:8" x14ac:dyDescent="0.3">
      <c r="A170" s="51"/>
      <c r="B170" s="22"/>
      <c r="C170" s="31"/>
      <c r="D170" s="31"/>
      <c r="E170" s="39"/>
      <c r="F170" s="31"/>
      <c r="G170" s="22"/>
      <c r="H170" s="22"/>
    </row>
    <row r="171" spans="1:8" x14ac:dyDescent="0.3">
      <c r="A171" s="51"/>
      <c r="B171" s="22"/>
      <c r="C171" s="31"/>
      <c r="D171" s="31"/>
      <c r="E171" s="39"/>
      <c r="F171" s="31"/>
      <c r="G171" s="22"/>
      <c r="H171" s="22"/>
    </row>
    <row r="172" spans="1:8" x14ac:dyDescent="0.3">
      <c r="A172" s="51"/>
      <c r="B172" s="22"/>
      <c r="C172" s="31"/>
      <c r="D172" s="31"/>
      <c r="E172" s="39"/>
      <c r="F172" s="31"/>
      <c r="G172" s="22"/>
      <c r="H172" s="22"/>
    </row>
    <row r="173" spans="1:8" x14ac:dyDescent="0.3">
      <c r="A173" s="51"/>
      <c r="B173" s="22"/>
      <c r="C173" s="31"/>
      <c r="D173" s="31"/>
      <c r="E173" s="39"/>
      <c r="F173" s="31"/>
      <c r="G173" s="22"/>
      <c r="H173" s="22"/>
    </row>
    <row r="174" spans="1:8" x14ac:dyDescent="0.3">
      <c r="A174" s="51"/>
      <c r="B174" s="22"/>
      <c r="C174" s="31"/>
      <c r="D174" s="31"/>
      <c r="E174" s="39"/>
      <c r="F174" s="31"/>
      <c r="G174" s="22"/>
      <c r="H174" s="22"/>
    </row>
    <row r="175" spans="1:8" x14ac:dyDescent="0.3">
      <c r="A175" s="51"/>
      <c r="B175" s="22"/>
      <c r="C175" s="31"/>
      <c r="D175" s="31"/>
      <c r="E175" s="39"/>
      <c r="F175" s="31"/>
      <c r="G175" s="22"/>
      <c r="H175" s="22"/>
    </row>
    <row r="176" spans="1:8" x14ac:dyDescent="0.3">
      <c r="A176" s="51"/>
      <c r="B176" s="22"/>
      <c r="C176" s="31"/>
      <c r="D176" s="31"/>
      <c r="E176" s="39"/>
      <c r="F176" s="31"/>
      <c r="G176" s="22"/>
      <c r="H176" s="22"/>
    </row>
    <row r="177" spans="1:8" x14ac:dyDescent="0.3">
      <c r="A177" s="51"/>
      <c r="B177" s="22"/>
      <c r="C177" s="31"/>
      <c r="D177" s="31"/>
      <c r="E177" s="39"/>
      <c r="F177" s="31"/>
      <c r="G177" s="22"/>
      <c r="H177" s="22"/>
    </row>
    <row r="178" spans="1:8" x14ac:dyDescent="0.3">
      <c r="A178" s="51"/>
      <c r="B178" s="22"/>
      <c r="C178" s="31"/>
      <c r="D178" s="31"/>
      <c r="E178" s="39"/>
      <c r="F178" s="31"/>
      <c r="G178" s="22"/>
      <c r="H178" s="22"/>
    </row>
    <row r="179" spans="1:8" x14ac:dyDescent="0.3">
      <c r="A179" s="51"/>
      <c r="B179" s="22"/>
      <c r="C179" s="31"/>
      <c r="D179" s="31"/>
      <c r="E179" s="39"/>
      <c r="F179" s="31"/>
      <c r="G179" s="22"/>
      <c r="H179" s="22"/>
    </row>
    <row r="180" spans="1:8" x14ac:dyDescent="0.3">
      <c r="A180" s="51"/>
      <c r="B180" s="22"/>
      <c r="C180" s="31"/>
      <c r="D180" s="31"/>
      <c r="E180" s="39"/>
      <c r="F180" s="31"/>
      <c r="G180" s="22"/>
      <c r="H180" s="22"/>
    </row>
    <row r="181" spans="1:8" x14ac:dyDescent="0.3">
      <c r="A181" s="51"/>
      <c r="B181" s="22"/>
      <c r="C181" s="31"/>
      <c r="D181" s="31"/>
      <c r="E181" s="39"/>
      <c r="F181" s="31"/>
      <c r="G181" s="22"/>
      <c r="H181" s="22"/>
    </row>
    <row r="182" spans="1:8" x14ac:dyDescent="0.3">
      <c r="A182" s="51"/>
      <c r="B182" s="22"/>
      <c r="C182" s="31"/>
      <c r="D182" s="31"/>
      <c r="E182" s="39"/>
      <c r="F182" s="31"/>
      <c r="G182" s="22"/>
      <c r="H182" s="22"/>
    </row>
    <row r="183" spans="1:8" x14ac:dyDescent="0.3">
      <c r="A183" s="51"/>
      <c r="B183" s="22"/>
      <c r="C183" s="31"/>
      <c r="D183" s="31"/>
      <c r="E183" s="39"/>
      <c r="F183" s="31"/>
      <c r="G183" s="22"/>
      <c r="H183" s="22"/>
    </row>
    <row r="184" spans="1:8" x14ac:dyDescent="0.3">
      <c r="A184" s="51"/>
      <c r="B184" s="22"/>
      <c r="C184" s="31"/>
      <c r="D184" s="31"/>
      <c r="E184" s="39"/>
      <c r="F184" s="31"/>
      <c r="G184" s="22"/>
      <c r="H184" s="22"/>
    </row>
    <row r="185" spans="1:8" x14ac:dyDescent="0.3">
      <c r="A185" s="51"/>
      <c r="B185" s="22"/>
      <c r="C185" s="31"/>
      <c r="D185" s="31"/>
      <c r="E185" s="39"/>
      <c r="F185" s="31"/>
      <c r="G185" s="22"/>
      <c r="H185" s="22"/>
    </row>
    <row r="186" spans="1:8" x14ac:dyDescent="0.3">
      <c r="A186" s="51"/>
      <c r="B186" s="22"/>
      <c r="C186" s="31"/>
      <c r="D186" s="31"/>
      <c r="E186" s="39"/>
      <c r="F186" s="31"/>
      <c r="G186" s="22"/>
      <c r="H186" s="22"/>
    </row>
    <row r="187" spans="1:8" x14ac:dyDescent="0.3">
      <c r="A187" s="51"/>
      <c r="B187" s="22"/>
      <c r="C187" s="31"/>
      <c r="D187" s="31"/>
      <c r="E187" s="39"/>
      <c r="F187" s="31"/>
      <c r="G187" s="22"/>
      <c r="H187" s="22"/>
    </row>
    <row r="188" spans="1:8" x14ac:dyDescent="0.3">
      <c r="A188" s="51"/>
      <c r="B188" s="22"/>
      <c r="C188" s="31"/>
      <c r="D188" s="31"/>
      <c r="E188" s="39"/>
      <c r="F188" s="31"/>
      <c r="G188" s="22"/>
      <c r="H188" s="22"/>
    </row>
    <row r="189" spans="1:8" x14ac:dyDescent="0.3">
      <c r="A189" s="51"/>
      <c r="B189" s="22"/>
      <c r="C189" s="31"/>
      <c r="D189" s="31"/>
      <c r="E189" s="39"/>
      <c r="F189" s="31"/>
      <c r="G189" s="22"/>
      <c r="H189" s="22"/>
    </row>
    <row r="190" spans="1:8" x14ac:dyDescent="0.3">
      <c r="A190" s="51"/>
      <c r="B190" s="22"/>
      <c r="C190" s="31"/>
      <c r="D190" s="31"/>
      <c r="E190" s="39"/>
      <c r="F190" s="31"/>
      <c r="G190" s="22"/>
      <c r="H190" s="22"/>
    </row>
    <row r="191" spans="1:8" x14ac:dyDescent="0.3">
      <c r="A191" s="51"/>
      <c r="B191" s="22"/>
      <c r="C191" s="31"/>
      <c r="D191" s="31"/>
      <c r="E191" s="39"/>
      <c r="F191" s="31"/>
      <c r="G191" s="22"/>
      <c r="H191" s="22"/>
    </row>
    <row r="192" spans="1:8" x14ac:dyDescent="0.3">
      <c r="A192" s="51"/>
      <c r="B192" s="22"/>
      <c r="C192" s="31"/>
      <c r="D192" s="31"/>
      <c r="E192" s="39"/>
      <c r="F192" s="31"/>
      <c r="G192" s="22"/>
      <c r="H192" s="22"/>
    </row>
    <row r="193" spans="1:8" x14ac:dyDescent="0.3">
      <c r="A193" s="51"/>
      <c r="B193" s="22"/>
      <c r="C193" s="31"/>
      <c r="D193" s="31"/>
      <c r="E193" s="39"/>
      <c r="F193" s="31"/>
      <c r="G193" s="22"/>
      <c r="H193" s="22"/>
    </row>
    <row r="194" spans="1:8" x14ac:dyDescent="0.3">
      <c r="A194" s="51"/>
      <c r="B194" s="22"/>
      <c r="C194" s="31"/>
      <c r="D194" s="31"/>
      <c r="E194" s="39"/>
      <c r="F194" s="31"/>
      <c r="G194" s="22"/>
      <c r="H194" s="22"/>
    </row>
    <row r="195" spans="1:8" x14ac:dyDescent="0.3">
      <c r="A195" s="51"/>
      <c r="B195" s="22"/>
      <c r="C195" s="31"/>
      <c r="D195" s="31"/>
      <c r="E195" s="39"/>
      <c r="F195" s="31"/>
      <c r="G195" s="22"/>
      <c r="H195" s="22"/>
    </row>
    <row r="196" spans="1:8" x14ac:dyDescent="0.3">
      <c r="A196" s="51"/>
      <c r="B196" s="22"/>
      <c r="C196" s="31"/>
      <c r="D196" s="31"/>
      <c r="E196" s="39"/>
      <c r="F196" s="31"/>
      <c r="G196" s="22"/>
      <c r="H196" s="22"/>
    </row>
    <row r="197" spans="1:8" x14ac:dyDescent="0.3">
      <c r="A197" s="51"/>
      <c r="B197" s="22"/>
      <c r="C197" s="31"/>
      <c r="D197" s="31"/>
      <c r="E197" s="39"/>
      <c r="F197" s="31"/>
      <c r="G197" s="22"/>
      <c r="H197" s="22"/>
    </row>
    <row r="198" spans="1:8" x14ac:dyDescent="0.3">
      <c r="A198" s="51"/>
      <c r="B198" s="22"/>
      <c r="C198" s="31"/>
      <c r="D198" s="31"/>
      <c r="E198" s="39"/>
      <c r="F198" s="31"/>
      <c r="G198" s="22"/>
      <c r="H198" s="22"/>
    </row>
    <row r="199" spans="1:8" x14ac:dyDescent="0.3">
      <c r="A199" s="51"/>
      <c r="B199" s="22"/>
      <c r="C199" s="31"/>
      <c r="D199" s="31"/>
      <c r="E199" s="39"/>
      <c r="F199" s="31"/>
      <c r="G199" s="22"/>
      <c r="H199" s="22"/>
    </row>
    <row r="200" spans="1:8" x14ac:dyDescent="0.3">
      <c r="A200" s="51"/>
      <c r="B200" s="22"/>
      <c r="C200" s="31"/>
      <c r="D200" s="31"/>
      <c r="E200" s="39"/>
      <c r="F200" s="31"/>
      <c r="G200" s="22"/>
      <c r="H200" s="22"/>
    </row>
    <row r="201" spans="1:8" x14ac:dyDescent="0.3">
      <c r="A201" s="51"/>
      <c r="B201" s="22"/>
      <c r="C201" s="31"/>
      <c r="D201" s="31"/>
      <c r="E201" s="39"/>
      <c r="F201" s="31"/>
      <c r="G201" s="22"/>
      <c r="H201" s="22"/>
    </row>
    <row r="202" spans="1:8" x14ac:dyDescent="0.3">
      <c r="A202" s="51"/>
      <c r="B202" s="22"/>
      <c r="C202" s="31"/>
      <c r="D202" s="31"/>
      <c r="E202" s="39"/>
      <c r="F202" s="31"/>
      <c r="G202" s="22"/>
      <c r="H202" s="22"/>
    </row>
    <row r="203" spans="1:8" x14ac:dyDescent="0.3">
      <c r="A203" s="51"/>
      <c r="B203" s="22"/>
      <c r="C203" s="31"/>
      <c r="D203" s="31"/>
      <c r="E203" s="39"/>
      <c r="F203" s="31"/>
      <c r="G203" s="22"/>
      <c r="H203" s="22"/>
    </row>
    <row r="204" spans="1:8" x14ac:dyDescent="0.3">
      <c r="A204" s="51"/>
      <c r="B204" s="22"/>
      <c r="C204" s="31"/>
      <c r="D204" s="31"/>
      <c r="E204" s="39"/>
      <c r="F204" s="31"/>
      <c r="G204" s="22"/>
      <c r="H204" s="22"/>
    </row>
    <row r="205" spans="1:8" x14ac:dyDescent="0.3">
      <c r="A205" s="51"/>
      <c r="B205" s="22"/>
      <c r="C205" s="31"/>
      <c r="D205" s="31"/>
      <c r="E205" s="39"/>
      <c r="F205" s="31"/>
      <c r="G205" s="22"/>
      <c r="H205" s="22"/>
    </row>
    <row r="206" spans="1:8" x14ac:dyDescent="0.3">
      <c r="A206" s="51"/>
      <c r="B206" s="22"/>
      <c r="C206" s="31"/>
      <c r="D206" s="31"/>
      <c r="E206" s="39"/>
      <c r="F206" s="31"/>
      <c r="G206" s="22"/>
      <c r="H206" s="22"/>
    </row>
    <row r="207" spans="1:8" x14ac:dyDescent="0.3">
      <c r="A207" s="51"/>
      <c r="B207" s="22"/>
      <c r="C207" s="31"/>
      <c r="D207" s="31"/>
      <c r="E207" s="39"/>
      <c r="F207" s="31"/>
      <c r="G207" s="22"/>
      <c r="H207" s="22"/>
    </row>
    <row r="208" spans="1:8" x14ac:dyDescent="0.3">
      <c r="A208" s="51"/>
      <c r="B208" s="22"/>
      <c r="C208" s="31"/>
      <c r="D208" s="31"/>
      <c r="E208" s="39"/>
      <c r="F208" s="31"/>
      <c r="G208" s="22"/>
      <c r="H208" s="22"/>
    </row>
    <row r="209" spans="1:8" x14ac:dyDescent="0.3">
      <c r="A209" s="51"/>
      <c r="B209" s="22"/>
      <c r="C209" s="31"/>
      <c r="D209" s="31"/>
      <c r="E209" s="39"/>
      <c r="F209" s="31"/>
      <c r="G209" s="22"/>
      <c r="H209" s="22"/>
    </row>
    <row r="210" spans="1:8" x14ac:dyDescent="0.3">
      <c r="A210" s="51"/>
      <c r="B210" s="22"/>
      <c r="C210" s="31"/>
      <c r="D210" s="31"/>
      <c r="E210" s="39"/>
      <c r="F210" s="31"/>
      <c r="G210" s="22"/>
      <c r="H210" s="22"/>
    </row>
    <row r="211" spans="1:8" x14ac:dyDescent="0.3">
      <c r="A211" s="51"/>
      <c r="B211" s="22"/>
      <c r="C211" s="31"/>
      <c r="D211" s="31"/>
      <c r="E211" s="39"/>
      <c r="F211" s="31"/>
      <c r="G211" s="22"/>
      <c r="H211" s="22"/>
    </row>
    <row r="212" spans="1:8" x14ac:dyDescent="0.3">
      <c r="A212" s="51"/>
      <c r="B212" s="22"/>
      <c r="C212" s="31"/>
      <c r="D212" s="31"/>
      <c r="E212" s="39"/>
      <c r="F212" s="31"/>
      <c r="G212" s="22"/>
      <c r="H212" s="22"/>
    </row>
    <row r="213" spans="1:8" x14ac:dyDescent="0.3">
      <c r="A213" s="51"/>
      <c r="B213" s="22"/>
      <c r="C213" s="31"/>
      <c r="D213" s="31"/>
      <c r="E213" s="39"/>
      <c r="F213" s="31"/>
      <c r="G213" s="22"/>
      <c r="H213" s="22"/>
    </row>
    <row r="214" spans="1:8" x14ac:dyDescent="0.3">
      <c r="A214" s="51"/>
      <c r="B214" s="22"/>
      <c r="C214" s="31"/>
      <c r="D214" s="31"/>
      <c r="E214" s="39"/>
      <c r="F214" s="31"/>
      <c r="G214" s="22"/>
      <c r="H214" s="22"/>
    </row>
    <row r="215" spans="1:8" x14ac:dyDescent="0.3">
      <c r="A215" s="51"/>
      <c r="B215" s="22"/>
      <c r="C215" s="31"/>
      <c r="D215" s="31"/>
      <c r="E215" s="39"/>
      <c r="F215" s="31"/>
      <c r="G215" s="22"/>
      <c r="H215" s="22"/>
    </row>
    <row r="216" spans="1:8" x14ac:dyDescent="0.3">
      <c r="A216" s="51"/>
      <c r="B216" s="22"/>
      <c r="C216" s="31"/>
      <c r="D216" s="31"/>
      <c r="E216" s="39"/>
      <c r="F216" s="31"/>
      <c r="G216" s="22"/>
      <c r="H216" s="22"/>
    </row>
    <row r="217" spans="1:8" x14ac:dyDescent="0.3">
      <c r="A217" s="51"/>
      <c r="B217" s="22"/>
      <c r="C217" s="31"/>
      <c r="D217" s="31"/>
      <c r="E217" s="39"/>
      <c r="F217" s="31"/>
      <c r="G217" s="22"/>
      <c r="H217" s="22"/>
    </row>
    <row r="218" spans="1:8" x14ac:dyDescent="0.3">
      <c r="A218" s="51"/>
      <c r="B218" s="22"/>
      <c r="C218" s="31"/>
      <c r="D218" s="31"/>
      <c r="E218" s="39"/>
      <c r="F218" s="31"/>
      <c r="G218" s="22"/>
      <c r="H218" s="22"/>
    </row>
    <row r="219" spans="1:8" x14ac:dyDescent="0.3">
      <c r="A219" s="51"/>
      <c r="B219" s="22"/>
      <c r="C219" s="31"/>
      <c r="D219" s="31"/>
      <c r="E219" s="39"/>
      <c r="F219" s="31"/>
      <c r="G219" s="22"/>
      <c r="H219" s="22"/>
    </row>
    <row r="220" spans="1:8" x14ac:dyDescent="0.3">
      <c r="A220" s="51"/>
      <c r="B220" s="22"/>
      <c r="C220" s="31"/>
      <c r="D220" s="31"/>
      <c r="E220" s="39"/>
      <c r="F220" s="31"/>
      <c r="G220" s="22"/>
      <c r="H220" s="22"/>
    </row>
    <row r="221" spans="1:8" x14ac:dyDescent="0.3">
      <c r="A221" s="51"/>
      <c r="B221" s="22"/>
      <c r="C221" s="31"/>
      <c r="D221" s="31"/>
      <c r="E221" s="39"/>
      <c r="F221" s="31"/>
      <c r="G221" s="22"/>
      <c r="H221" s="22"/>
    </row>
    <row r="222" spans="1:8" x14ac:dyDescent="0.3">
      <c r="A222" s="51"/>
      <c r="B222" s="22"/>
      <c r="C222" s="31"/>
      <c r="D222" s="31"/>
      <c r="E222" s="39"/>
      <c r="F222" s="31"/>
      <c r="G222" s="22"/>
      <c r="H222" s="22"/>
    </row>
    <row r="223" spans="1:8" x14ac:dyDescent="0.3">
      <c r="A223" s="51"/>
      <c r="B223" s="22"/>
      <c r="C223" s="31"/>
      <c r="D223" s="31"/>
      <c r="E223" s="39"/>
      <c r="F223" s="31"/>
      <c r="G223" s="22"/>
      <c r="H223" s="22"/>
    </row>
    <row r="224" spans="1:8" x14ac:dyDescent="0.3">
      <c r="A224" s="51"/>
      <c r="B224" s="22"/>
      <c r="C224" s="31"/>
      <c r="D224" s="31"/>
      <c r="E224" s="39"/>
      <c r="F224" s="31"/>
      <c r="G224" s="22"/>
      <c r="H224" s="22"/>
    </row>
    <row r="225" spans="1:8" x14ac:dyDescent="0.3">
      <c r="A225" s="51"/>
      <c r="B225" s="22"/>
      <c r="C225" s="31"/>
      <c r="D225" s="31"/>
      <c r="E225" s="39"/>
      <c r="F225" s="31"/>
      <c r="G225" s="22"/>
      <c r="H225" s="22"/>
    </row>
    <row r="226" spans="1:8" x14ac:dyDescent="0.3">
      <c r="A226" s="51"/>
      <c r="B226" s="22"/>
      <c r="C226" s="31"/>
      <c r="D226" s="31"/>
      <c r="E226" s="39"/>
      <c r="F226" s="31"/>
      <c r="G226" s="22"/>
      <c r="H226" s="22"/>
    </row>
    <row r="227" spans="1:8" x14ac:dyDescent="0.3">
      <c r="A227" s="51"/>
      <c r="B227" s="22"/>
      <c r="C227" s="31"/>
      <c r="D227" s="31"/>
      <c r="E227" s="39"/>
      <c r="F227" s="31"/>
      <c r="G227" s="22"/>
      <c r="H227" s="22"/>
    </row>
    <row r="228" spans="1:8" x14ac:dyDescent="0.3">
      <c r="A228" s="51"/>
      <c r="B228" s="22"/>
      <c r="C228" s="31"/>
      <c r="D228" s="31"/>
      <c r="E228" s="39"/>
      <c r="F228" s="31"/>
      <c r="G228" s="22"/>
      <c r="H228" s="22"/>
    </row>
    <row r="229" spans="1:8" x14ac:dyDescent="0.3">
      <c r="A229" s="51"/>
      <c r="B229" s="22"/>
      <c r="C229" s="31"/>
      <c r="D229" s="31"/>
      <c r="E229" s="39"/>
      <c r="F229" s="31"/>
      <c r="G229" s="22"/>
      <c r="H229" s="22"/>
    </row>
    <row r="230" spans="1:8" x14ac:dyDescent="0.3">
      <c r="A230" s="51"/>
      <c r="B230" s="22"/>
      <c r="C230" s="31"/>
      <c r="D230" s="31"/>
      <c r="E230" s="39"/>
      <c r="F230" s="31"/>
      <c r="G230" s="22"/>
      <c r="H230" s="22"/>
    </row>
    <row r="231" spans="1:8" x14ac:dyDescent="0.3">
      <c r="A231" s="51"/>
      <c r="B231" s="22"/>
      <c r="C231" s="31"/>
      <c r="D231" s="31"/>
      <c r="E231" s="39"/>
      <c r="F231" s="31"/>
      <c r="G231" s="22"/>
      <c r="H231" s="22"/>
    </row>
    <row r="232" spans="1:8" x14ac:dyDescent="0.3">
      <c r="A232" s="51"/>
      <c r="B232" s="22"/>
      <c r="C232" s="31"/>
      <c r="D232" s="31"/>
      <c r="E232" s="39"/>
      <c r="F232" s="31"/>
      <c r="G232" s="22"/>
      <c r="H232" s="22"/>
    </row>
    <row r="233" spans="1:8" x14ac:dyDescent="0.3">
      <c r="A233" s="51"/>
      <c r="B233" s="22"/>
      <c r="C233" s="31"/>
      <c r="D233" s="31"/>
      <c r="E233" s="39"/>
      <c r="F233" s="31"/>
      <c r="G233" s="22"/>
      <c r="H233" s="22"/>
    </row>
    <row r="234" spans="1:8" x14ac:dyDescent="0.3">
      <c r="A234" s="51"/>
      <c r="B234" s="22"/>
      <c r="C234" s="31"/>
      <c r="D234" s="31"/>
      <c r="E234" s="39"/>
      <c r="F234" s="31"/>
      <c r="G234" s="22"/>
      <c r="H234" s="22"/>
    </row>
    <row r="235" spans="1:8" x14ac:dyDescent="0.3">
      <c r="A235" s="51"/>
      <c r="B235" s="22"/>
      <c r="C235" s="31"/>
      <c r="D235" s="31"/>
      <c r="E235" s="39"/>
      <c r="F235" s="31"/>
      <c r="G235" s="22"/>
      <c r="H235" s="22"/>
    </row>
    <row r="236" spans="1:8" x14ac:dyDescent="0.3">
      <c r="A236" s="51"/>
      <c r="B236" s="22"/>
      <c r="C236" s="31"/>
      <c r="D236" s="31"/>
      <c r="E236" s="39"/>
      <c r="F236" s="31"/>
      <c r="G236" s="22"/>
      <c r="H236" s="22"/>
    </row>
    <row r="237" spans="1:8" x14ac:dyDescent="0.3">
      <c r="A237" s="51"/>
      <c r="B237" s="22"/>
      <c r="C237" s="31"/>
      <c r="D237" s="31"/>
      <c r="E237" s="39"/>
      <c r="F237" s="31"/>
      <c r="G237" s="22"/>
      <c r="H237" s="22"/>
    </row>
    <row r="238" spans="1:8" x14ac:dyDescent="0.3">
      <c r="A238" s="51"/>
      <c r="B238" s="22"/>
      <c r="C238" s="31"/>
      <c r="D238" s="31"/>
      <c r="E238" s="39"/>
      <c r="F238" s="31"/>
      <c r="G238" s="22"/>
      <c r="H238" s="22"/>
    </row>
    <row r="239" spans="1:8" x14ac:dyDescent="0.3">
      <c r="A239" s="51"/>
      <c r="B239" s="22"/>
      <c r="C239" s="31"/>
      <c r="D239" s="31"/>
      <c r="E239" s="39"/>
      <c r="F239" s="31"/>
      <c r="G239" s="22"/>
      <c r="H239" s="22"/>
    </row>
    <row r="240" spans="1:8" x14ac:dyDescent="0.3">
      <c r="A240" s="51"/>
      <c r="B240" s="22"/>
      <c r="C240" s="31"/>
      <c r="D240" s="31"/>
      <c r="E240" s="39"/>
      <c r="F240" s="31"/>
      <c r="G240" s="22"/>
      <c r="H240" s="22"/>
    </row>
    <row r="241" spans="1:8" x14ac:dyDescent="0.3">
      <c r="A241" s="51"/>
      <c r="B241" s="22"/>
      <c r="C241" s="31"/>
      <c r="D241" s="31"/>
      <c r="E241" s="39"/>
      <c r="F241" s="31"/>
      <c r="G241" s="22"/>
      <c r="H241" s="22"/>
    </row>
    <row r="242" spans="1:8" x14ac:dyDescent="0.3">
      <c r="A242" s="51"/>
      <c r="B242" s="22"/>
      <c r="C242" s="31"/>
      <c r="D242" s="31"/>
      <c r="E242" s="39"/>
      <c r="F242" s="31"/>
      <c r="G242" s="22"/>
      <c r="H242" s="22"/>
    </row>
    <row r="243" spans="1:8" x14ac:dyDescent="0.3">
      <c r="A243" s="51"/>
      <c r="B243" s="22"/>
      <c r="C243" s="31"/>
      <c r="D243" s="31"/>
      <c r="E243" s="39"/>
      <c r="F243" s="31"/>
      <c r="G243" s="22"/>
      <c r="H243" s="22"/>
    </row>
    <row r="244" spans="1:8" x14ac:dyDescent="0.3">
      <c r="A244" s="51"/>
      <c r="B244" s="22"/>
      <c r="C244" s="31"/>
      <c r="D244" s="31"/>
      <c r="E244" s="39"/>
      <c r="F244" s="31"/>
      <c r="G244" s="22"/>
      <c r="H244" s="22"/>
    </row>
    <row r="245" spans="1:8" x14ac:dyDescent="0.3">
      <c r="A245" s="51"/>
      <c r="B245" s="22"/>
      <c r="C245" s="31"/>
      <c r="D245" s="31"/>
      <c r="E245" s="39"/>
      <c r="F245" s="31"/>
      <c r="G245" s="22"/>
      <c r="H245" s="22"/>
    </row>
    <row r="246" spans="1:8" x14ac:dyDescent="0.3">
      <c r="A246" s="51"/>
      <c r="B246" s="22"/>
      <c r="C246" s="31"/>
      <c r="D246" s="31"/>
      <c r="E246" s="39"/>
      <c r="F246" s="31"/>
      <c r="G246" s="22"/>
      <c r="H246" s="22"/>
    </row>
    <row r="247" spans="1:8" x14ac:dyDescent="0.3">
      <c r="A247" s="51"/>
      <c r="B247" s="22"/>
      <c r="C247" s="31"/>
      <c r="D247" s="31"/>
      <c r="E247" s="39"/>
      <c r="F247" s="31"/>
      <c r="G247" s="22"/>
      <c r="H247" s="22"/>
    </row>
    <row r="248" spans="1:8" x14ac:dyDescent="0.3">
      <c r="A248" s="51"/>
      <c r="B248" s="22"/>
      <c r="C248" s="31"/>
      <c r="D248" s="31"/>
      <c r="E248" s="39"/>
      <c r="F248" s="31"/>
      <c r="G248" s="22"/>
      <c r="H248" s="22"/>
    </row>
    <row r="249" spans="1:8" x14ac:dyDescent="0.3">
      <c r="A249" s="51"/>
      <c r="B249" s="22"/>
      <c r="C249" s="31"/>
      <c r="D249" s="31"/>
      <c r="E249" s="39"/>
      <c r="F249" s="31"/>
      <c r="G249" s="22"/>
      <c r="H249" s="22"/>
    </row>
    <row r="250" spans="1:8" x14ac:dyDescent="0.3">
      <c r="A250" s="51"/>
      <c r="B250" s="22"/>
      <c r="C250" s="31"/>
      <c r="D250" s="31"/>
      <c r="E250" s="39"/>
      <c r="F250" s="31"/>
      <c r="G250" s="22"/>
      <c r="H250" s="22"/>
    </row>
    <row r="251" spans="1:8" x14ac:dyDescent="0.3">
      <c r="A251" s="51"/>
      <c r="B251" s="22"/>
      <c r="C251" s="31"/>
      <c r="D251" s="31"/>
      <c r="E251" s="39"/>
      <c r="F251" s="31"/>
      <c r="G251" s="22"/>
      <c r="H251" s="22"/>
    </row>
    <row r="252" spans="1:8" x14ac:dyDescent="0.3">
      <c r="A252" s="51"/>
      <c r="B252" s="22"/>
      <c r="C252" s="31"/>
      <c r="D252" s="31"/>
      <c r="E252" s="39"/>
      <c r="F252" s="31"/>
      <c r="G252" s="22"/>
      <c r="H252" s="22"/>
    </row>
    <row r="253" spans="1:8" x14ac:dyDescent="0.3">
      <c r="A253" s="51"/>
      <c r="B253" s="22"/>
      <c r="C253" s="31"/>
      <c r="D253" s="31"/>
      <c r="E253" s="39"/>
      <c r="F253" s="31"/>
      <c r="G253" s="22"/>
      <c r="H253" s="22"/>
    </row>
    <row r="254" spans="1:8" x14ac:dyDescent="0.3">
      <c r="A254" s="51"/>
      <c r="B254" s="22"/>
      <c r="C254" s="31"/>
      <c r="D254" s="31"/>
      <c r="E254" s="39"/>
      <c r="F254" s="31"/>
      <c r="G254" s="22"/>
      <c r="H254" s="22"/>
    </row>
    <row r="255" spans="1:8" x14ac:dyDescent="0.3">
      <c r="A255" s="51"/>
      <c r="B255" s="22"/>
      <c r="C255" s="31"/>
      <c r="D255" s="31"/>
      <c r="E255" s="39"/>
      <c r="F255" s="31"/>
      <c r="G255" s="22"/>
      <c r="H255" s="22"/>
    </row>
    <row r="256" spans="1:8" x14ac:dyDescent="0.3">
      <c r="A256" s="51"/>
      <c r="B256" s="22"/>
      <c r="C256" s="31"/>
      <c r="D256" s="31"/>
      <c r="E256" s="39"/>
      <c r="F256" s="31"/>
      <c r="G256" s="22"/>
      <c r="H256" s="22"/>
    </row>
    <row r="257" spans="1:8" x14ac:dyDescent="0.3">
      <c r="A257" s="51"/>
      <c r="B257" s="22"/>
      <c r="C257" s="31"/>
      <c r="D257" s="31"/>
      <c r="E257" s="39"/>
      <c r="F257" s="31"/>
      <c r="G257" s="22"/>
      <c r="H257" s="22"/>
    </row>
    <row r="258" spans="1:8" x14ac:dyDescent="0.3">
      <c r="A258" s="51"/>
      <c r="B258" s="22"/>
      <c r="C258" s="31"/>
      <c r="D258" s="31"/>
      <c r="E258" s="39"/>
      <c r="F258" s="31"/>
      <c r="G258" s="22"/>
      <c r="H258" s="22"/>
    </row>
    <row r="259" spans="1:8" x14ac:dyDescent="0.3">
      <c r="A259" s="51"/>
      <c r="B259" s="22"/>
      <c r="C259" s="31"/>
      <c r="D259" s="31"/>
      <c r="E259" s="39"/>
      <c r="F259" s="31"/>
      <c r="G259" s="22"/>
      <c r="H259" s="22"/>
    </row>
    <row r="260" spans="1:8" x14ac:dyDescent="0.3">
      <c r="A260" s="51"/>
      <c r="B260" s="22"/>
      <c r="C260" s="31"/>
      <c r="D260" s="31"/>
      <c r="E260" s="39"/>
      <c r="F260" s="31"/>
      <c r="G260" s="22"/>
      <c r="H260" s="22"/>
    </row>
    <row r="261" spans="1:8" x14ac:dyDescent="0.3">
      <c r="A261" s="51"/>
      <c r="B261" s="22"/>
      <c r="C261" s="31"/>
      <c r="D261" s="31"/>
      <c r="E261" s="39"/>
      <c r="F261" s="31"/>
      <c r="G261" s="22"/>
      <c r="H261" s="22"/>
    </row>
    <row r="262" spans="1:8" x14ac:dyDescent="0.3">
      <c r="A262" s="51"/>
      <c r="B262" s="22"/>
      <c r="C262" s="31"/>
      <c r="D262" s="31"/>
      <c r="E262" s="39"/>
      <c r="F262" s="31"/>
      <c r="G262" s="22"/>
      <c r="H262" s="22"/>
    </row>
    <row r="263" spans="1:8" x14ac:dyDescent="0.3">
      <c r="A263" s="51"/>
      <c r="B263" s="22"/>
      <c r="C263" s="31"/>
      <c r="D263" s="31"/>
      <c r="E263" s="39"/>
      <c r="F263" s="31"/>
      <c r="G263" s="22"/>
      <c r="H263" s="22"/>
    </row>
    <row r="264" spans="1:8" x14ac:dyDescent="0.3">
      <c r="A264" s="51"/>
      <c r="B264" s="22"/>
      <c r="C264" s="31"/>
      <c r="D264" s="31"/>
      <c r="E264" s="39"/>
      <c r="F264" s="31"/>
      <c r="G264" s="22"/>
      <c r="H264" s="22"/>
    </row>
    <row r="265" spans="1:8" x14ac:dyDescent="0.3">
      <c r="A265" s="51"/>
      <c r="B265" s="22"/>
      <c r="C265" s="31"/>
      <c r="D265" s="31"/>
      <c r="E265" s="39"/>
      <c r="F265" s="31"/>
      <c r="G265" s="22"/>
      <c r="H265" s="22"/>
    </row>
    <row r="266" spans="1:8" x14ac:dyDescent="0.3">
      <c r="A266" s="51"/>
      <c r="B266" s="22"/>
      <c r="C266" s="31"/>
      <c r="D266" s="31"/>
      <c r="E266" s="39"/>
      <c r="F266" s="31"/>
      <c r="G266" s="22"/>
      <c r="H266" s="22"/>
    </row>
    <row r="267" spans="1:8" x14ac:dyDescent="0.3">
      <c r="A267" s="51"/>
      <c r="B267" s="22"/>
      <c r="C267" s="31"/>
      <c r="D267" s="31"/>
      <c r="E267" s="39"/>
      <c r="F267" s="31"/>
      <c r="G267" s="22"/>
      <c r="H267" s="22"/>
    </row>
    <row r="268" spans="1:8" x14ac:dyDescent="0.3">
      <c r="A268" s="51"/>
      <c r="B268" s="22"/>
      <c r="C268" s="31"/>
      <c r="D268" s="31"/>
      <c r="E268" s="39"/>
      <c r="F268" s="31"/>
      <c r="G268" s="22"/>
      <c r="H268" s="22"/>
    </row>
    <row r="269" spans="1:8" x14ac:dyDescent="0.3">
      <c r="A269" s="51"/>
      <c r="B269" s="22"/>
      <c r="C269" s="31"/>
      <c r="D269" s="31"/>
      <c r="E269" s="39"/>
      <c r="F269" s="31"/>
      <c r="G269" s="22"/>
      <c r="H269" s="22"/>
    </row>
    <row r="270" spans="1:8" x14ac:dyDescent="0.3">
      <c r="A270" s="51"/>
      <c r="B270" s="22"/>
      <c r="C270" s="31"/>
      <c r="D270" s="31"/>
      <c r="E270" s="39"/>
      <c r="F270" s="31"/>
      <c r="G270" s="22"/>
      <c r="H270" s="22"/>
    </row>
    <row r="271" spans="1:8" x14ac:dyDescent="0.3">
      <c r="A271" s="51"/>
      <c r="B271" s="22"/>
      <c r="C271" s="31"/>
      <c r="D271" s="31"/>
      <c r="E271" s="39"/>
      <c r="F271" s="31"/>
      <c r="G271" s="22"/>
      <c r="H271" s="22"/>
    </row>
    <row r="272" spans="1:8" x14ac:dyDescent="0.3">
      <c r="A272" s="51"/>
      <c r="B272" s="22"/>
      <c r="C272" s="31"/>
      <c r="D272" s="31"/>
      <c r="E272" s="39"/>
      <c r="F272" s="31"/>
      <c r="G272" s="22"/>
      <c r="H272" s="22"/>
    </row>
    <row r="273" spans="1:8" x14ac:dyDescent="0.3">
      <c r="A273" s="51"/>
      <c r="B273" s="22"/>
      <c r="C273" s="31"/>
      <c r="D273" s="31"/>
      <c r="E273" s="39"/>
      <c r="F273" s="31"/>
      <c r="G273" s="22"/>
      <c r="H273" s="22"/>
    </row>
    <row r="274" spans="1:8" x14ac:dyDescent="0.3">
      <c r="A274" s="51"/>
      <c r="B274" s="22"/>
      <c r="C274" s="31"/>
      <c r="D274" s="31"/>
      <c r="E274" s="39"/>
      <c r="F274" s="31"/>
      <c r="G274" s="22"/>
      <c r="H274" s="22"/>
    </row>
    <row r="275" spans="1:8" x14ac:dyDescent="0.3">
      <c r="A275" s="51"/>
      <c r="B275" s="22"/>
      <c r="C275" s="31"/>
      <c r="D275" s="31"/>
      <c r="E275" s="39"/>
      <c r="F275" s="31"/>
      <c r="G275" s="22"/>
      <c r="H275" s="22"/>
    </row>
    <row r="276" spans="1:8" x14ac:dyDescent="0.3">
      <c r="A276" s="51"/>
      <c r="B276" s="22"/>
      <c r="C276" s="31"/>
      <c r="D276" s="31"/>
      <c r="E276" s="39"/>
      <c r="F276" s="31"/>
      <c r="G276" s="22"/>
      <c r="H276" s="22"/>
    </row>
    <row r="277" spans="1:8" x14ac:dyDescent="0.3">
      <c r="A277" s="51"/>
      <c r="B277" s="22"/>
      <c r="C277" s="31"/>
      <c r="D277" s="31"/>
      <c r="E277" s="39"/>
      <c r="F277" s="31"/>
      <c r="G277" s="22"/>
      <c r="H277" s="22"/>
    </row>
    <row r="278" spans="1:8" x14ac:dyDescent="0.3">
      <c r="A278" s="51"/>
      <c r="B278" s="22"/>
      <c r="C278" s="31"/>
      <c r="D278" s="31"/>
      <c r="E278" s="39"/>
      <c r="F278" s="31"/>
      <c r="G278" s="22"/>
      <c r="H278" s="22"/>
    </row>
    <row r="279" spans="1:8" x14ac:dyDescent="0.3">
      <c r="A279" s="51"/>
      <c r="B279" s="22"/>
      <c r="C279" s="31"/>
      <c r="D279" s="31"/>
      <c r="E279" s="39"/>
      <c r="F279" s="31"/>
      <c r="G279" s="22"/>
      <c r="H279" s="22"/>
    </row>
    <row r="280" spans="1:8" x14ac:dyDescent="0.3">
      <c r="A280" s="51"/>
      <c r="B280" s="22"/>
      <c r="C280" s="31"/>
      <c r="D280" s="31"/>
      <c r="E280" s="39"/>
      <c r="F280" s="31"/>
      <c r="G280" s="22"/>
      <c r="H280" s="22"/>
    </row>
    <row r="281" spans="1:8" x14ac:dyDescent="0.3">
      <c r="A281" s="51"/>
      <c r="B281" s="22"/>
      <c r="C281" s="31"/>
      <c r="D281" s="31"/>
      <c r="E281" s="39"/>
      <c r="F281" s="31"/>
      <c r="G281" s="22"/>
      <c r="H281" s="22"/>
    </row>
    <row r="282" spans="1:8" x14ac:dyDescent="0.3">
      <c r="A282" s="51"/>
      <c r="B282" s="22"/>
      <c r="C282" s="31"/>
      <c r="D282" s="31"/>
      <c r="E282" s="39"/>
      <c r="F282" s="31"/>
      <c r="G282" s="22"/>
      <c r="H282" s="22"/>
    </row>
    <row r="283" spans="1:8" x14ac:dyDescent="0.3">
      <c r="A283" s="51"/>
      <c r="B283" s="22"/>
      <c r="C283" s="31"/>
      <c r="D283" s="31"/>
      <c r="E283" s="39"/>
      <c r="F283" s="31"/>
      <c r="G283" s="22"/>
      <c r="H283" s="22"/>
    </row>
    <row r="284" spans="1:8" x14ac:dyDescent="0.3">
      <c r="A284" s="51"/>
      <c r="B284" s="22"/>
      <c r="C284" s="31"/>
      <c r="D284" s="31"/>
      <c r="E284" s="39"/>
      <c r="F284" s="31"/>
      <c r="G284" s="22"/>
      <c r="H284" s="22"/>
    </row>
    <row r="285" spans="1:8" x14ac:dyDescent="0.3">
      <c r="A285" s="51"/>
      <c r="B285" s="22"/>
      <c r="C285" s="31"/>
      <c r="D285" s="31"/>
      <c r="E285" s="39"/>
      <c r="F285" s="31"/>
      <c r="G285" s="22"/>
      <c r="H285" s="22"/>
    </row>
    <row r="286" spans="1:8" x14ac:dyDescent="0.3">
      <c r="A286" s="51"/>
      <c r="B286" s="22"/>
      <c r="C286" s="31"/>
      <c r="D286" s="31"/>
      <c r="E286" s="39"/>
      <c r="F286" s="31"/>
      <c r="G286" s="22"/>
      <c r="H286" s="22"/>
    </row>
    <row r="287" spans="1:8" x14ac:dyDescent="0.3">
      <c r="A287" s="51"/>
      <c r="B287" s="22"/>
      <c r="C287" s="31"/>
      <c r="D287" s="31"/>
      <c r="E287" s="39"/>
      <c r="F287" s="31"/>
      <c r="G287" s="22"/>
      <c r="H287" s="22"/>
    </row>
    <row r="288" spans="1:8" x14ac:dyDescent="0.3">
      <c r="A288" s="51"/>
      <c r="B288" s="22"/>
      <c r="C288" s="31"/>
      <c r="D288" s="31"/>
      <c r="E288" s="39"/>
      <c r="F288" s="31"/>
      <c r="G288" s="22"/>
      <c r="H288" s="22"/>
    </row>
    <row r="289" spans="1:8" x14ac:dyDescent="0.3">
      <c r="A289" s="51"/>
      <c r="B289" s="22"/>
      <c r="C289" s="31"/>
      <c r="D289" s="31"/>
      <c r="E289" s="39"/>
      <c r="F289" s="31"/>
      <c r="G289" s="22"/>
      <c r="H289" s="22"/>
    </row>
    <row r="290" spans="1:8" x14ac:dyDescent="0.3">
      <c r="A290" s="51"/>
      <c r="B290" s="22"/>
      <c r="C290" s="31"/>
      <c r="D290" s="31"/>
      <c r="E290" s="39"/>
      <c r="F290" s="31"/>
      <c r="G290" s="22"/>
      <c r="H290" s="22"/>
    </row>
    <row r="291" spans="1:8" x14ac:dyDescent="0.3">
      <c r="A291" s="51"/>
      <c r="B291" s="22"/>
      <c r="C291" s="31"/>
      <c r="D291" s="31"/>
      <c r="E291" s="39"/>
      <c r="F291" s="31"/>
      <c r="G291" s="22"/>
      <c r="H291" s="22"/>
    </row>
    <row r="292" spans="1:8" x14ac:dyDescent="0.3">
      <c r="A292" s="51"/>
      <c r="B292" s="22"/>
      <c r="C292" s="31"/>
      <c r="D292" s="31"/>
      <c r="E292" s="39"/>
      <c r="F292" s="31"/>
      <c r="G292" s="22"/>
      <c r="H292" s="22"/>
    </row>
    <row r="293" spans="1:8" x14ac:dyDescent="0.3">
      <c r="A293" s="51"/>
      <c r="B293" s="22"/>
      <c r="C293" s="31"/>
      <c r="D293" s="31"/>
      <c r="E293" s="39"/>
      <c r="F293" s="31"/>
      <c r="G293" s="22"/>
      <c r="H293" s="22"/>
    </row>
    <row r="294" spans="1:8" x14ac:dyDescent="0.3">
      <c r="A294" s="51"/>
      <c r="B294" s="22"/>
      <c r="C294" s="31"/>
      <c r="D294" s="31"/>
      <c r="E294" s="39"/>
      <c r="F294" s="31"/>
      <c r="G294" s="22"/>
      <c r="H294" s="22"/>
    </row>
    <row r="295" spans="1:8" x14ac:dyDescent="0.3">
      <c r="A295" s="51"/>
      <c r="B295" s="22"/>
      <c r="C295" s="31"/>
      <c r="D295" s="31"/>
      <c r="E295" s="39"/>
      <c r="F295" s="31"/>
      <c r="G295" s="22"/>
      <c r="H295" s="22"/>
    </row>
    <row r="296" spans="1:8" x14ac:dyDescent="0.3">
      <c r="A296" s="51"/>
      <c r="B296" s="22"/>
      <c r="C296" s="31"/>
      <c r="D296" s="31"/>
      <c r="E296" s="39"/>
      <c r="F296" s="31"/>
      <c r="G296" s="22"/>
      <c r="H296" s="22"/>
    </row>
    <row r="297" spans="1:8" x14ac:dyDescent="0.3">
      <c r="A297" s="51"/>
      <c r="B297" s="22"/>
      <c r="C297" s="31"/>
      <c r="D297" s="31"/>
      <c r="E297" s="39"/>
      <c r="F297" s="31"/>
      <c r="G297" s="22"/>
      <c r="H297" s="22"/>
    </row>
    <row r="298" spans="1:8" x14ac:dyDescent="0.3">
      <c r="A298" s="51"/>
      <c r="B298" s="22"/>
      <c r="C298" s="31"/>
      <c r="D298" s="31"/>
      <c r="E298" s="39"/>
      <c r="F298" s="31"/>
      <c r="G298" s="22"/>
      <c r="H298" s="22"/>
    </row>
    <row r="299" spans="1:8" x14ac:dyDescent="0.3">
      <c r="A299" s="51"/>
      <c r="B299" s="22"/>
      <c r="C299" s="31"/>
      <c r="D299" s="31"/>
      <c r="E299" s="39"/>
      <c r="F299" s="31"/>
      <c r="G299" s="22"/>
      <c r="H299" s="22"/>
    </row>
    <row r="300" spans="1:8" x14ac:dyDescent="0.3">
      <c r="A300" s="51"/>
      <c r="B300" s="22"/>
      <c r="C300" s="31"/>
      <c r="D300" s="31"/>
      <c r="E300" s="39"/>
      <c r="F300" s="31"/>
      <c r="G300" s="22"/>
      <c r="H300" s="22"/>
    </row>
    <row r="301" spans="1:8" x14ac:dyDescent="0.3">
      <c r="A301" s="51"/>
      <c r="B301" s="22"/>
      <c r="C301" s="31"/>
      <c r="D301" s="31"/>
      <c r="E301" s="39"/>
      <c r="F301" s="31"/>
      <c r="G301" s="22"/>
      <c r="H301" s="22"/>
    </row>
    <row r="302" spans="1:8" x14ac:dyDescent="0.3">
      <c r="A302" s="51"/>
      <c r="B302" s="22"/>
      <c r="C302" s="31"/>
      <c r="D302" s="31"/>
      <c r="E302" s="39"/>
      <c r="F302" s="31"/>
      <c r="G302" s="22"/>
      <c r="H302" s="22"/>
    </row>
    <row r="303" spans="1:8" x14ac:dyDescent="0.3">
      <c r="A303" s="51"/>
      <c r="B303" s="22"/>
      <c r="C303" s="31"/>
      <c r="D303" s="31"/>
      <c r="E303" s="39"/>
      <c r="F303" s="31"/>
      <c r="G303" s="22"/>
      <c r="H303" s="22"/>
    </row>
    <row r="304" spans="1:8" x14ac:dyDescent="0.3">
      <c r="A304" s="51"/>
      <c r="B304" s="22"/>
      <c r="C304" s="31"/>
      <c r="D304" s="31"/>
      <c r="E304" s="39"/>
      <c r="F304" s="31"/>
      <c r="G304" s="22"/>
      <c r="H304" s="22"/>
    </row>
    <row r="305" spans="1:8" x14ac:dyDescent="0.3">
      <c r="A305" s="51"/>
      <c r="B305" s="22"/>
      <c r="C305" s="31"/>
      <c r="D305" s="31"/>
      <c r="E305" s="39"/>
      <c r="F305" s="31"/>
      <c r="G305" s="22"/>
      <c r="H305" s="22"/>
    </row>
    <row r="306" spans="1:8" x14ac:dyDescent="0.3">
      <c r="A306" s="51"/>
      <c r="B306" s="22"/>
      <c r="C306" s="31"/>
      <c r="D306" s="31"/>
      <c r="E306" s="39"/>
      <c r="F306" s="31"/>
      <c r="G306" s="22"/>
      <c r="H306" s="22"/>
    </row>
    <row r="307" spans="1:8" x14ac:dyDescent="0.3">
      <c r="A307" s="51"/>
      <c r="B307" s="22"/>
      <c r="C307" s="31"/>
      <c r="D307" s="31"/>
      <c r="E307" s="39"/>
      <c r="F307" s="31"/>
      <c r="G307" s="22"/>
      <c r="H307" s="22"/>
    </row>
    <row r="308" spans="1:8" x14ac:dyDescent="0.3">
      <c r="A308" s="51"/>
      <c r="B308" s="22"/>
      <c r="C308" s="31"/>
      <c r="D308" s="31"/>
      <c r="E308" s="39"/>
      <c r="F308" s="31"/>
      <c r="G308" s="22"/>
      <c r="H308" s="22"/>
    </row>
    <row r="309" spans="1:8" x14ac:dyDescent="0.3">
      <c r="A309" s="51"/>
      <c r="B309" s="22"/>
      <c r="C309" s="31"/>
      <c r="D309" s="31"/>
      <c r="E309" s="39"/>
      <c r="F309" s="31"/>
      <c r="G309" s="22"/>
      <c r="H309" s="22"/>
    </row>
    <row r="310" spans="1:8" x14ac:dyDescent="0.3">
      <c r="A310" s="51"/>
      <c r="B310" s="22"/>
      <c r="C310" s="31"/>
      <c r="D310" s="31"/>
      <c r="E310" s="39"/>
      <c r="F310" s="31"/>
      <c r="G310" s="22"/>
      <c r="H310" s="22"/>
    </row>
    <row r="311" spans="1:8" x14ac:dyDescent="0.3">
      <c r="A311" s="51"/>
      <c r="B311" s="22"/>
      <c r="C311" s="31"/>
      <c r="D311" s="31"/>
      <c r="E311" s="39"/>
      <c r="F311" s="31"/>
      <c r="G311" s="22"/>
      <c r="H311" s="22"/>
    </row>
    <row r="312" spans="1:8" x14ac:dyDescent="0.3">
      <c r="A312" s="51"/>
      <c r="B312" s="22"/>
      <c r="C312" s="31"/>
      <c r="D312" s="31"/>
      <c r="E312" s="39"/>
      <c r="F312" s="31"/>
      <c r="G312" s="22"/>
      <c r="H312" s="22"/>
    </row>
    <row r="313" spans="1:8" x14ac:dyDescent="0.3">
      <c r="A313" s="51"/>
      <c r="B313" s="22"/>
      <c r="C313" s="31"/>
      <c r="D313" s="31"/>
      <c r="E313" s="39"/>
      <c r="F313" s="31"/>
      <c r="G313" s="22"/>
      <c r="H313" s="22"/>
    </row>
    <row r="314" spans="1:8" x14ac:dyDescent="0.3">
      <c r="A314" s="51"/>
      <c r="B314" s="22"/>
      <c r="C314" s="31"/>
      <c r="D314" s="31"/>
      <c r="E314" s="39"/>
      <c r="F314" s="31"/>
      <c r="G314" s="22"/>
      <c r="H314" s="22"/>
    </row>
    <row r="315" spans="1:8" x14ac:dyDescent="0.3">
      <c r="A315" s="51"/>
      <c r="B315" s="22"/>
      <c r="C315" s="31"/>
      <c r="D315" s="31"/>
      <c r="E315" s="39"/>
      <c r="F315" s="31"/>
      <c r="G315" s="22"/>
      <c r="H315" s="22"/>
    </row>
    <row r="316" spans="1:8" x14ac:dyDescent="0.3">
      <c r="A316" s="51"/>
      <c r="B316" s="22"/>
      <c r="C316" s="31"/>
      <c r="D316" s="31"/>
      <c r="E316" s="39"/>
      <c r="F316" s="31"/>
      <c r="G316" s="22"/>
      <c r="H316" s="22"/>
    </row>
    <row r="317" spans="1:8" x14ac:dyDescent="0.3">
      <c r="A317" s="51"/>
      <c r="B317" s="22"/>
      <c r="C317" s="31"/>
      <c r="D317" s="31"/>
      <c r="E317" s="39"/>
      <c r="F317" s="31"/>
      <c r="G317" s="22"/>
      <c r="H317" s="22"/>
    </row>
    <row r="318" spans="1:8" x14ac:dyDescent="0.3">
      <c r="A318" s="51"/>
      <c r="B318" s="22"/>
      <c r="C318" s="31"/>
      <c r="D318" s="31"/>
      <c r="E318" s="39"/>
      <c r="F318" s="31"/>
      <c r="G318" s="22"/>
      <c r="H318" s="22"/>
    </row>
    <row r="319" spans="1:8" x14ac:dyDescent="0.3">
      <c r="A319" s="51"/>
      <c r="B319" s="22"/>
      <c r="C319" s="31"/>
      <c r="D319" s="31"/>
      <c r="E319" s="39"/>
      <c r="F319" s="31"/>
      <c r="G319" s="22"/>
      <c r="H319" s="22"/>
    </row>
    <row r="320" spans="1:8" x14ac:dyDescent="0.3">
      <c r="A320" s="51"/>
      <c r="B320" s="22"/>
      <c r="C320" s="31"/>
      <c r="D320" s="31"/>
      <c r="E320" s="39"/>
      <c r="F320" s="31"/>
      <c r="G320" s="22"/>
      <c r="H320" s="22"/>
    </row>
    <row r="321" spans="1:8" x14ac:dyDescent="0.3">
      <c r="A321" s="51"/>
      <c r="B321" s="22"/>
      <c r="C321" s="31"/>
      <c r="D321" s="31"/>
      <c r="E321" s="39"/>
      <c r="F321" s="31"/>
      <c r="G321" s="22"/>
      <c r="H321" s="22"/>
    </row>
    <row r="322" spans="1:8" x14ac:dyDescent="0.3">
      <c r="A322" s="51"/>
      <c r="B322" s="22"/>
      <c r="C322" s="31"/>
      <c r="D322" s="31"/>
      <c r="E322" s="39"/>
      <c r="F322" s="31"/>
      <c r="G322" s="22"/>
      <c r="H322" s="22"/>
    </row>
    <row r="323" spans="1:8" x14ac:dyDescent="0.3">
      <c r="A323" s="51"/>
      <c r="B323" s="22"/>
      <c r="C323" s="31"/>
      <c r="D323" s="31"/>
      <c r="E323" s="39"/>
      <c r="F323" s="31"/>
      <c r="G323" s="22"/>
      <c r="H323" s="22"/>
    </row>
    <row r="324" spans="1:8" x14ac:dyDescent="0.3">
      <c r="A324" s="51"/>
      <c r="B324" s="22"/>
      <c r="C324" s="31"/>
      <c r="D324" s="31"/>
      <c r="E324" s="39"/>
      <c r="F324" s="31"/>
      <c r="G324" s="22"/>
      <c r="H324" s="22"/>
    </row>
    <row r="325" spans="1:8" x14ac:dyDescent="0.3">
      <c r="A325" s="51"/>
      <c r="B325" s="22"/>
      <c r="C325" s="31"/>
      <c r="D325" s="31"/>
      <c r="E325" s="39"/>
      <c r="F325" s="31"/>
      <c r="G325" s="22"/>
      <c r="H325" s="22"/>
    </row>
    <row r="326" spans="1:8" x14ac:dyDescent="0.3">
      <c r="A326" s="51"/>
      <c r="B326" s="22"/>
      <c r="C326" s="31"/>
      <c r="D326" s="31"/>
      <c r="E326" s="39"/>
      <c r="F326" s="31"/>
      <c r="G326" s="22"/>
      <c r="H326" s="22"/>
    </row>
    <row r="327" spans="1:8" x14ac:dyDescent="0.3">
      <c r="A327" s="51"/>
      <c r="B327" s="22"/>
      <c r="C327" s="31"/>
      <c r="D327" s="31"/>
      <c r="E327" s="39"/>
      <c r="F327" s="31"/>
      <c r="G327" s="22"/>
      <c r="H327" s="22"/>
    </row>
    <row r="328" spans="1:8" x14ac:dyDescent="0.3">
      <c r="A328" s="51"/>
      <c r="B328" s="22"/>
      <c r="C328" s="31"/>
      <c r="D328" s="31"/>
      <c r="E328" s="39"/>
      <c r="F328" s="31"/>
      <c r="G328" s="22"/>
      <c r="H328" s="22"/>
    </row>
    <row r="329" spans="1:8" x14ac:dyDescent="0.3">
      <c r="A329" s="51"/>
      <c r="B329" s="22"/>
      <c r="C329" s="31"/>
      <c r="D329" s="31"/>
      <c r="E329" s="39"/>
      <c r="F329" s="31"/>
      <c r="G329" s="22"/>
      <c r="H329" s="22"/>
    </row>
    <row r="330" spans="1:8" x14ac:dyDescent="0.3">
      <c r="A330" s="51"/>
      <c r="B330" s="22"/>
      <c r="C330" s="31"/>
      <c r="D330" s="31"/>
      <c r="E330" s="39"/>
      <c r="F330" s="31"/>
      <c r="G330" s="22"/>
      <c r="H330" s="22"/>
    </row>
    <row r="331" spans="1:8" x14ac:dyDescent="0.3">
      <c r="A331" s="51"/>
      <c r="B331" s="22"/>
      <c r="C331" s="31"/>
      <c r="D331" s="31"/>
      <c r="E331" s="39"/>
      <c r="F331" s="31"/>
      <c r="G331" s="22"/>
      <c r="H331" s="22"/>
    </row>
    <row r="332" spans="1:8" x14ac:dyDescent="0.3">
      <c r="A332" s="51"/>
      <c r="B332" s="22"/>
      <c r="C332" s="31"/>
      <c r="D332" s="31"/>
      <c r="E332" s="39"/>
      <c r="F332" s="31"/>
      <c r="G332" s="22"/>
      <c r="H332" s="22"/>
    </row>
    <row r="333" spans="1:8" x14ac:dyDescent="0.3">
      <c r="A333" s="51"/>
      <c r="B333" s="22"/>
      <c r="C333" s="31"/>
      <c r="D333" s="31"/>
      <c r="E333" s="39"/>
      <c r="F333" s="31"/>
      <c r="G333" s="22"/>
      <c r="H333" s="22"/>
    </row>
    <row r="334" spans="1:8" x14ac:dyDescent="0.3">
      <c r="A334" s="51"/>
      <c r="B334" s="22"/>
      <c r="C334" s="31"/>
      <c r="D334" s="31"/>
      <c r="E334" s="39"/>
      <c r="F334" s="31"/>
      <c r="G334" s="22"/>
      <c r="H334" s="22"/>
    </row>
    <row r="335" spans="1:8" x14ac:dyDescent="0.3">
      <c r="A335" s="51"/>
      <c r="B335" s="22"/>
      <c r="C335" s="31"/>
      <c r="D335" s="31"/>
      <c r="E335" s="39"/>
      <c r="F335" s="31"/>
      <c r="G335" s="22"/>
      <c r="H335" s="22"/>
    </row>
    <row r="336" spans="1:8" x14ac:dyDescent="0.3">
      <c r="A336" s="51"/>
      <c r="B336" s="22"/>
      <c r="C336" s="31"/>
      <c r="D336" s="31"/>
      <c r="E336" s="39"/>
      <c r="F336" s="31"/>
      <c r="G336" s="22"/>
      <c r="H336" s="22"/>
    </row>
    <row r="337" spans="1:8" x14ac:dyDescent="0.3">
      <c r="A337" s="51"/>
      <c r="B337" s="22"/>
      <c r="C337" s="31"/>
      <c r="D337" s="31"/>
      <c r="E337" s="39"/>
      <c r="F337" s="31"/>
      <c r="G337" s="22"/>
      <c r="H337" s="22"/>
    </row>
    <row r="338" spans="1:8" x14ac:dyDescent="0.3">
      <c r="A338" s="51"/>
      <c r="B338" s="22"/>
      <c r="C338" s="31"/>
      <c r="D338" s="31"/>
      <c r="E338" s="39"/>
      <c r="F338" s="31"/>
      <c r="G338" s="22"/>
      <c r="H338" s="22"/>
    </row>
    <row r="339" spans="1:8" x14ac:dyDescent="0.3">
      <c r="A339" s="51"/>
      <c r="B339" s="22"/>
      <c r="C339" s="31"/>
      <c r="D339" s="31"/>
      <c r="E339" s="39"/>
      <c r="F339" s="31"/>
      <c r="G339" s="22"/>
      <c r="H339" s="22"/>
    </row>
    <row r="340" spans="1:8" x14ac:dyDescent="0.3">
      <c r="A340" s="51"/>
      <c r="B340" s="22"/>
      <c r="C340" s="31"/>
      <c r="D340" s="31"/>
      <c r="E340" s="39"/>
      <c r="F340" s="31"/>
      <c r="G340" s="22"/>
      <c r="H340" s="22"/>
    </row>
    <row r="341" spans="1:8" x14ac:dyDescent="0.3">
      <c r="A341" s="51"/>
      <c r="B341" s="22"/>
      <c r="C341" s="31"/>
      <c r="D341" s="31"/>
      <c r="E341" s="39"/>
      <c r="F341" s="31"/>
      <c r="G341" s="22"/>
      <c r="H341" s="22"/>
    </row>
    <row r="342" spans="1:8" x14ac:dyDescent="0.3">
      <c r="A342" s="51"/>
      <c r="B342" s="22"/>
      <c r="C342" s="31"/>
      <c r="D342" s="31"/>
      <c r="E342" s="39"/>
      <c r="F342" s="31"/>
      <c r="G342" s="22"/>
      <c r="H342" s="22"/>
    </row>
    <row r="343" spans="1:8" x14ac:dyDescent="0.3">
      <c r="A343" s="51"/>
      <c r="B343" s="22"/>
      <c r="C343" s="31"/>
      <c r="D343" s="31"/>
      <c r="E343" s="39"/>
      <c r="F343" s="31"/>
      <c r="G343" s="22"/>
      <c r="H343" s="22"/>
    </row>
    <row r="344" spans="1:8" x14ac:dyDescent="0.3">
      <c r="A344" s="51"/>
      <c r="B344" s="22"/>
      <c r="C344" s="31"/>
      <c r="D344" s="31"/>
      <c r="E344" s="39"/>
      <c r="F344" s="31"/>
      <c r="G344" s="22"/>
      <c r="H344" s="22"/>
    </row>
    <row r="345" spans="1:8" x14ac:dyDescent="0.3">
      <c r="A345" s="51"/>
      <c r="B345" s="22"/>
      <c r="C345" s="31"/>
      <c r="D345" s="31"/>
      <c r="E345" s="39"/>
      <c r="F345" s="31"/>
      <c r="G345" s="22"/>
      <c r="H345" s="22"/>
    </row>
    <row r="346" spans="1:8" x14ac:dyDescent="0.3">
      <c r="A346" s="51"/>
      <c r="B346" s="22"/>
      <c r="C346" s="31"/>
      <c r="D346" s="31"/>
      <c r="E346" s="39"/>
      <c r="F346" s="31"/>
      <c r="G346" s="22"/>
      <c r="H346" s="22"/>
    </row>
    <row r="347" spans="1:8" x14ac:dyDescent="0.3">
      <c r="A347" s="51"/>
      <c r="B347" s="22"/>
      <c r="C347" s="31"/>
      <c r="D347" s="31"/>
      <c r="E347" s="39"/>
      <c r="F347" s="31"/>
      <c r="G347" s="22"/>
      <c r="H347" s="22"/>
    </row>
    <row r="348" spans="1:8" x14ac:dyDescent="0.3">
      <c r="A348" s="51"/>
      <c r="B348" s="22"/>
      <c r="C348" s="31"/>
      <c r="D348" s="31"/>
      <c r="E348" s="39"/>
      <c r="F348" s="31"/>
      <c r="G348" s="22"/>
      <c r="H348" s="22"/>
    </row>
    <row r="349" spans="1:8" x14ac:dyDescent="0.3">
      <c r="A349" s="51"/>
      <c r="B349" s="22"/>
      <c r="C349" s="31"/>
      <c r="D349" s="31"/>
      <c r="E349" s="39"/>
      <c r="F349" s="31"/>
      <c r="G349" s="22"/>
      <c r="H349" s="22"/>
    </row>
    <row r="350" spans="1:8" x14ac:dyDescent="0.3">
      <c r="A350" s="51"/>
      <c r="B350" s="22"/>
      <c r="C350" s="31"/>
      <c r="D350" s="31"/>
      <c r="E350" s="39"/>
      <c r="F350" s="31"/>
      <c r="G350" s="22"/>
      <c r="H350" s="22"/>
    </row>
    <row r="351" spans="1:8" x14ac:dyDescent="0.3">
      <c r="A351" s="51"/>
      <c r="B351" s="22"/>
      <c r="C351" s="31"/>
      <c r="D351" s="31"/>
      <c r="E351" s="39"/>
      <c r="F351" s="31"/>
      <c r="G351" s="22"/>
      <c r="H351" s="22"/>
    </row>
    <row r="352" spans="1:8" x14ac:dyDescent="0.3">
      <c r="A352" s="51"/>
      <c r="B352" s="22"/>
      <c r="C352" s="31"/>
      <c r="D352" s="31"/>
      <c r="E352" s="39"/>
      <c r="F352" s="31"/>
      <c r="G352" s="22"/>
      <c r="H352" s="22"/>
    </row>
    <row r="353" spans="1:8" x14ac:dyDescent="0.3">
      <c r="A353" s="51"/>
      <c r="B353" s="22"/>
      <c r="C353" s="31"/>
      <c r="D353" s="31"/>
      <c r="E353" s="39"/>
      <c r="F353" s="31"/>
      <c r="G353" s="22"/>
      <c r="H353" s="22"/>
    </row>
    <row r="354" spans="1:8" x14ac:dyDescent="0.3">
      <c r="A354" s="51"/>
      <c r="B354" s="22"/>
      <c r="C354" s="31"/>
      <c r="D354" s="31"/>
      <c r="E354" s="39"/>
      <c r="F354" s="31"/>
      <c r="G354" s="22"/>
      <c r="H354" s="22"/>
    </row>
    <row r="355" spans="1:8" x14ac:dyDescent="0.3">
      <c r="A355" s="51"/>
      <c r="B355" s="22"/>
      <c r="C355" s="31"/>
      <c r="D355" s="31"/>
      <c r="E355" s="39"/>
      <c r="F355" s="31"/>
      <c r="G355" s="22"/>
      <c r="H355" s="22"/>
    </row>
    <row r="356" spans="1:8" x14ac:dyDescent="0.3">
      <c r="A356" s="51"/>
      <c r="B356" s="22"/>
      <c r="C356" s="31"/>
      <c r="D356" s="31"/>
      <c r="E356" s="39"/>
      <c r="F356" s="31"/>
      <c r="G356" s="22"/>
      <c r="H356" s="22"/>
    </row>
    <row r="357" spans="1:8" x14ac:dyDescent="0.3">
      <c r="A357" s="51"/>
      <c r="B357" s="22"/>
      <c r="C357" s="31"/>
      <c r="D357" s="31"/>
      <c r="E357" s="39"/>
      <c r="F357" s="31"/>
      <c r="G357" s="22"/>
      <c r="H357" s="22"/>
    </row>
    <row r="358" spans="1:8" x14ac:dyDescent="0.3">
      <c r="A358" s="51"/>
      <c r="B358" s="22"/>
      <c r="C358" s="31"/>
      <c r="D358" s="31"/>
      <c r="E358" s="39"/>
      <c r="F358" s="31"/>
      <c r="G358" s="22"/>
      <c r="H358" s="22"/>
    </row>
    <row r="359" spans="1:8" x14ac:dyDescent="0.3">
      <c r="A359" s="51"/>
      <c r="B359" s="22"/>
      <c r="C359" s="31"/>
      <c r="D359" s="31"/>
      <c r="E359" s="39"/>
      <c r="F359" s="31"/>
      <c r="G359" s="22"/>
      <c r="H359" s="22"/>
    </row>
    <row r="360" spans="1:8" x14ac:dyDescent="0.3">
      <c r="A360" s="51"/>
      <c r="B360" s="22"/>
      <c r="C360" s="31"/>
      <c r="D360" s="31"/>
      <c r="E360" s="39"/>
      <c r="F360" s="31"/>
      <c r="G360" s="22"/>
      <c r="H360" s="22"/>
    </row>
    <row r="361" spans="1:8" x14ac:dyDescent="0.3">
      <c r="A361" s="51"/>
      <c r="B361" s="22"/>
      <c r="C361" s="31"/>
      <c r="D361" s="31"/>
      <c r="E361" s="39"/>
      <c r="F361" s="31"/>
      <c r="G361" s="22"/>
      <c r="H361" s="22"/>
    </row>
    <row r="362" spans="1:8" x14ac:dyDescent="0.3">
      <c r="A362" s="51"/>
      <c r="B362" s="22"/>
      <c r="C362" s="31"/>
      <c r="D362" s="31"/>
      <c r="E362" s="39"/>
      <c r="F362" s="31"/>
      <c r="G362" s="22"/>
      <c r="H362" s="22"/>
    </row>
    <row r="363" spans="1:8" x14ac:dyDescent="0.3">
      <c r="A363" s="51"/>
      <c r="B363" s="22"/>
      <c r="C363" s="31"/>
      <c r="D363" s="31"/>
      <c r="E363" s="39"/>
      <c r="F363" s="31"/>
      <c r="G363" s="22"/>
      <c r="H363" s="22"/>
    </row>
    <row r="364" spans="1:8" x14ac:dyDescent="0.3">
      <c r="A364" s="51"/>
      <c r="B364" s="22"/>
      <c r="C364" s="31"/>
      <c r="D364" s="31"/>
      <c r="E364" s="39"/>
      <c r="F364" s="31"/>
      <c r="G364" s="22"/>
      <c r="H364" s="22"/>
    </row>
    <row r="365" spans="1:8" x14ac:dyDescent="0.3">
      <c r="A365" s="51"/>
      <c r="B365" s="22"/>
      <c r="C365" s="31"/>
      <c r="D365" s="31"/>
      <c r="E365" s="39"/>
      <c r="F365" s="31"/>
      <c r="G365" s="22"/>
      <c r="H365" s="22"/>
    </row>
    <row r="366" spans="1:8" x14ac:dyDescent="0.3">
      <c r="A366" s="51"/>
      <c r="B366" s="22"/>
      <c r="C366" s="31"/>
      <c r="D366" s="31"/>
      <c r="E366" s="39"/>
      <c r="F366" s="31"/>
      <c r="G366" s="22"/>
      <c r="H366" s="22"/>
    </row>
    <row r="367" spans="1:8" x14ac:dyDescent="0.3">
      <c r="A367" s="51"/>
      <c r="B367" s="22"/>
      <c r="C367" s="31"/>
      <c r="D367" s="31"/>
      <c r="E367" s="39"/>
      <c r="F367" s="31"/>
      <c r="G367" s="22"/>
      <c r="H367" s="22"/>
    </row>
    <row r="368" spans="1:8" x14ac:dyDescent="0.3">
      <c r="A368" s="51"/>
      <c r="B368" s="22"/>
      <c r="C368" s="31"/>
      <c r="D368" s="31"/>
      <c r="E368" s="39"/>
      <c r="F368" s="31"/>
      <c r="G368" s="22"/>
      <c r="H368" s="22"/>
    </row>
    <row r="369" spans="1:8" x14ac:dyDescent="0.3">
      <c r="A369" s="51"/>
      <c r="B369" s="22"/>
      <c r="C369" s="31"/>
      <c r="D369" s="31"/>
      <c r="E369" s="39"/>
      <c r="F369" s="31"/>
      <c r="G369" s="22"/>
      <c r="H369" s="22"/>
    </row>
    <row r="370" spans="1:8" x14ac:dyDescent="0.3">
      <c r="A370" s="51"/>
      <c r="B370" s="22"/>
      <c r="C370" s="31"/>
      <c r="D370" s="31"/>
      <c r="E370" s="39"/>
      <c r="F370" s="31"/>
      <c r="G370" s="22"/>
      <c r="H370" s="22"/>
    </row>
    <row r="371" spans="1:8" x14ac:dyDescent="0.3">
      <c r="A371" s="51"/>
      <c r="B371" s="22"/>
      <c r="C371" s="31"/>
      <c r="D371" s="31"/>
      <c r="E371" s="39"/>
      <c r="F371" s="31"/>
      <c r="G371" s="22"/>
      <c r="H371" s="22"/>
    </row>
    <row r="372" spans="1:8" x14ac:dyDescent="0.3">
      <c r="A372" s="51"/>
      <c r="B372" s="22"/>
      <c r="C372" s="31"/>
      <c r="D372" s="31"/>
      <c r="E372" s="39"/>
      <c r="F372" s="31"/>
      <c r="G372" s="22"/>
      <c r="H372" s="22"/>
    </row>
    <row r="373" spans="1:8" x14ac:dyDescent="0.3">
      <c r="A373" s="51"/>
      <c r="B373" s="22"/>
      <c r="C373" s="31"/>
      <c r="D373" s="31"/>
      <c r="E373" s="39"/>
      <c r="F373" s="31"/>
      <c r="G373" s="22"/>
      <c r="H373" s="22"/>
    </row>
    <row r="374" spans="1:8" x14ac:dyDescent="0.3">
      <c r="A374" s="51"/>
      <c r="B374" s="22"/>
      <c r="C374" s="31"/>
      <c r="D374" s="31"/>
      <c r="E374" s="39"/>
      <c r="F374" s="31"/>
      <c r="G374" s="22"/>
      <c r="H374" s="22"/>
    </row>
    <row r="375" spans="1:8" x14ac:dyDescent="0.3">
      <c r="A375" s="51"/>
      <c r="B375" s="22"/>
      <c r="C375" s="31"/>
      <c r="D375" s="31"/>
      <c r="E375" s="39"/>
      <c r="F375" s="31"/>
      <c r="G375" s="22"/>
      <c r="H375" s="22"/>
    </row>
    <row r="376" spans="1:8" x14ac:dyDescent="0.3">
      <c r="A376" s="51"/>
      <c r="B376" s="22"/>
      <c r="C376" s="31"/>
      <c r="D376" s="31"/>
      <c r="E376" s="39"/>
      <c r="F376" s="31"/>
      <c r="G376" s="22"/>
      <c r="H376" s="22"/>
    </row>
    <row r="377" spans="1:8" x14ac:dyDescent="0.3">
      <c r="A377" s="51"/>
      <c r="B377" s="22"/>
      <c r="C377" s="31"/>
      <c r="D377" s="31"/>
      <c r="E377" s="39"/>
      <c r="F377" s="31"/>
      <c r="G377" s="22"/>
      <c r="H377" s="22"/>
    </row>
    <row r="378" spans="1:8" x14ac:dyDescent="0.3">
      <c r="A378" s="51"/>
      <c r="B378" s="22"/>
      <c r="C378" s="31"/>
      <c r="D378" s="31"/>
      <c r="E378" s="39"/>
      <c r="F378" s="31"/>
      <c r="G378" s="22"/>
      <c r="H378" s="22"/>
    </row>
    <row r="379" spans="1:8" x14ac:dyDescent="0.3">
      <c r="A379" s="51"/>
      <c r="B379" s="22"/>
      <c r="C379" s="31"/>
      <c r="D379" s="31"/>
      <c r="E379" s="39"/>
      <c r="F379" s="31"/>
      <c r="G379" s="22"/>
      <c r="H379" s="22"/>
    </row>
    <row r="380" spans="1:8" x14ac:dyDescent="0.3">
      <c r="A380" s="51"/>
      <c r="B380" s="22"/>
      <c r="C380" s="31"/>
      <c r="D380" s="31"/>
      <c r="E380" s="39"/>
      <c r="F380" s="31"/>
      <c r="G380" s="22"/>
      <c r="H380" s="22"/>
    </row>
    <row r="381" spans="1:8" x14ac:dyDescent="0.3">
      <c r="A381" s="51"/>
      <c r="B381" s="22"/>
      <c r="C381" s="31"/>
      <c r="D381" s="31"/>
      <c r="E381" s="39"/>
      <c r="F381" s="31"/>
      <c r="G381" s="22"/>
      <c r="H381" s="22"/>
    </row>
    <row r="382" spans="1:8" x14ac:dyDescent="0.3">
      <c r="A382" s="51"/>
      <c r="B382" s="22"/>
      <c r="C382" s="31"/>
      <c r="D382" s="31"/>
      <c r="E382" s="39"/>
      <c r="F382" s="31"/>
      <c r="G382" s="22"/>
      <c r="H382" s="22"/>
    </row>
    <row r="383" spans="1:8" x14ac:dyDescent="0.3">
      <c r="A383" s="51"/>
      <c r="B383" s="22"/>
      <c r="C383" s="31"/>
      <c r="D383" s="31"/>
      <c r="E383" s="39"/>
      <c r="F383" s="31"/>
      <c r="G383" s="22"/>
      <c r="H383" s="22"/>
    </row>
    <row r="384" spans="1:8" x14ac:dyDescent="0.3">
      <c r="A384" s="51"/>
      <c r="B384" s="22"/>
      <c r="C384" s="31"/>
      <c r="D384" s="31"/>
      <c r="E384" s="39"/>
      <c r="F384" s="31"/>
      <c r="G384" s="22"/>
      <c r="H384" s="22"/>
    </row>
    <row r="385" spans="1:8" x14ac:dyDescent="0.3">
      <c r="A385" s="51"/>
      <c r="B385" s="22"/>
      <c r="C385" s="31"/>
      <c r="D385" s="31"/>
      <c r="E385" s="39"/>
      <c r="F385" s="31"/>
      <c r="G385" s="22"/>
      <c r="H385" s="22"/>
    </row>
    <row r="386" spans="1:8" x14ac:dyDescent="0.3">
      <c r="A386" s="51"/>
      <c r="B386" s="22"/>
      <c r="C386" s="31"/>
      <c r="D386" s="31"/>
      <c r="E386" s="39"/>
      <c r="F386" s="31"/>
      <c r="G386" s="22"/>
      <c r="H386" s="22"/>
    </row>
    <row r="387" spans="1:8" x14ac:dyDescent="0.3">
      <c r="A387" s="51"/>
      <c r="B387" s="22"/>
      <c r="C387" s="31"/>
      <c r="D387" s="31"/>
      <c r="E387" s="39"/>
      <c r="F387" s="31"/>
      <c r="G387" s="22"/>
      <c r="H387" s="22"/>
    </row>
    <row r="388" spans="1:8" x14ac:dyDescent="0.3">
      <c r="A388" s="51"/>
      <c r="B388" s="22"/>
      <c r="C388" s="31"/>
      <c r="D388" s="31"/>
      <c r="E388" s="39"/>
      <c r="F388" s="31"/>
      <c r="G388" s="22"/>
      <c r="H388" s="22"/>
    </row>
    <row r="389" spans="1:8" x14ac:dyDescent="0.3">
      <c r="A389" s="51"/>
      <c r="B389" s="22"/>
      <c r="C389" s="31"/>
      <c r="D389" s="31"/>
      <c r="E389" s="39"/>
      <c r="F389" s="31"/>
      <c r="G389" s="22"/>
      <c r="H389" s="22"/>
    </row>
    <row r="390" spans="1:8" x14ac:dyDescent="0.3">
      <c r="A390" s="51"/>
      <c r="B390" s="22"/>
      <c r="C390" s="31"/>
      <c r="D390" s="31"/>
      <c r="E390" s="39"/>
      <c r="F390" s="31"/>
      <c r="G390" s="22"/>
      <c r="H390" s="22"/>
    </row>
    <row r="391" spans="1:8" x14ac:dyDescent="0.3">
      <c r="A391" s="51"/>
      <c r="B391" s="22"/>
      <c r="C391" s="31"/>
      <c r="D391" s="31"/>
      <c r="E391" s="39"/>
      <c r="F391" s="31"/>
      <c r="G391" s="22"/>
      <c r="H391" s="22"/>
    </row>
    <row r="392" spans="1:8" x14ac:dyDescent="0.3">
      <c r="A392" s="51"/>
      <c r="B392" s="22"/>
      <c r="C392" s="31"/>
      <c r="D392" s="31"/>
      <c r="E392" s="39"/>
      <c r="F392" s="31"/>
      <c r="G392" s="22"/>
      <c r="H392" s="22"/>
    </row>
    <row r="393" spans="1:8" x14ac:dyDescent="0.3">
      <c r="A393" s="51"/>
      <c r="B393" s="22"/>
      <c r="C393" s="31"/>
      <c r="D393" s="31"/>
      <c r="E393" s="39"/>
      <c r="F393" s="31"/>
      <c r="G393" s="22"/>
      <c r="H393" s="22"/>
    </row>
    <row r="394" spans="1:8" x14ac:dyDescent="0.3">
      <c r="A394" s="51"/>
      <c r="B394" s="22"/>
      <c r="C394" s="31"/>
      <c r="D394" s="31"/>
      <c r="E394" s="39"/>
      <c r="F394" s="31"/>
      <c r="G394" s="22"/>
      <c r="H394" s="22"/>
    </row>
    <row r="395" spans="1:8" x14ac:dyDescent="0.3">
      <c r="A395" s="51"/>
      <c r="B395" s="22"/>
      <c r="C395" s="31"/>
      <c r="D395" s="31"/>
      <c r="E395" s="39"/>
      <c r="F395" s="31"/>
      <c r="G395" s="22"/>
      <c r="H395" s="22"/>
    </row>
    <row r="396" spans="1:8" x14ac:dyDescent="0.3">
      <c r="A396" s="51"/>
      <c r="B396" s="22"/>
      <c r="C396" s="31"/>
      <c r="D396" s="31"/>
      <c r="E396" s="39"/>
      <c r="F396" s="31"/>
      <c r="G396" s="22"/>
      <c r="H396" s="22"/>
    </row>
    <row r="397" spans="1:8" x14ac:dyDescent="0.3">
      <c r="A397" s="51"/>
      <c r="B397" s="22"/>
      <c r="C397" s="31"/>
      <c r="D397" s="31"/>
      <c r="E397" s="39"/>
      <c r="F397" s="31"/>
      <c r="G397" s="22"/>
      <c r="H397" s="22"/>
    </row>
    <row r="398" spans="1:8" x14ac:dyDescent="0.3">
      <c r="A398" s="51"/>
      <c r="B398" s="22"/>
      <c r="C398" s="31"/>
      <c r="D398" s="31"/>
      <c r="E398" s="39"/>
      <c r="F398" s="31"/>
      <c r="G398" s="22"/>
      <c r="H398" s="22"/>
    </row>
    <row r="399" spans="1:8" x14ac:dyDescent="0.3">
      <c r="A399" s="51"/>
      <c r="B399" s="22"/>
      <c r="C399" s="31"/>
      <c r="D399" s="31"/>
      <c r="E399" s="39"/>
      <c r="F399" s="31"/>
      <c r="G399" s="22"/>
      <c r="H399" s="22"/>
    </row>
    <row r="400" spans="1:8" x14ac:dyDescent="0.3">
      <c r="A400" s="51"/>
      <c r="B400" s="22"/>
      <c r="C400" s="31"/>
      <c r="D400" s="31"/>
      <c r="E400" s="39"/>
      <c r="F400" s="31"/>
      <c r="G400" s="22"/>
      <c r="H400" s="22"/>
    </row>
    <row r="401" spans="1:8" x14ac:dyDescent="0.3">
      <c r="A401" s="51"/>
      <c r="B401" s="22"/>
      <c r="C401" s="31"/>
      <c r="D401" s="31"/>
      <c r="E401" s="39"/>
      <c r="F401" s="31"/>
      <c r="G401" s="22"/>
      <c r="H401" s="22"/>
    </row>
    <row r="402" spans="1:8" x14ac:dyDescent="0.3">
      <c r="A402" s="51"/>
      <c r="B402" s="22"/>
      <c r="C402" s="31"/>
      <c r="D402" s="31"/>
      <c r="E402" s="39"/>
      <c r="F402" s="31"/>
      <c r="G402" s="22"/>
      <c r="H402" s="22"/>
    </row>
    <row r="403" spans="1:8" x14ac:dyDescent="0.3">
      <c r="A403" s="51"/>
      <c r="B403" s="22"/>
      <c r="C403" s="31"/>
      <c r="D403" s="31"/>
      <c r="E403" s="39"/>
      <c r="F403" s="31"/>
      <c r="G403" s="22"/>
      <c r="H403" s="22"/>
    </row>
    <row r="404" spans="1:8" x14ac:dyDescent="0.3">
      <c r="A404" s="51"/>
      <c r="B404" s="22"/>
      <c r="C404" s="31"/>
      <c r="D404" s="31"/>
      <c r="E404" s="39"/>
      <c r="F404" s="31"/>
      <c r="G404" s="22"/>
      <c r="H404" s="22"/>
    </row>
    <row r="405" spans="1:8" x14ac:dyDescent="0.3">
      <c r="A405" s="51"/>
      <c r="B405" s="22"/>
      <c r="C405" s="31"/>
      <c r="D405" s="31"/>
      <c r="E405" s="39"/>
      <c r="F405" s="31"/>
      <c r="G405" s="22"/>
      <c r="H405" s="22"/>
    </row>
    <row r="406" spans="1:8" x14ac:dyDescent="0.3">
      <c r="A406" s="51"/>
      <c r="B406" s="22"/>
      <c r="C406" s="31"/>
      <c r="D406" s="31"/>
      <c r="E406" s="39"/>
      <c r="F406" s="31"/>
      <c r="G406" s="22"/>
      <c r="H406" s="22"/>
    </row>
    <row r="407" spans="1:8" x14ac:dyDescent="0.3">
      <c r="A407" s="51"/>
      <c r="B407" s="22"/>
      <c r="C407" s="31"/>
      <c r="D407" s="31"/>
      <c r="E407" s="39"/>
      <c r="F407" s="31"/>
      <c r="G407" s="22"/>
      <c r="H407" s="22"/>
    </row>
    <row r="408" spans="1:8" x14ac:dyDescent="0.3">
      <c r="A408" s="51"/>
      <c r="B408" s="22"/>
      <c r="C408" s="31"/>
      <c r="D408" s="31"/>
      <c r="E408" s="39"/>
      <c r="F408" s="31"/>
      <c r="G408" s="22"/>
      <c r="H408" s="22"/>
    </row>
    <row r="409" spans="1:8" x14ac:dyDescent="0.3">
      <c r="A409" s="51"/>
      <c r="B409" s="22"/>
      <c r="C409" s="31"/>
      <c r="D409" s="31"/>
      <c r="E409" s="39"/>
      <c r="F409" s="31"/>
      <c r="G409" s="22"/>
      <c r="H409" s="22"/>
    </row>
    <row r="410" spans="1:8" x14ac:dyDescent="0.3">
      <c r="A410" s="51"/>
      <c r="B410" s="22"/>
      <c r="C410" s="31"/>
      <c r="D410" s="31"/>
      <c r="E410" s="39"/>
      <c r="F410" s="31"/>
      <c r="G410" s="22"/>
      <c r="H410" s="22"/>
    </row>
    <row r="411" spans="1:8" x14ac:dyDescent="0.3">
      <c r="A411" s="51"/>
      <c r="B411" s="22"/>
      <c r="C411" s="31"/>
      <c r="D411" s="31"/>
      <c r="E411" s="39"/>
      <c r="F411" s="31"/>
      <c r="G411" s="22"/>
      <c r="H411" s="22"/>
    </row>
    <row r="412" spans="1:8" x14ac:dyDescent="0.3">
      <c r="A412" s="51"/>
      <c r="B412" s="22"/>
      <c r="C412" s="31"/>
      <c r="D412" s="31"/>
      <c r="E412" s="39"/>
      <c r="F412" s="31"/>
      <c r="G412" s="22"/>
      <c r="H412" s="22"/>
    </row>
    <row r="413" spans="1:8" x14ac:dyDescent="0.3">
      <c r="A413" s="51"/>
      <c r="B413" s="22"/>
      <c r="C413" s="31"/>
      <c r="D413" s="31"/>
      <c r="E413" s="39"/>
      <c r="F413" s="31"/>
      <c r="G413" s="22"/>
      <c r="H413" s="22"/>
    </row>
    <row r="414" spans="1:8" x14ac:dyDescent="0.3">
      <c r="A414" s="51"/>
      <c r="B414" s="22"/>
      <c r="C414" s="31"/>
      <c r="D414" s="31"/>
      <c r="E414" s="39"/>
      <c r="F414" s="31"/>
      <c r="G414" s="22"/>
      <c r="H414" s="22"/>
    </row>
    <row r="415" spans="1:8" x14ac:dyDescent="0.3">
      <c r="A415" s="51"/>
      <c r="B415" s="22"/>
      <c r="C415" s="31"/>
      <c r="D415" s="31"/>
      <c r="E415" s="39"/>
      <c r="F415" s="31"/>
      <c r="G415" s="22"/>
      <c r="H415" s="22"/>
    </row>
    <row r="416" spans="1:8" x14ac:dyDescent="0.3">
      <c r="A416" s="51"/>
      <c r="B416" s="22"/>
      <c r="C416" s="31"/>
      <c r="D416" s="31"/>
      <c r="E416" s="39"/>
      <c r="F416" s="31"/>
      <c r="G416" s="22"/>
      <c r="H416" s="22"/>
    </row>
    <row r="417" spans="1:8" x14ac:dyDescent="0.3">
      <c r="A417" s="51"/>
      <c r="B417" s="22"/>
      <c r="C417" s="31"/>
      <c r="D417" s="31"/>
      <c r="E417" s="39"/>
      <c r="F417" s="31"/>
      <c r="G417" s="22"/>
      <c r="H417" s="22"/>
    </row>
    <row r="418" spans="1:8" x14ac:dyDescent="0.3">
      <c r="A418" s="51"/>
      <c r="B418" s="22"/>
      <c r="C418" s="31"/>
      <c r="D418" s="31"/>
      <c r="E418" s="39"/>
      <c r="F418" s="31"/>
      <c r="G418" s="22"/>
      <c r="H418" s="22"/>
    </row>
    <row r="419" spans="1:8" x14ac:dyDescent="0.3">
      <c r="A419" s="51"/>
      <c r="B419" s="22"/>
      <c r="C419" s="31"/>
      <c r="D419" s="31"/>
      <c r="E419" s="39"/>
      <c r="F419" s="31"/>
      <c r="G419" s="22"/>
      <c r="H419" s="22"/>
    </row>
    <row r="420" spans="1:8" x14ac:dyDescent="0.3">
      <c r="A420" s="51"/>
      <c r="B420" s="22"/>
      <c r="C420" s="31"/>
      <c r="D420" s="31"/>
      <c r="E420" s="39"/>
      <c r="F420" s="31"/>
      <c r="G420" s="22"/>
      <c r="H420" s="22"/>
    </row>
    <row r="421" spans="1:8" x14ac:dyDescent="0.3">
      <c r="A421" s="51"/>
      <c r="B421" s="22"/>
      <c r="C421" s="31"/>
      <c r="D421" s="31"/>
      <c r="E421" s="39"/>
      <c r="F421" s="31"/>
      <c r="G421" s="22"/>
      <c r="H421" s="22"/>
    </row>
    <row r="422" spans="1:8" x14ac:dyDescent="0.3">
      <c r="A422" s="51"/>
      <c r="B422" s="22"/>
      <c r="C422" s="31"/>
      <c r="D422" s="31"/>
      <c r="E422" s="39"/>
      <c r="F422" s="31"/>
      <c r="G422" s="22"/>
      <c r="H422" s="22"/>
    </row>
    <row r="423" spans="1:8" x14ac:dyDescent="0.3">
      <c r="A423" s="51"/>
      <c r="B423" s="22"/>
      <c r="C423" s="31"/>
      <c r="D423" s="31"/>
      <c r="E423" s="39"/>
      <c r="F423" s="31"/>
      <c r="G423" s="22"/>
      <c r="H423" s="22"/>
    </row>
    <row r="424" spans="1:8" x14ac:dyDescent="0.3">
      <c r="A424" s="51"/>
      <c r="B424" s="22"/>
      <c r="C424" s="31"/>
      <c r="D424" s="31"/>
      <c r="E424" s="39"/>
      <c r="F424" s="31"/>
      <c r="G424" s="22"/>
      <c r="H424" s="22"/>
    </row>
    <row r="425" spans="1:8" x14ac:dyDescent="0.3">
      <c r="A425" s="51"/>
      <c r="B425" s="22"/>
      <c r="C425" s="31"/>
      <c r="D425" s="31"/>
      <c r="E425" s="39"/>
      <c r="F425" s="31"/>
      <c r="G425" s="22"/>
      <c r="H425" s="22"/>
    </row>
    <row r="426" spans="1:8" x14ac:dyDescent="0.3">
      <c r="A426" s="51"/>
      <c r="B426" s="22"/>
      <c r="C426" s="31"/>
      <c r="D426" s="31"/>
      <c r="E426" s="39"/>
      <c r="F426" s="31"/>
      <c r="G426" s="22"/>
      <c r="H426" s="22"/>
    </row>
    <row r="427" spans="1:8" x14ac:dyDescent="0.3">
      <c r="A427" s="51"/>
      <c r="B427" s="22"/>
      <c r="C427" s="31"/>
      <c r="D427" s="31"/>
      <c r="E427" s="39"/>
      <c r="F427" s="31"/>
      <c r="G427" s="22"/>
      <c r="H427" s="22"/>
    </row>
    <row r="428" spans="1:8" x14ac:dyDescent="0.3">
      <c r="A428" s="51"/>
      <c r="B428" s="22"/>
      <c r="C428" s="31"/>
      <c r="D428" s="31"/>
      <c r="E428" s="39"/>
      <c r="F428" s="31"/>
      <c r="G428" s="22"/>
      <c r="H428" s="22"/>
    </row>
    <row r="429" spans="1:8" x14ac:dyDescent="0.3">
      <c r="A429" s="51"/>
      <c r="B429" s="22"/>
      <c r="C429" s="31"/>
      <c r="D429" s="31"/>
      <c r="E429" s="39"/>
      <c r="F429" s="31"/>
      <c r="G429" s="22"/>
      <c r="H429" s="22"/>
    </row>
    <row r="430" spans="1:8" x14ac:dyDescent="0.3">
      <c r="A430" s="51"/>
      <c r="B430" s="22"/>
      <c r="C430" s="31"/>
      <c r="D430" s="31"/>
      <c r="E430" s="39"/>
      <c r="F430" s="31"/>
      <c r="G430" s="22"/>
      <c r="H430" s="22"/>
    </row>
    <row r="431" spans="1:8" x14ac:dyDescent="0.3">
      <c r="A431" s="51"/>
      <c r="B431" s="22"/>
      <c r="C431" s="31"/>
      <c r="D431" s="31"/>
      <c r="E431" s="39"/>
      <c r="F431" s="31"/>
      <c r="G431" s="22"/>
      <c r="H431" s="22"/>
    </row>
    <row r="432" spans="1:8" x14ac:dyDescent="0.3">
      <c r="A432" s="51"/>
      <c r="B432" s="22"/>
      <c r="C432" s="31"/>
      <c r="D432" s="31"/>
      <c r="E432" s="39"/>
      <c r="F432" s="31"/>
      <c r="G432" s="22"/>
      <c r="H432" s="22"/>
    </row>
    <row r="433" spans="1:8" x14ac:dyDescent="0.3">
      <c r="A433" s="51"/>
      <c r="B433" s="22"/>
      <c r="C433" s="31"/>
      <c r="D433" s="31"/>
      <c r="E433" s="39"/>
      <c r="F433" s="31"/>
      <c r="G433" s="22"/>
      <c r="H433" s="22"/>
    </row>
    <row r="434" spans="1:8" x14ac:dyDescent="0.3">
      <c r="A434" s="51"/>
      <c r="B434" s="22"/>
      <c r="C434" s="31"/>
      <c r="D434" s="31"/>
      <c r="E434" s="39"/>
      <c r="F434" s="31"/>
      <c r="G434" s="22"/>
      <c r="H434" s="22"/>
    </row>
    <row r="435" spans="1:8" x14ac:dyDescent="0.3">
      <c r="A435" s="51"/>
      <c r="B435" s="22"/>
      <c r="C435" s="31"/>
      <c r="D435" s="31"/>
      <c r="E435" s="39"/>
      <c r="F435" s="31"/>
      <c r="G435" s="22"/>
      <c r="H435" s="22"/>
    </row>
    <row r="436" spans="1:8" x14ac:dyDescent="0.3">
      <c r="A436" s="51"/>
      <c r="B436" s="22"/>
      <c r="C436" s="31"/>
      <c r="D436" s="31"/>
      <c r="E436" s="39"/>
      <c r="F436" s="31"/>
      <c r="G436" s="22"/>
      <c r="H436" s="22"/>
    </row>
    <row r="437" spans="1:8" x14ac:dyDescent="0.3">
      <c r="A437" s="51"/>
      <c r="B437" s="22"/>
      <c r="C437" s="31"/>
      <c r="D437" s="31"/>
      <c r="E437" s="39"/>
      <c r="F437" s="31"/>
      <c r="G437" s="22"/>
      <c r="H437" s="22"/>
    </row>
    <row r="438" spans="1:8" x14ac:dyDescent="0.3">
      <c r="A438" s="51"/>
      <c r="B438" s="22"/>
      <c r="C438" s="31"/>
      <c r="D438" s="31"/>
      <c r="E438" s="39"/>
      <c r="F438" s="31"/>
      <c r="G438" s="22"/>
      <c r="H438" s="22"/>
    </row>
    <row r="439" spans="1:8" x14ac:dyDescent="0.3">
      <c r="A439" s="51"/>
      <c r="B439" s="22"/>
      <c r="C439" s="31"/>
      <c r="D439" s="31"/>
      <c r="E439" s="39"/>
      <c r="F439" s="31"/>
      <c r="G439" s="22"/>
      <c r="H439" s="22"/>
    </row>
    <row r="440" spans="1:8" x14ac:dyDescent="0.3">
      <c r="A440" s="51"/>
      <c r="B440" s="22"/>
      <c r="C440" s="31"/>
      <c r="D440" s="31"/>
      <c r="E440" s="39"/>
      <c r="F440" s="31"/>
      <c r="G440" s="22"/>
      <c r="H440" s="22"/>
    </row>
    <row r="441" spans="1:8" x14ac:dyDescent="0.3">
      <c r="A441" s="51"/>
      <c r="B441" s="22"/>
      <c r="C441" s="31"/>
      <c r="D441" s="31"/>
      <c r="E441" s="39"/>
      <c r="F441" s="31"/>
      <c r="G441" s="22"/>
      <c r="H441" s="22"/>
    </row>
    <row r="442" spans="1:8" x14ac:dyDescent="0.3">
      <c r="A442" s="51"/>
      <c r="B442" s="22"/>
      <c r="C442" s="31"/>
      <c r="D442" s="31"/>
      <c r="E442" s="39"/>
      <c r="F442" s="31"/>
      <c r="G442" s="22"/>
      <c r="H442" s="22"/>
    </row>
    <row r="443" spans="1:8" x14ac:dyDescent="0.3">
      <c r="A443" s="51"/>
      <c r="B443" s="22"/>
      <c r="C443" s="31"/>
      <c r="D443" s="31"/>
      <c r="E443" s="39"/>
      <c r="F443" s="31"/>
      <c r="G443" s="22"/>
      <c r="H443" s="22"/>
    </row>
    <row r="444" spans="1:8" x14ac:dyDescent="0.3">
      <c r="A444" s="51"/>
      <c r="B444" s="22"/>
      <c r="C444" s="31"/>
      <c r="D444" s="31"/>
      <c r="E444" s="39"/>
      <c r="F444" s="31"/>
      <c r="G444" s="22"/>
      <c r="H444" s="22"/>
    </row>
    <row r="445" spans="1:8" x14ac:dyDescent="0.3">
      <c r="A445" s="51"/>
      <c r="B445" s="22"/>
      <c r="C445" s="31"/>
      <c r="D445" s="31"/>
      <c r="E445" s="39"/>
      <c r="F445" s="31"/>
      <c r="G445" s="22"/>
      <c r="H445" s="22"/>
    </row>
    <row r="446" spans="1:8" x14ac:dyDescent="0.3">
      <c r="A446" s="51"/>
      <c r="B446" s="22"/>
      <c r="C446" s="31"/>
      <c r="D446" s="31"/>
      <c r="E446" s="39"/>
      <c r="F446" s="31"/>
      <c r="G446" s="22"/>
      <c r="H446" s="22"/>
    </row>
    <row r="447" spans="1:8" x14ac:dyDescent="0.3">
      <c r="A447" s="51"/>
      <c r="B447" s="22"/>
      <c r="C447" s="31"/>
      <c r="D447" s="31"/>
      <c r="E447" s="39"/>
      <c r="F447" s="31"/>
      <c r="G447" s="22"/>
      <c r="H447" s="22"/>
    </row>
    <row r="448" spans="1:8" x14ac:dyDescent="0.3">
      <c r="A448" s="51"/>
      <c r="B448" s="22"/>
      <c r="C448" s="31"/>
      <c r="D448" s="31"/>
      <c r="E448" s="39"/>
      <c r="F448" s="31"/>
      <c r="G448" s="22"/>
      <c r="H448" s="22"/>
    </row>
    <row r="449" spans="1:8" x14ac:dyDescent="0.3">
      <c r="A449" s="51"/>
      <c r="B449" s="22"/>
      <c r="C449" s="31"/>
      <c r="D449" s="31"/>
      <c r="E449" s="39"/>
      <c r="F449" s="31"/>
      <c r="G449" s="22"/>
      <c r="H449" s="22"/>
    </row>
    <row r="450" spans="1:8" x14ac:dyDescent="0.3">
      <c r="A450" s="51"/>
      <c r="B450" s="22"/>
      <c r="C450" s="31"/>
      <c r="D450" s="31"/>
      <c r="E450" s="39"/>
      <c r="F450" s="31"/>
      <c r="G450" s="22"/>
      <c r="H450" s="22"/>
    </row>
    <row r="451" spans="1:8" x14ac:dyDescent="0.3">
      <c r="A451" s="51"/>
      <c r="B451" s="22"/>
      <c r="C451" s="31"/>
      <c r="D451" s="31"/>
      <c r="E451" s="39"/>
      <c r="F451" s="31"/>
      <c r="G451" s="22"/>
      <c r="H451" s="22"/>
    </row>
    <row r="452" spans="1:8" x14ac:dyDescent="0.3">
      <c r="A452" s="51"/>
      <c r="B452" s="22"/>
      <c r="C452" s="31"/>
      <c r="D452" s="31"/>
      <c r="E452" s="39"/>
      <c r="F452" s="31"/>
      <c r="G452" s="22"/>
      <c r="H452" s="22"/>
    </row>
    <row r="453" spans="1:8" x14ac:dyDescent="0.3">
      <c r="A453" s="51"/>
      <c r="B453" s="22"/>
      <c r="C453" s="31"/>
      <c r="D453" s="31"/>
      <c r="E453" s="39"/>
      <c r="F453" s="31"/>
      <c r="G453" s="22"/>
      <c r="H453" s="22"/>
    </row>
    <row r="454" spans="1:8" x14ac:dyDescent="0.3">
      <c r="A454" s="51"/>
      <c r="B454" s="22"/>
      <c r="C454" s="31"/>
      <c r="D454" s="31"/>
      <c r="E454" s="39"/>
      <c r="F454" s="31"/>
      <c r="G454" s="22"/>
      <c r="H454" s="22"/>
    </row>
    <row r="455" spans="1:8" x14ac:dyDescent="0.3">
      <c r="A455" s="51"/>
      <c r="B455" s="22"/>
      <c r="C455" s="31"/>
      <c r="D455" s="31"/>
      <c r="E455" s="39"/>
      <c r="F455" s="31"/>
      <c r="G455" s="22"/>
      <c r="H455" s="22"/>
    </row>
    <row r="456" spans="1:8" x14ac:dyDescent="0.3">
      <c r="A456" s="51"/>
      <c r="B456" s="22"/>
      <c r="C456" s="31"/>
      <c r="D456" s="31"/>
      <c r="E456" s="39"/>
      <c r="F456" s="31"/>
      <c r="G456" s="22"/>
      <c r="H456" s="22"/>
    </row>
    <row r="457" spans="1:8" x14ac:dyDescent="0.3">
      <c r="A457" s="51"/>
      <c r="B457" s="22"/>
      <c r="C457" s="31"/>
      <c r="D457" s="31"/>
      <c r="E457" s="39"/>
      <c r="F457" s="31"/>
      <c r="G457" s="22"/>
      <c r="H457" s="22"/>
    </row>
    <row r="458" spans="1:8" x14ac:dyDescent="0.3">
      <c r="A458" s="51"/>
      <c r="B458" s="22"/>
      <c r="C458" s="31"/>
      <c r="D458" s="31"/>
      <c r="E458" s="39"/>
      <c r="F458" s="31"/>
      <c r="G458" s="22"/>
      <c r="H458" s="22"/>
    </row>
    <row r="459" spans="1:8" x14ac:dyDescent="0.3">
      <c r="A459" s="51"/>
      <c r="B459" s="22"/>
      <c r="C459" s="31"/>
      <c r="D459" s="31"/>
      <c r="E459" s="39"/>
      <c r="F459" s="31"/>
      <c r="G459" s="22"/>
      <c r="H459" s="22"/>
    </row>
    <row r="460" spans="1:8" x14ac:dyDescent="0.3">
      <c r="A460" s="51"/>
      <c r="B460" s="22"/>
      <c r="C460" s="31"/>
      <c r="D460" s="31"/>
      <c r="E460" s="39"/>
      <c r="F460" s="31"/>
      <c r="G460" s="22"/>
      <c r="H460" s="22"/>
    </row>
    <row r="461" spans="1:8" x14ac:dyDescent="0.3">
      <c r="A461" s="51"/>
      <c r="B461" s="22"/>
      <c r="C461" s="31"/>
      <c r="D461" s="31"/>
      <c r="E461" s="39"/>
      <c r="F461" s="31"/>
      <c r="G461" s="22"/>
      <c r="H461" s="22"/>
    </row>
    <row r="462" spans="1:8" x14ac:dyDescent="0.3">
      <c r="A462" s="51"/>
      <c r="B462" s="22"/>
      <c r="C462" s="31"/>
      <c r="D462" s="31"/>
      <c r="E462" s="39"/>
      <c r="F462" s="31"/>
      <c r="G462" s="22"/>
      <c r="H462" s="22"/>
    </row>
    <row r="463" spans="1:8" x14ac:dyDescent="0.3">
      <c r="A463" s="51"/>
      <c r="B463" s="22"/>
      <c r="C463" s="31"/>
      <c r="D463" s="31"/>
      <c r="E463" s="39"/>
      <c r="F463" s="31"/>
      <c r="G463" s="22"/>
      <c r="H463" s="22"/>
    </row>
    <row r="464" spans="1:8" x14ac:dyDescent="0.3">
      <c r="A464" s="51"/>
      <c r="B464" s="22"/>
      <c r="C464" s="31"/>
      <c r="D464" s="31"/>
      <c r="E464" s="39"/>
      <c r="F464" s="31"/>
      <c r="G464" s="22"/>
      <c r="H464" s="22"/>
    </row>
    <row r="465" spans="1:8" x14ac:dyDescent="0.3">
      <c r="A465" s="51"/>
      <c r="B465" s="22"/>
      <c r="C465" s="31"/>
      <c r="D465" s="31"/>
      <c r="E465" s="39"/>
      <c r="F465" s="31"/>
      <c r="G465" s="22"/>
      <c r="H465" s="22"/>
    </row>
    <row r="466" spans="1:8" x14ac:dyDescent="0.3">
      <c r="A466" s="51"/>
      <c r="B466" s="22"/>
      <c r="C466" s="31"/>
      <c r="D466" s="31"/>
      <c r="E466" s="39"/>
      <c r="F466" s="31"/>
      <c r="G466" s="22"/>
      <c r="H466" s="22"/>
    </row>
    <row r="467" spans="1:8" x14ac:dyDescent="0.3">
      <c r="A467" s="51"/>
      <c r="B467" s="22"/>
      <c r="C467" s="31"/>
      <c r="D467" s="31"/>
      <c r="E467" s="39"/>
      <c r="F467" s="31"/>
      <c r="G467" s="22"/>
      <c r="H467" s="22"/>
    </row>
    <row r="468" spans="1:8" x14ac:dyDescent="0.3">
      <c r="A468" s="51"/>
      <c r="B468" s="22"/>
      <c r="C468" s="31"/>
      <c r="D468" s="31"/>
      <c r="E468" s="39"/>
      <c r="F468" s="31"/>
      <c r="G468" s="22"/>
      <c r="H468" s="22"/>
    </row>
    <row r="469" spans="1:8" x14ac:dyDescent="0.3">
      <c r="A469" s="51"/>
      <c r="B469" s="22"/>
      <c r="C469" s="31"/>
      <c r="D469" s="31"/>
      <c r="E469" s="39"/>
      <c r="F469" s="31"/>
      <c r="G469" s="22"/>
      <c r="H469" s="22"/>
    </row>
    <row r="470" spans="1:8" x14ac:dyDescent="0.3">
      <c r="A470" s="51"/>
      <c r="B470" s="22"/>
      <c r="C470" s="31"/>
      <c r="D470" s="31"/>
      <c r="E470" s="39"/>
      <c r="F470" s="31"/>
      <c r="G470" s="22"/>
      <c r="H470" s="22"/>
    </row>
    <row r="471" spans="1:8" x14ac:dyDescent="0.3">
      <c r="A471" s="51"/>
      <c r="B471" s="22"/>
      <c r="C471" s="31"/>
      <c r="D471" s="31"/>
      <c r="E471" s="39"/>
      <c r="F471" s="31"/>
      <c r="G471" s="22"/>
      <c r="H471" s="22"/>
    </row>
    <row r="472" spans="1:8" x14ac:dyDescent="0.3">
      <c r="A472" s="51"/>
      <c r="B472" s="22"/>
      <c r="C472" s="31"/>
      <c r="D472" s="31"/>
      <c r="E472" s="39"/>
      <c r="F472" s="31"/>
      <c r="G472" s="22"/>
      <c r="H472" s="22"/>
    </row>
    <row r="473" spans="1:8" x14ac:dyDescent="0.3">
      <c r="A473" s="51"/>
      <c r="B473" s="22"/>
      <c r="C473" s="31"/>
      <c r="D473" s="31"/>
      <c r="E473" s="39"/>
      <c r="F473" s="31"/>
      <c r="G473" s="22"/>
      <c r="H473" s="22"/>
    </row>
    <row r="474" spans="1:8" x14ac:dyDescent="0.3">
      <c r="A474" s="51"/>
      <c r="B474" s="22"/>
      <c r="C474" s="31"/>
      <c r="D474" s="31"/>
      <c r="E474" s="39"/>
      <c r="F474" s="31"/>
      <c r="G474" s="22"/>
      <c r="H474" s="22"/>
    </row>
    <row r="475" spans="1:8" x14ac:dyDescent="0.3">
      <c r="A475" s="51"/>
      <c r="B475" s="22"/>
      <c r="C475" s="31"/>
      <c r="D475" s="31"/>
      <c r="E475" s="39"/>
      <c r="F475" s="31"/>
      <c r="G475" s="22"/>
      <c r="H475" s="22"/>
    </row>
    <row r="476" spans="1:8" x14ac:dyDescent="0.3">
      <c r="A476" s="51"/>
      <c r="B476" s="22"/>
      <c r="C476" s="31"/>
      <c r="D476" s="31"/>
      <c r="E476" s="39"/>
      <c r="F476" s="31"/>
      <c r="G476" s="22"/>
      <c r="H476" s="22"/>
    </row>
    <row r="477" spans="1:8" x14ac:dyDescent="0.3">
      <c r="A477" s="51"/>
      <c r="B477" s="22"/>
      <c r="C477" s="31"/>
      <c r="D477" s="31"/>
      <c r="E477" s="39"/>
      <c r="F477" s="31"/>
      <c r="G477" s="22"/>
      <c r="H477" s="22"/>
    </row>
    <row r="478" spans="1:8" x14ac:dyDescent="0.3">
      <c r="A478" s="51"/>
      <c r="B478" s="22"/>
      <c r="C478" s="31"/>
      <c r="D478" s="31"/>
      <c r="E478" s="39"/>
      <c r="F478" s="31"/>
      <c r="G478" s="22"/>
      <c r="H478" s="22"/>
    </row>
    <row r="479" spans="1:8" x14ac:dyDescent="0.3">
      <c r="A479" s="51"/>
      <c r="B479" s="22"/>
      <c r="C479" s="31"/>
      <c r="D479" s="31"/>
      <c r="E479" s="39"/>
      <c r="F479" s="31"/>
      <c r="G479" s="22"/>
      <c r="H479" s="22"/>
    </row>
    <row r="480" spans="1:8" x14ac:dyDescent="0.3">
      <c r="A480" s="51"/>
      <c r="B480" s="22"/>
      <c r="C480" s="31"/>
      <c r="D480" s="31"/>
      <c r="E480" s="39"/>
      <c r="F480" s="31"/>
      <c r="G480" s="22"/>
      <c r="H480" s="22"/>
    </row>
    <row r="481" spans="1:8" x14ac:dyDescent="0.3">
      <c r="A481" s="51"/>
      <c r="B481" s="22"/>
      <c r="C481" s="31"/>
      <c r="D481" s="31"/>
      <c r="E481" s="39"/>
      <c r="F481" s="31"/>
      <c r="G481" s="22"/>
      <c r="H481" s="22"/>
    </row>
    <row r="482" spans="1:8" x14ac:dyDescent="0.3">
      <c r="A482" s="51"/>
      <c r="B482" s="22"/>
      <c r="C482" s="31"/>
      <c r="D482" s="31"/>
      <c r="E482" s="39"/>
      <c r="F482" s="31"/>
      <c r="G482" s="22"/>
      <c r="H482" s="22"/>
    </row>
    <row r="483" spans="1:8" x14ac:dyDescent="0.3">
      <c r="A483" s="51"/>
      <c r="B483" s="22"/>
      <c r="C483" s="31"/>
      <c r="D483" s="31"/>
      <c r="E483" s="39"/>
      <c r="F483" s="31"/>
      <c r="G483" s="22"/>
      <c r="H483" s="22"/>
    </row>
    <row r="484" spans="1:8" x14ac:dyDescent="0.3">
      <c r="A484" s="51"/>
      <c r="B484" s="22"/>
      <c r="C484" s="31"/>
      <c r="D484" s="31"/>
      <c r="E484" s="39"/>
      <c r="F484" s="31"/>
      <c r="G484" s="22"/>
      <c r="H484" s="22"/>
    </row>
    <row r="485" spans="1:8" x14ac:dyDescent="0.3">
      <c r="A485" s="51"/>
      <c r="B485" s="22"/>
      <c r="C485" s="31"/>
      <c r="D485" s="31"/>
      <c r="E485" s="39"/>
      <c r="F485" s="31"/>
      <c r="G485" s="22"/>
      <c r="H485" s="22"/>
    </row>
    <row r="486" spans="1:8" x14ac:dyDescent="0.3">
      <c r="A486" s="51"/>
      <c r="B486" s="22"/>
      <c r="C486" s="31"/>
      <c r="D486" s="31"/>
      <c r="E486" s="39"/>
      <c r="F486" s="31"/>
      <c r="G486" s="22"/>
      <c r="H486" s="22"/>
    </row>
    <row r="487" spans="1:8" x14ac:dyDescent="0.3">
      <c r="A487" s="51"/>
      <c r="B487" s="22"/>
      <c r="C487" s="31"/>
      <c r="D487" s="31"/>
      <c r="E487" s="39"/>
      <c r="F487" s="31"/>
      <c r="G487" s="22"/>
      <c r="H487" s="22"/>
    </row>
    <row r="488" spans="1:8" x14ac:dyDescent="0.3">
      <c r="A488" s="51"/>
      <c r="B488" s="22"/>
      <c r="C488" s="31"/>
      <c r="D488" s="31"/>
      <c r="E488" s="39"/>
      <c r="F488" s="31"/>
      <c r="G488" s="22"/>
      <c r="H488" s="22"/>
    </row>
    <row r="489" spans="1:8" x14ac:dyDescent="0.3">
      <c r="A489" s="51"/>
      <c r="B489" s="22"/>
      <c r="C489" s="31"/>
      <c r="D489" s="31"/>
      <c r="E489" s="39"/>
      <c r="F489" s="31"/>
      <c r="G489" s="22"/>
      <c r="H489" s="22"/>
    </row>
    <row r="490" spans="1:8" x14ac:dyDescent="0.3">
      <c r="A490" s="51"/>
      <c r="B490" s="22"/>
      <c r="C490" s="31"/>
      <c r="D490" s="31"/>
      <c r="E490" s="39"/>
      <c r="F490" s="31"/>
      <c r="G490" s="22"/>
      <c r="H490" s="22"/>
    </row>
    <row r="491" spans="1:8" x14ac:dyDescent="0.3">
      <c r="A491" s="51"/>
      <c r="B491" s="22"/>
      <c r="C491" s="31"/>
      <c r="D491" s="31"/>
      <c r="E491" s="39"/>
      <c r="F491" s="31"/>
      <c r="G491" s="22"/>
      <c r="H491" s="22"/>
    </row>
    <row r="492" spans="1:8" x14ac:dyDescent="0.3">
      <c r="A492" s="51"/>
      <c r="B492" s="22"/>
      <c r="C492" s="31"/>
      <c r="D492" s="31"/>
      <c r="E492" s="39"/>
      <c r="F492" s="31"/>
      <c r="G492" s="22"/>
      <c r="H492" s="22"/>
    </row>
    <row r="493" spans="1:8" x14ac:dyDescent="0.3">
      <c r="A493" s="51"/>
      <c r="B493" s="22"/>
      <c r="C493" s="31"/>
      <c r="D493" s="31"/>
      <c r="E493" s="39"/>
      <c r="F493" s="31"/>
      <c r="G493" s="22"/>
      <c r="H493" s="22"/>
    </row>
    <row r="494" spans="1:8" x14ac:dyDescent="0.3">
      <c r="A494" s="51"/>
      <c r="B494" s="22"/>
      <c r="C494" s="31"/>
      <c r="D494" s="31"/>
      <c r="E494" s="39"/>
      <c r="F494" s="31"/>
      <c r="G494" s="22"/>
      <c r="H494" s="22"/>
    </row>
    <row r="495" spans="1:8" x14ac:dyDescent="0.3">
      <c r="A495" s="51"/>
      <c r="B495" s="22"/>
      <c r="C495" s="31"/>
      <c r="D495" s="31"/>
      <c r="E495" s="39"/>
      <c r="F495" s="31"/>
      <c r="G495" s="22"/>
      <c r="H495" s="22"/>
    </row>
    <row r="496" spans="1:8" x14ac:dyDescent="0.3">
      <c r="A496" s="51"/>
      <c r="B496" s="22"/>
      <c r="C496" s="31"/>
      <c r="D496" s="31"/>
      <c r="E496" s="39"/>
      <c r="F496" s="31"/>
      <c r="G496" s="22"/>
      <c r="H496" s="22"/>
    </row>
    <row r="497" s="59" customFormat="1" x14ac:dyDescent="0.3"/>
  </sheetData>
  <sortState xmlns:xlrd2="http://schemas.microsoft.com/office/spreadsheetml/2017/richdata2" ref="A2:A13">
    <sortCondition ref="A2:A13"/>
  </sortState>
  <phoneticPr fontId="6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577AC-E2BE-4BA6-BF86-BAE08BD185F5}">
  <sheetPr codeName="Sheet4"/>
  <dimension ref="A1:F497"/>
  <sheetViews>
    <sheetView zoomScale="102" workbookViewId="0">
      <selection activeCell="D11" sqref="D11"/>
    </sheetView>
  </sheetViews>
  <sheetFormatPr defaultColWidth="8.6640625" defaultRowHeight="13.8" x14ac:dyDescent="0.3"/>
  <cols>
    <col min="1" max="6" width="20.6640625" style="21" customWidth="1"/>
    <col min="7" max="16384" width="8.6640625" style="21"/>
  </cols>
  <sheetData>
    <row r="1" spans="1:6" x14ac:dyDescent="0.3">
      <c r="A1" s="50" t="s">
        <v>0</v>
      </c>
      <c r="B1" s="50" t="s">
        <v>384</v>
      </c>
      <c r="C1" s="50" t="s">
        <v>1</v>
      </c>
      <c r="D1" s="50" t="s">
        <v>115</v>
      </c>
      <c r="E1" s="50" t="s">
        <v>6</v>
      </c>
      <c r="F1" s="50" t="s">
        <v>116</v>
      </c>
    </row>
    <row r="2" spans="1:6" x14ac:dyDescent="0.3">
      <c r="A2" s="51" t="s">
        <v>117</v>
      </c>
      <c r="B2" s="84">
        <v>0</v>
      </c>
      <c r="C2" s="84">
        <v>725000</v>
      </c>
      <c r="D2" s="84">
        <v>13050</v>
      </c>
      <c r="E2" s="67">
        <v>0</v>
      </c>
      <c r="F2" s="22">
        <v>-2</v>
      </c>
    </row>
    <row r="3" spans="1:6" x14ac:dyDescent="0.3">
      <c r="A3" s="51" t="s">
        <v>118</v>
      </c>
      <c r="B3" s="84">
        <v>1</v>
      </c>
      <c r="C3" s="84">
        <v>67600</v>
      </c>
      <c r="D3" s="84">
        <v>8000</v>
      </c>
      <c r="E3" s="67">
        <v>20</v>
      </c>
      <c r="F3" s="22">
        <v>-2</v>
      </c>
    </row>
    <row r="4" spans="1:6" x14ac:dyDescent="0.3">
      <c r="A4" s="51" t="s">
        <v>119</v>
      </c>
      <c r="B4" s="84">
        <v>1</v>
      </c>
      <c r="C4" s="85">
        <v>612720</v>
      </c>
      <c r="D4" s="84">
        <v>5000</v>
      </c>
      <c r="E4" s="67">
        <v>30</v>
      </c>
      <c r="F4" s="22">
        <v>-2</v>
      </c>
    </row>
    <row r="5" spans="1:6" x14ac:dyDescent="0.3">
      <c r="A5" s="51" t="s">
        <v>120</v>
      </c>
      <c r="B5" s="84">
        <v>1</v>
      </c>
      <c r="C5" s="84">
        <v>79500</v>
      </c>
      <c r="D5" s="84">
        <v>25000</v>
      </c>
      <c r="E5" s="67">
        <v>20</v>
      </c>
      <c r="F5" s="22">
        <v>-2</v>
      </c>
    </row>
    <row r="6" spans="1:6" x14ac:dyDescent="0.3">
      <c r="A6" s="51" t="s">
        <v>121</v>
      </c>
      <c r="B6" s="84">
        <v>1</v>
      </c>
      <c r="C6" s="84">
        <v>205000</v>
      </c>
      <c r="D6" s="86">
        <v>12000</v>
      </c>
      <c r="E6" s="67">
        <v>20</v>
      </c>
      <c r="F6" s="22">
        <v>-2</v>
      </c>
    </row>
    <row r="7" spans="1:6" x14ac:dyDescent="0.3">
      <c r="A7" s="51" t="s">
        <v>122</v>
      </c>
      <c r="B7" s="84">
        <v>1</v>
      </c>
      <c r="C7" s="84">
        <v>6400000</v>
      </c>
      <c r="D7" s="67">
        <v>38000</v>
      </c>
      <c r="E7" s="67">
        <v>39</v>
      </c>
      <c r="F7" s="22">
        <v>-1</v>
      </c>
    </row>
    <row r="8" spans="1:6" x14ac:dyDescent="0.3">
      <c r="A8" s="51" t="s">
        <v>123</v>
      </c>
      <c r="B8" s="84">
        <v>1</v>
      </c>
      <c r="C8" s="84">
        <v>150000</v>
      </c>
      <c r="D8" s="84">
        <v>0</v>
      </c>
      <c r="E8" s="67">
        <v>20</v>
      </c>
      <c r="F8" s="22">
        <v>-1</v>
      </c>
    </row>
    <row r="9" spans="1:6" x14ac:dyDescent="0.3">
      <c r="A9" s="51" t="s">
        <v>124</v>
      </c>
      <c r="B9" s="84">
        <v>1</v>
      </c>
      <c r="C9" s="84">
        <v>137009</v>
      </c>
      <c r="D9" s="86">
        <v>0</v>
      </c>
      <c r="E9" s="67">
        <v>15</v>
      </c>
      <c r="F9" s="22">
        <v>-1</v>
      </c>
    </row>
    <row r="10" spans="1:6" x14ac:dyDescent="0.3">
      <c r="A10" s="51"/>
      <c r="B10" s="22"/>
      <c r="C10" s="22"/>
      <c r="D10" s="52"/>
      <c r="E10" s="52"/>
      <c r="F10" s="22"/>
    </row>
    <row r="11" spans="1:6" x14ac:dyDescent="0.3">
      <c r="A11" s="51"/>
      <c r="B11" s="22"/>
      <c r="C11" s="22"/>
      <c r="D11" s="52"/>
      <c r="E11" s="52"/>
      <c r="F11" s="22"/>
    </row>
    <row r="12" spans="1:6" x14ac:dyDescent="0.3">
      <c r="A12" s="51"/>
      <c r="B12" s="22"/>
      <c r="C12" s="22"/>
      <c r="D12" s="52"/>
      <c r="E12" s="52"/>
      <c r="F12" s="22"/>
    </row>
    <row r="13" spans="1:6" x14ac:dyDescent="0.3">
      <c r="A13" s="51"/>
      <c r="B13" s="22"/>
      <c r="C13" s="22"/>
      <c r="D13" s="31"/>
      <c r="E13" s="52"/>
      <c r="F13" s="22"/>
    </row>
    <row r="14" spans="1:6" x14ac:dyDescent="0.3">
      <c r="A14" s="51"/>
      <c r="B14" s="22"/>
      <c r="C14" s="22"/>
      <c r="D14" s="31"/>
      <c r="E14" s="31"/>
      <c r="F14" s="22"/>
    </row>
    <row r="15" spans="1:6" x14ac:dyDescent="0.3">
      <c r="A15" s="51"/>
      <c r="B15" s="22"/>
      <c r="C15" s="22"/>
      <c r="D15" s="31"/>
      <c r="E15" s="31"/>
      <c r="F15" s="22"/>
    </row>
    <row r="16" spans="1:6" x14ac:dyDescent="0.3">
      <c r="A16" s="51"/>
      <c r="B16" s="22"/>
      <c r="C16" s="22"/>
      <c r="D16" s="31"/>
      <c r="E16" s="31"/>
      <c r="F16" s="22"/>
    </row>
    <row r="17" spans="1:6" x14ac:dyDescent="0.3">
      <c r="A17" s="51"/>
      <c r="B17" s="22"/>
      <c r="C17" s="22"/>
      <c r="D17" s="31"/>
      <c r="E17" s="31"/>
      <c r="F17" s="22"/>
    </row>
    <row r="18" spans="1:6" x14ac:dyDescent="0.3">
      <c r="A18" s="51"/>
      <c r="B18" s="22"/>
      <c r="C18" s="22"/>
      <c r="D18" s="31"/>
      <c r="E18" s="31"/>
      <c r="F18" s="22"/>
    </row>
    <row r="19" spans="1:6" x14ac:dyDescent="0.3">
      <c r="A19" s="51"/>
      <c r="B19" s="22"/>
      <c r="C19" s="22"/>
      <c r="D19" s="31"/>
      <c r="E19" s="31"/>
      <c r="F19" s="22"/>
    </row>
    <row r="20" spans="1:6" x14ac:dyDescent="0.3">
      <c r="A20" s="51"/>
      <c r="B20" s="22"/>
      <c r="C20" s="22"/>
      <c r="D20" s="31"/>
      <c r="E20" s="31"/>
      <c r="F20" s="22"/>
    </row>
    <row r="21" spans="1:6" x14ac:dyDescent="0.3">
      <c r="A21" s="51"/>
      <c r="B21" s="22"/>
      <c r="C21" s="22"/>
      <c r="D21" s="31"/>
      <c r="E21" s="31"/>
      <c r="F21" s="22"/>
    </row>
    <row r="22" spans="1:6" x14ac:dyDescent="0.3">
      <c r="A22" s="51"/>
      <c r="B22" s="22"/>
      <c r="C22" s="22"/>
      <c r="D22" s="31"/>
      <c r="E22" s="31"/>
      <c r="F22" s="22"/>
    </row>
    <row r="23" spans="1:6" x14ac:dyDescent="0.3">
      <c r="A23" s="51"/>
      <c r="B23" s="22"/>
      <c r="C23" s="22"/>
      <c r="D23" s="31"/>
      <c r="E23" s="31"/>
      <c r="F23" s="22"/>
    </row>
    <row r="24" spans="1:6" x14ac:dyDescent="0.3">
      <c r="A24" s="51"/>
      <c r="B24" s="22"/>
      <c r="C24" s="22"/>
      <c r="D24" s="31"/>
      <c r="E24" s="31"/>
      <c r="F24" s="22"/>
    </row>
    <row r="25" spans="1:6" x14ac:dyDescent="0.3">
      <c r="A25" s="51"/>
      <c r="B25" s="22"/>
      <c r="C25" s="22"/>
      <c r="D25" s="31"/>
      <c r="E25" s="31"/>
      <c r="F25" s="22"/>
    </row>
    <row r="26" spans="1:6" x14ac:dyDescent="0.3">
      <c r="A26" s="51"/>
      <c r="B26" s="22"/>
      <c r="C26" s="22"/>
      <c r="D26" s="31"/>
      <c r="E26" s="31"/>
      <c r="F26" s="22"/>
    </row>
    <row r="27" spans="1:6" x14ac:dyDescent="0.3">
      <c r="A27" s="51"/>
      <c r="B27" s="22"/>
      <c r="C27" s="22"/>
      <c r="D27" s="31"/>
      <c r="E27" s="31"/>
      <c r="F27" s="22"/>
    </row>
    <row r="28" spans="1:6" x14ac:dyDescent="0.3">
      <c r="A28" s="51"/>
      <c r="B28" s="22"/>
      <c r="C28" s="22"/>
      <c r="D28" s="31"/>
      <c r="E28" s="31"/>
      <c r="F28" s="22"/>
    </row>
    <row r="29" spans="1:6" x14ac:dyDescent="0.3">
      <c r="A29" s="51"/>
      <c r="B29" s="22"/>
      <c r="C29" s="22"/>
      <c r="D29" s="31"/>
      <c r="E29" s="31"/>
      <c r="F29" s="22"/>
    </row>
    <row r="30" spans="1:6" x14ac:dyDescent="0.3">
      <c r="A30" s="51"/>
      <c r="B30" s="22"/>
      <c r="C30" s="22"/>
      <c r="D30" s="31"/>
      <c r="E30" s="31"/>
      <c r="F30" s="22"/>
    </row>
    <row r="31" spans="1:6" x14ac:dyDescent="0.3">
      <c r="A31" s="51"/>
      <c r="B31" s="22"/>
      <c r="C31" s="22"/>
      <c r="D31" s="31"/>
      <c r="E31" s="31"/>
      <c r="F31" s="22"/>
    </row>
    <row r="32" spans="1:6" x14ac:dyDescent="0.3">
      <c r="A32" s="51"/>
      <c r="B32" s="22"/>
      <c r="C32" s="22"/>
      <c r="D32" s="31"/>
      <c r="E32" s="31"/>
      <c r="F32" s="22"/>
    </row>
    <row r="33" spans="1:6" x14ac:dyDescent="0.3">
      <c r="A33" s="51"/>
      <c r="B33" s="22"/>
      <c r="C33" s="22"/>
      <c r="D33" s="31"/>
      <c r="E33" s="31"/>
      <c r="F33" s="22"/>
    </row>
    <row r="34" spans="1:6" x14ac:dyDescent="0.3">
      <c r="A34" s="51"/>
      <c r="B34" s="22"/>
      <c r="C34" s="22"/>
      <c r="D34" s="31"/>
      <c r="E34" s="31"/>
      <c r="F34" s="22"/>
    </row>
    <row r="35" spans="1:6" x14ac:dyDescent="0.3">
      <c r="A35" s="51"/>
      <c r="B35" s="22"/>
      <c r="C35" s="22"/>
      <c r="D35" s="31"/>
      <c r="E35" s="31"/>
      <c r="F35" s="22"/>
    </row>
    <row r="36" spans="1:6" x14ac:dyDescent="0.3">
      <c r="A36" s="51"/>
      <c r="B36" s="22"/>
      <c r="C36" s="22"/>
      <c r="D36" s="31"/>
      <c r="E36" s="31"/>
      <c r="F36" s="22"/>
    </row>
    <row r="37" spans="1:6" x14ac:dyDescent="0.3">
      <c r="A37" s="51"/>
      <c r="B37" s="22"/>
      <c r="C37" s="22"/>
      <c r="D37" s="31"/>
      <c r="E37" s="31"/>
      <c r="F37" s="22"/>
    </row>
    <row r="38" spans="1:6" x14ac:dyDescent="0.3">
      <c r="A38" s="51"/>
      <c r="B38" s="22"/>
      <c r="C38" s="22"/>
      <c r="D38" s="31"/>
      <c r="E38" s="31"/>
      <c r="F38" s="22"/>
    </row>
    <row r="39" spans="1:6" x14ac:dyDescent="0.3">
      <c r="A39" s="51"/>
      <c r="B39" s="22"/>
      <c r="C39" s="22"/>
      <c r="D39" s="31"/>
      <c r="E39" s="31"/>
      <c r="F39" s="22"/>
    </row>
    <row r="40" spans="1:6" x14ac:dyDescent="0.3">
      <c r="A40" s="51"/>
      <c r="B40" s="22"/>
      <c r="C40" s="22"/>
      <c r="D40" s="31"/>
      <c r="E40" s="31"/>
      <c r="F40" s="22"/>
    </row>
    <row r="41" spans="1:6" x14ac:dyDescent="0.3">
      <c r="A41" s="51"/>
      <c r="B41" s="22"/>
      <c r="C41" s="22"/>
      <c r="D41" s="31"/>
      <c r="E41" s="31"/>
      <c r="F41" s="22"/>
    </row>
    <row r="42" spans="1:6" x14ac:dyDescent="0.3">
      <c r="A42" s="51"/>
      <c r="B42" s="22"/>
      <c r="C42" s="22"/>
      <c r="D42" s="31"/>
      <c r="E42" s="31"/>
      <c r="F42" s="22"/>
    </row>
    <row r="43" spans="1:6" x14ac:dyDescent="0.3">
      <c r="A43" s="51"/>
      <c r="B43" s="22"/>
      <c r="C43" s="22"/>
      <c r="D43" s="31"/>
      <c r="E43" s="31"/>
      <c r="F43" s="22"/>
    </row>
    <row r="44" spans="1:6" x14ac:dyDescent="0.3">
      <c r="A44" s="51"/>
      <c r="B44" s="22"/>
      <c r="C44" s="22"/>
      <c r="D44" s="31"/>
      <c r="E44" s="31"/>
      <c r="F44" s="22"/>
    </row>
    <row r="45" spans="1:6" x14ac:dyDescent="0.3">
      <c r="A45" s="51"/>
      <c r="B45" s="22"/>
      <c r="C45" s="22"/>
      <c r="D45" s="31"/>
      <c r="E45" s="31"/>
      <c r="F45" s="22"/>
    </row>
    <row r="46" spans="1:6" x14ac:dyDescent="0.3">
      <c r="A46" s="51"/>
      <c r="B46" s="22"/>
      <c r="C46" s="22"/>
      <c r="D46" s="31"/>
      <c r="E46" s="31"/>
      <c r="F46" s="22"/>
    </row>
    <row r="47" spans="1:6" x14ac:dyDescent="0.3">
      <c r="A47" s="51"/>
      <c r="B47" s="22"/>
      <c r="C47" s="22"/>
      <c r="D47" s="31"/>
      <c r="E47" s="31"/>
      <c r="F47" s="22"/>
    </row>
    <row r="48" spans="1:6" x14ac:dyDescent="0.3">
      <c r="A48" s="51"/>
      <c r="B48" s="22"/>
      <c r="C48" s="22"/>
      <c r="D48" s="31"/>
      <c r="E48" s="31"/>
      <c r="F48" s="22"/>
    </row>
    <row r="49" spans="1:6" x14ac:dyDescent="0.3">
      <c r="A49" s="51"/>
      <c r="B49" s="22"/>
      <c r="C49" s="22"/>
      <c r="D49" s="31"/>
      <c r="E49" s="31"/>
      <c r="F49" s="22"/>
    </row>
    <row r="50" spans="1:6" x14ac:dyDescent="0.3">
      <c r="A50" s="51"/>
      <c r="B50" s="22"/>
      <c r="C50" s="22"/>
      <c r="D50" s="31"/>
      <c r="E50" s="31"/>
      <c r="F50" s="22"/>
    </row>
    <row r="51" spans="1:6" x14ac:dyDescent="0.3">
      <c r="A51" s="51"/>
      <c r="B51" s="22"/>
      <c r="C51" s="22"/>
      <c r="D51" s="31"/>
      <c r="E51" s="31"/>
      <c r="F51" s="22"/>
    </row>
    <row r="52" spans="1:6" x14ac:dyDescent="0.3">
      <c r="A52" s="51"/>
      <c r="B52" s="22"/>
      <c r="C52" s="22"/>
      <c r="D52" s="31"/>
      <c r="E52" s="31"/>
      <c r="F52" s="22"/>
    </row>
    <row r="53" spans="1:6" x14ac:dyDescent="0.3">
      <c r="A53" s="51"/>
      <c r="B53" s="22"/>
      <c r="C53" s="22"/>
      <c r="D53" s="31"/>
      <c r="E53" s="31"/>
      <c r="F53" s="22"/>
    </row>
    <row r="54" spans="1:6" x14ac:dyDescent="0.3">
      <c r="A54" s="51"/>
      <c r="B54" s="22"/>
      <c r="C54" s="22"/>
      <c r="D54" s="31"/>
      <c r="E54" s="31"/>
      <c r="F54" s="22"/>
    </row>
    <row r="55" spans="1:6" x14ac:dyDescent="0.3">
      <c r="A55" s="51"/>
      <c r="B55" s="22"/>
      <c r="C55" s="22"/>
      <c r="D55" s="31"/>
      <c r="E55" s="31"/>
      <c r="F55" s="22"/>
    </row>
    <row r="56" spans="1:6" x14ac:dyDescent="0.3">
      <c r="A56" s="51"/>
      <c r="B56" s="22"/>
      <c r="C56" s="22"/>
      <c r="D56" s="31"/>
      <c r="E56" s="31"/>
      <c r="F56" s="22"/>
    </row>
    <row r="57" spans="1:6" x14ac:dyDescent="0.3">
      <c r="A57" s="51"/>
      <c r="B57" s="22"/>
      <c r="C57" s="22"/>
      <c r="D57" s="31"/>
      <c r="E57" s="31"/>
      <c r="F57" s="22"/>
    </row>
    <row r="58" spans="1:6" x14ac:dyDescent="0.3">
      <c r="A58" s="51"/>
      <c r="B58" s="22"/>
      <c r="C58" s="22"/>
      <c r="D58" s="31"/>
      <c r="E58" s="31"/>
      <c r="F58" s="22"/>
    </row>
    <row r="59" spans="1:6" x14ac:dyDescent="0.3">
      <c r="A59" s="51"/>
      <c r="B59" s="22"/>
      <c r="C59" s="22"/>
      <c r="D59" s="31"/>
      <c r="E59" s="31"/>
      <c r="F59" s="22"/>
    </row>
    <row r="60" spans="1:6" x14ac:dyDescent="0.3">
      <c r="A60" s="51"/>
      <c r="B60" s="22"/>
      <c r="C60" s="22"/>
      <c r="D60" s="31"/>
      <c r="E60" s="31"/>
      <c r="F60" s="22"/>
    </row>
    <row r="61" spans="1:6" x14ac:dyDescent="0.3">
      <c r="A61" s="51"/>
      <c r="B61" s="22"/>
      <c r="C61" s="22"/>
      <c r="D61" s="31"/>
      <c r="E61" s="31"/>
      <c r="F61" s="22"/>
    </row>
    <row r="62" spans="1:6" x14ac:dyDescent="0.3">
      <c r="A62" s="51"/>
      <c r="B62" s="22"/>
      <c r="C62" s="22"/>
      <c r="D62" s="31"/>
      <c r="E62" s="31"/>
      <c r="F62" s="22"/>
    </row>
    <row r="63" spans="1:6" x14ac:dyDescent="0.3">
      <c r="A63" s="51"/>
      <c r="B63" s="22"/>
      <c r="C63" s="22"/>
      <c r="D63" s="31"/>
      <c r="E63" s="31"/>
      <c r="F63" s="22"/>
    </row>
    <row r="64" spans="1:6" x14ac:dyDescent="0.3">
      <c r="A64" s="51"/>
      <c r="B64" s="22"/>
      <c r="C64" s="22"/>
      <c r="D64" s="31"/>
      <c r="E64" s="31"/>
      <c r="F64" s="22"/>
    </row>
    <row r="65" spans="1:6" x14ac:dyDescent="0.3">
      <c r="A65" s="51"/>
      <c r="B65" s="22"/>
      <c r="C65" s="22"/>
      <c r="D65" s="31"/>
      <c r="E65" s="31"/>
      <c r="F65" s="22"/>
    </row>
    <row r="66" spans="1:6" x14ac:dyDescent="0.3">
      <c r="A66" s="51"/>
      <c r="B66" s="22"/>
      <c r="C66" s="22"/>
      <c r="D66" s="31"/>
      <c r="E66" s="31"/>
      <c r="F66" s="22"/>
    </row>
    <row r="67" spans="1:6" x14ac:dyDescent="0.3">
      <c r="A67" s="51"/>
      <c r="B67" s="22"/>
      <c r="C67" s="22"/>
      <c r="D67" s="31"/>
      <c r="E67" s="31"/>
      <c r="F67" s="22"/>
    </row>
    <row r="68" spans="1:6" x14ac:dyDescent="0.3">
      <c r="A68" s="51"/>
      <c r="B68" s="22"/>
      <c r="C68" s="22"/>
      <c r="D68" s="31"/>
      <c r="E68" s="31"/>
      <c r="F68" s="22"/>
    </row>
    <row r="69" spans="1:6" x14ac:dyDescent="0.3">
      <c r="A69" s="51"/>
      <c r="B69" s="22"/>
      <c r="C69" s="22"/>
      <c r="D69" s="31"/>
      <c r="E69" s="31"/>
      <c r="F69" s="22"/>
    </row>
    <row r="70" spans="1:6" x14ac:dyDescent="0.3">
      <c r="A70" s="51"/>
      <c r="B70" s="22"/>
      <c r="C70" s="22"/>
      <c r="D70" s="31"/>
      <c r="E70" s="31"/>
      <c r="F70" s="22"/>
    </row>
    <row r="71" spans="1:6" x14ac:dyDescent="0.3">
      <c r="A71" s="51"/>
      <c r="B71" s="22"/>
      <c r="C71" s="22"/>
      <c r="D71" s="31"/>
      <c r="E71" s="31"/>
      <c r="F71" s="22"/>
    </row>
    <row r="72" spans="1:6" x14ac:dyDescent="0.3">
      <c r="A72" s="51"/>
      <c r="B72" s="22"/>
      <c r="C72" s="22"/>
      <c r="D72" s="31"/>
      <c r="E72" s="31"/>
      <c r="F72" s="22"/>
    </row>
    <row r="73" spans="1:6" x14ac:dyDescent="0.3">
      <c r="A73" s="51"/>
      <c r="B73" s="22"/>
      <c r="C73" s="22"/>
      <c r="D73" s="31"/>
      <c r="E73" s="31"/>
      <c r="F73" s="22"/>
    </row>
    <row r="74" spans="1:6" x14ac:dyDescent="0.3">
      <c r="A74" s="51"/>
      <c r="B74" s="22"/>
      <c r="C74" s="22"/>
      <c r="D74" s="31"/>
      <c r="E74" s="31"/>
      <c r="F74" s="22"/>
    </row>
    <row r="75" spans="1:6" x14ac:dyDescent="0.3">
      <c r="A75" s="51"/>
      <c r="B75" s="22"/>
      <c r="C75" s="22"/>
      <c r="D75" s="31"/>
      <c r="E75" s="31"/>
      <c r="F75" s="22"/>
    </row>
    <row r="76" spans="1:6" x14ac:dyDescent="0.3">
      <c r="A76" s="51"/>
      <c r="B76" s="22"/>
      <c r="C76" s="22"/>
      <c r="D76" s="31"/>
      <c r="E76" s="31"/>
      <c r="F76" s="22"/>
    </row>
    <row r="77" spans="1:6" x14ac:dyDescent="0.3">
      <c r="A77" s="51"/>
      <c r="B77" s="22"/>
      <c r="C77" s="22"/>
      <c r="D77" s="31"/>
      <c r="E77" s="31"/>
      <c r="F77" s="22"/>
    </row>
    <row r="78" spans="1:6" x14ac:dyDescent="0.3">
      <c r="A78" s="51"/>
      <c r="B78" s="22"/>
      <c r="C78" s="22"/>
      <c r="D78" s="31"/>
      <c r="E78" s="31"/>
      <c r="F78" s="22"/>
    </row>
    <row r="79" spans="1:6" x14ac:dyDescent="0.3">
      <c r="A79" s="51"/>
      <c r="B79" s="22"/>
      <c r="C79" s="22"/>
      <c r="D79" s="31"/>
      <c r="E79" s="31"/>
      <c r="F79" s="22"/>
    </row>
    <row r="80" spans="1:6" x14ac:dyDescent="0.3">
      <c r="A80" s="51"/>
      <c r="B80" s="22"/>
      <c r="C80" s="22"/>
      <c r="D80" s="31"/>
      <c r="E80" s="31"/>
      <c r="F80" s="22"/>
    </row>
    <row r="81" spans="1:6" x14ac:dyDescent="0.3">
      <c r="A81" s="51"/>
      <c r="B81" s="22"/>
      <c r="C81" s="22"/>
      <c r="D81" s="31"/>
      <c r="E81" s="31"/>
      <c r="F81" s="22"/>
    </row>
    <row r="82" spans="1:6" x14ac:dyDescent="0.3">
      <c r="A82" s="51"/>
      <c r="B82" s="22"/>
      <c r="C82" s="22"/>
      <c r="D82" s="31"/>
      <c r="E82" s="31"/>
      <c r="F82" s="22"/>
    </row>
    <row r="83" spans="1:6" x14ac:dyDescent="0.3">
      <c r="A83" s="51"/>
      <c r="B83" s="22"/>
      <c r="C83" s="22"/>
      <c r="D83" s="31"/>
      <c r="E83" s="31"/>
      <c r="F83" s="22"/>
    </row>
    <row r="84" spans="1:6" x14ac:dyDescent="0.3">
      <c r="A84" s="51"/>
      <c r="B84" s="22"/>
      <c r="C84" s="22"/>
      <c r="D84" s="31"/>
      <c r="E84" s="31"/>
      <c r="F84" s="22"/>
    </row>
    <row r="85" spans="1:6" x14ac:dyDescent="0.3">
      <c r="A85" s="51"/>
      <c r="B85" s="22"/>
      <c r="C85" s="22"/>
      <c r="D85" s="31"/>
      <c r="E85" s="31"/>
      <c r="F85" s="22"/>
    </row>
    <row r="86" spans="1:6" x14ac:dyDescent="0.3">
      <c r="A86" s="51"/>
      <c r="B86" s="22"/>
      <c r="C86" s="22"/>
      <c r="D86" s="31"/>
      <c r="E86" s="31"/>
      <c r="F86" s="22"/>
    </row>
    <row r="87" spans="1:6" x14ac:dyDescent="0.3">
      <c r="A87" s="51"/>
      <c r="B87" s="22"/>
      <c r="C87" s="22"/>
      <c r="D87" s="31"/>
      <c r="E87" s="31"/>
      <c r="F87" s="22"/>
    </row>
    <row r="88" spans="1:6" x14ac:dyDescent="0.3">
      <c r="A88" s="51"/>
      <c r="B88" s="22"/>
      <c r="C88" s="22"/>
      <c r="D88" s="31"/>
      <c r="E88" s="31"/>
      <c r="F88" s="22"/>
    </row>
    <row r="89" spans="1:6" x14ac:dyDescent="0.3">
      <c r="A89" s="51"/>
      <c r="B89" s="22"/>
      <c r="C89" s="22"/>
      <c r="D89" s="31"/>
      <c r="E89" s="31"/>
      <c r="F89" s="22"/>
    </row>
    <row r="90" spans="1:6" x14ac:dyDescent="0.3">
      <c r="A90" s="51"/>
      <c r="B90" s="22"/>
      <c r="C90" s="22"/>
      <c r="D90" s="31"/>
      <c r="E90" s="31"/>
      <c r="F90" s="22"/>
    </row>
    <row r="91" spans="1:6" x14ac:dyDescent="0.3">
      <c r="A91" s="51"/>
      <c r="B91" s="22"/>
      <c r="C91" s="22"/>
      <c r="D91" s="31"/>
      <c r="E91" s="31"/>
      <c r="F91" s="22"/>
    </row>
    <row r="92" spans="1:6" x14ac:dyDescent="0.3">
      <c r="A92" s="51"/>
      <c r="B92" s="22"/>
      <c r="C92" s="22"/>
      <c r="D92" s="31"/>
      <c r="E92" s="31"/>
      <c r="F92" s="22"/>
    </row>
    <row r="93" spans="1:6" x14ac:dyDescent="0.3">
      <c r="A93" s="51"/>
      <c r="B93" s="22"/>
      <c r="C93" s="22"/>
      <c r="D93" s="31"/>
      <c r="E93" s="31"/>
      <c r="F93" s="22"/>
    </row>
    <row r="94" spans="1:6" x14ac:dyDescent="0.3">
      <c r="A94" s="51"/>
      <c r="B94" s="22"/>
      <c r="C94" s="22"/>
      <c r="D94" s="31"/>
      <c r="E94" s="31"/>
      <c r="F94" s="22"/>
    </row>
    <row r="95" spans="1:6" x14ac:dyDescent="0.3">
      <c r="A95" s="51"/>
      <c r="B95" s="22"/>
      <c r="C95" s="22"/>
      <c r="D95" s="31"/>
      <c r="E95" s="31"/>
      <c r="F95" s="22"/>
    </row>
    <row r="96" spans="1:6" x14ac:dyDescent="0.3">
      <c r="A96" s="51"/>
      <c r="B96" s="22"/>
      <c r="C96" s="22"/>
      <c r="D96" s="31"/>
      <c r="E96" s="31"/>
      <c r="F96" s="22"/>
    </row>
    <row r="97" spans="1:6" x14ac:dyDescent="0.3">
      <c r="A97" s="51"/>
      <c r="B97" s="22"/>
      <c r="C97" s="22"/>
      <c r="D97" s="31"/>
      <c r="E97" s="31"/>
      <c r="F97" s="22"/>
    </row>
    <row r="98" spans="1:6" x14ac:dyDescent="0.3">
      <c r="A98" s="51"/>
      <c r="B98" s="22"/>
      <c r="C98" s="22"/>
      <c r="D98" s="31"/>
      <c r="E98" s="31"/>
      <c r="F98" s="22"/>
    </row>
    <row r="99" spans="1:6" x14ac:dyDescent="0.3">
      <c r="A99" s="51"/>
      <c r="B99" s="22"/>
      <c r="C99" s="22"/>
      <c r="D99" s="31"/>
      <c r="E99" s="31"/>
      <c r="F99" s="22"/>
    </row>
    <row r="100" spans="1:6" x14ac:dyDescent="0.3">
      <c r="A100" s="51"/>
      <c r="B100" s="22"/>
      <c r="C100" s="22"/>
      <c r="D100" s="31"/>
      <c r="E100" s="31"/>
      <c r="F100" s="22"/>
    </row>
    <row r="101" spans="1:6" x14ac:dyDescent="0.3">
      <c r="A101" s="51"/>
      <c r="B101" s="22"/>
      <c r="C101" s="22"/>
      <c r="D101" s="31"/>
      <c r="E101" s="31"/>
      <c r="F101" s="22"/>
    </row>
    <row r="102" spans="1:6" x14ac:dyDescent="0.3">
      <c r="A102" s="51"/>
      <c r="B102" s="22"/>
      <c r="C102" s="22"/>
      <c r="D102" s="31"/>
      <c r="E102" s="31"/>
      <c r="F102" s="22"/>
    </row>
    <row r="103" spans="1:6" x14ac:dyDescent="0.3">
      <c r="A103" s="51"/>
      <c r="B103" s="22"/>
      <c r="C103" s="22"/>
      <c r="D103" s="31"/>
      <c r="E103" s="31"/>
      <c r="F103" s="22"/>
    </row>
    <row r="104" spans="1:6" x14ac:dyDescent="0.3">
      <c r="A104" s="51"/>
      <c r="B104" s="22"/>
      <c r="C104" s="22"/>
      <c r="D104" s="31"/>
      <c r="E104" s="31"/>
      <c r="F104" s="22"/>
    </row>
    <row r="105" spans="1:6" x14ac:dyDescent="0.3">
      <c r="A105" s="51"/>
      <c r="B105" s="22"/>
      <c r="C105" s="22"/>
      <c r="D105" s="31"/>
      <c r="E105" s="31"/>
      <c r="F105" s="22"/>
    </row>
    <row r="106" spans="1:6" x14ac:dyDescent="0.3">
      <c r="A106" s="51"/>
      <c r="B106" s="22"/>
      <c r="C106" s="22"/>
      <c r="D106" s="31"/>
      <c r="E106" s="31"/>
      <c r="F106" s="22"/>
    </row>
    <row r="107" spans="1:6" x14ac:dyDescent="0.3">
      <c r="A107" s="51"/>
      <c r="B107" s="22"/>
      <c r="C107" s="22"/>
      <c r="D107" s="31"/>
      <c r="E107" s="31"/>
      <c r="F107" s="22"/>
    </row>
    <row r="108" spans="1:6" x14ac:dyDescent="0.3">
      <c r="A108" s="51"/>
      <c r="B108" s="22"/>
      <c r="C108" s="22"/>
      <c r="D108" s="31"/>
      <c r="E108" s="31"/>
      <c r="F108" s="22"/>
    </row>
    <row r="109" spans="1:6" x14ac:dyDescent="0.3">
      <c r="A109" s="51"/>
      <c r="B109" s="22"/>
      <c r="C109" s="22"/>
      <c r="D109" s="31"/>
      <c r="E109" s="31"/>
      <c r="F109" s="22"/>
    </row>
    <row r="110" spans="1:6" x14ac:dyDescent="0.3">
      <c r="A110" s="51"/>
      <c r="B110" s="22"/>
      <c r="C110" s="22"/>
      <c r="D110" s="31"/>
      <c r="E110" s="31"/>
      <c r="F110" s="22"/>
    </row>
    <row r="111" spans="1:6" x14ac:dyDescent="0.3">
      <c r="A111" s="51"/>
      <c r="B111" s="22"/>
      <c r="C111" s="22"/>
      <c r="D111" s="31"/>
      <c r="E111" s="31"/>
      <c r="F111" s="22"/>
    </row>
    <row r="112" spans="1:6" x14ac:dyDescent="0.3">
      <c r="A112" s="51"/>
      <c r="B112" s="22"/>
      <c r="C112" s="22"/>
      <c r="D112" s="31"/>
      <c r="E112" s="31"/>
      <c r="F112" s="22"/>
    </row>
    <row r="113" spans="1:6" x14ac:dyDescent="0.3">
      <c r="A113" s="51"/>
      <c r="B113" s="22"/>
      <c r="C113" s="22"/>
      <c r="D113" s="31"/>
      <c r="E113" s="31"/>
      <c r="F113" s="22"/>
    </row>
    <row r="114" spans="1:6" x14ac:dyDescent="0.3">
      <c r="A114" s="51"/>
      <c r="B114" s="22"/>
      <c r="C114" s="22"/>
      <c r="D114" s="31"/>
      <c r="E114" s="31"/>
      <c r="F114" s="22"/>
    </row>
    <row r="115" spans="1:6" x14ac:dyDescent="0.3">
      <c r="A115" s="51"/>
      <c r="B115" s="22"/>
      <c r="C115" s="22"/>
      <c r="D115" s="31"/>
      <c r="E115" s="31"/>
      <c r="F115" s="22"/>
    </row>
    <row r="116" spans="1:6" x14ac:dyDescent="0.3">
      <c r="A116" s="51"/>
      <c r="B116" s="22"/>
      <c r="C116" s="22"/>
      <c r="D116" s="31"/>
      <c r="E116" s="31"/>
      <c r="F116" s="22"/>
    </row>
    <row r="117" spans="1:6" x14ac:dyDescent="0.3">
      <c r="A117" s="51"/>
      <c r="B117" s="22"/>
      <c r="C117" s="22"/>
      <c r="D117" s="31"/>
      <c r="E117" s="31"/>
      <c r="F117" s="22"/>
    </row>
    <row r="118" spans="1:6" x14ac:dyDescent="0.3">
      <c r="A118" s="51"/>
      <c r="B118" s="22"/>
      <c r="C118" s="22"/>
      <c r="D118" s="31"/>
      <c r="E118" s="31"/>
      <c r="F118" s="22"/>
    </row>
    <row r="119" spans="1:6" x14ac:dyDescent="0.3">
      <c r="A119" s="51"/>
      <c r="B119" s="22"/>
      <c r="C119" s="22"/>
      <c r="D119" s="31"/>
      <c r="E119" s="31"/>
      <c r="F119" s="22"/>
    </row>
    <row r="120" spans="1:6" x14ac:dyDescent="0.3">
      <c r="A120" s="51"/>
      <c r="B120" s="22"/>
      <c r="C120" s="22"/>
      <c r="D120" s="31"/>
      <c r="E120" s="31"/>
      <c r="F120" s="22"/>
    </row>
    <row r="121" spans="1:6" x14ac:dyDescent="0.3">
      <c r="A121" s="51"/>
      <c r="B121" s="22"/>
      <c r="C121" s="22"/>
      <c r="D121" s="31"/>
      <c r="E121" s="31"/>
      <c r="F121" s="22"/>
    </row>
    <row r="122" spans="1:6" x14ac:dyDescent="0.3">
      <c r="A122" s="51"/>
      <c r="B122" s="22"/>
      <c r="C122" s="22"/>
      <c r="D122" s="31"/>
      <c r="E122" s="31"/>
      <c r="F122" s="22"/>
    </row>
    <row r="123" spans="1:6" x14ac:dyDescent="0.3">
      <c r="A123" s="51"/>
      <c r="B123" s="22"/>
      <c r="C123" s="22"/>
      <c r="D123" s="31"/>
      <c r="E123" s="31"/>
      <c r="F123" s="22"/>
    </row>
    <row r="124" spans="1:6" x14ac:dyDescent="0.3">
      <c r="A124" s="51"/>
      <c r="B124" s="22"/>
      <c r="C124" s="22"/>
      <c r="D124" s="31"/>
      <c r="E124" s="31"/>
      <c r="F124" s="22"/>
    </row>
    <row r="125" spans="1:6" x14ac:dyDescent="0.3">
      <c r="A125" s="51"/>
      <c r="B125" s="22"/>
      <c r="C125" s="22"/>
      <c r="D125" s="31"/>
      <c r="E125" s="31"/>
      <c r="F125" s="22"/>
    </row>
    <row r="126" spans="1:6" x14ac:dyDescent="0.3">
      <c r="A126" s="51"/>
      <c r="B126" s="22"/>
      <c r="C126" s="22"/>
      <c r="D126" s="31"/>
      <c r="E126" s="31"/>
      <c r="F126" s="22"/>
    </row>
    <row r="127" spans="1:6" x14ac:dyDescent="0.3">
      <c r="A127" s="51"/>
      <c r="B127" s="22"/>
      <c r="C127" s="22"/>
      <c r="D127" s="31"/>
      <c r="E127" s="31"/>
      <c r="F127" s="22"/>
    </row>
    <row r="128" spans="1:6" x14ac:dyDescent="0.3">
      <c r="A128" s="51"/>
      <c r="B128" s="22"/>
      <c r="C128" s="22"/>
      <c r="D128" s="31"/>
      <c r="E128" s="31"/>
      <c r="F128" s="22"/>
    </row>
    <row r="129" spans="1:6" x14ac:dyDescent="0.3">
      <c r="A129" s="51"/>
      <c r="B129" s="22"/>
      <c r="C129" s="22"/>
      <c r="D129" s="31"/>
      <c r="E129" s="31"/>
      <c r="F129" s="22"/>
    </row>
    <row r="130" spans="1:6" x14ac:dyDescent="0.3">
      <c r="A130" s="51"/>
      <c r="B130" s="22"/>
      <c r="C130" s="22"/>
      <c r="D130" s="31"/>
      <c r="E130" s="31"/>
      <c r="F130" s="22"/>
    </row>
    <row r="131" spans="1:6" x14ac:dyDescent="0.3">
      <c r="A131" s="51"/>
      <c r="B131" s="22"/>
      <c r="C131" s="22"/>
      <c r="D131" s="31"/>
      <c r="E131" s="31"/>
      <c r="F131" s="22"/>
    </row>
    <row r="132" spans="1:6" x14ac:dyDescent="0.3">
      <c r="A132" s="51"/>
      <c r="B132" s="22"/>
      <c r="C132" s="22"/>
      <c r="D132" s="31"/>
      <c r="E132" s="31"/>
      <c r="F132" s="22"/>
    </row>
    <row r="133" spans="1:6" x14ac:dyDescent="0.3">
      <c r="A133" s="51"/>
      <c r="B133" s="22"/>
      <c r="C133" s="22"/>
      <c r="D133" s="31"/>
      <c r="E133" s="31"/>
      <c r="F133" s="22"/>
    </row>
    <row r="134" spans="1:6" x14ac:dyDescent="0.3">
      <c r="A134" s="51"/>
      <c r="B134" s="22"/>
      <c r="C134" s="22"/>
      <c r="D134" s="31"/>
      <c r="E134" s="31"/>
      <c r="F134" s="22"/>
    </row>
    <row r="135" spans="1:6" x14ac:dyDescent="0.3">
      <c r="A135" s="51"/>
      <c r="B135" s="22"/>
      <c r="C135" s="22"/>
      <c r="D135" s="31"/>
      <c r="E135" s="31"/>
      <c r="F135" s="22"/>
    </row>
    <row r="136" spans="1:6" x14ac:dyDescent="0.3">
      <c r="A136" s="51"/>
      <c r="B136" s="22"/>
      <c r="C136" s="22"/>
      <c r="D136" s="31"/>
      <c r="E136" s="31"/>
      <c r="F136" s="22"/>
    </row>
    <row r="137" spans="1:6" x14ac:dyDescent="0.3">
      <c r="A137" s="51"/>
      <c r="B137" s="22"/>
      <c r="C137" s="22"/>
      <c r="D137" s="31"/>
      <c r="E137" s="31"/>
      <c r="F137" s="22"/>
    </row>
    <row r="138" spans="1:6" x14ac:dyDescent="0.3">
      <c r="A138" s="51"/>
      <c r="B138" s="22"/>
      <c r="C138" s="22"/>
      <c r="D138" s="31"/>
      <c r="E138" s="31"/>
      <c r="F138" s="22"/>
    </row>
    <row r="139" spans="1:6" x14ac:dyDescent="0.3">
      <c r="A139" s="51"/>
      <c r="B139" s="22"/>
      <c r="C139" s="22"/>
      <c r="D139" s="31"/>
      <c r="E139" s="31"/>
      <c r="F139" s="22"/>
    </row>
    <row r="140" spans="1:6" x14ac:dyDescent="0.3">
      <c r="A140" s="51"/>
      <c r="B140" s="22"/>
      <c r="C140" s="22"/>
      <c r="D140" s="31"/>
      <c r="E140" s="31"/>
      <c r="F140" s="22"/>
    </row>
    <row r="141" spans="1:6" x14ac:dyDescent="0.3">
      <c r="A141" s="51"/>
      <c r="B141" s="22"/>
      <c r="C141" s="22"/>
      <c r="D141" s="31"/>
      <c r="E141" s="31"/>
      <c r="F141" s="22"/>
    </row>
    <row r="142" spans="1:6" x14ac:dyDescent="0.3">
      <c r="A142" s="51"/>
      <c r="B142" s="22"/>
      <c r="C142" s="22"/>
      <c r="D142" s="31"/>
      <c r="E142" s="31"/>
      <c r="F142" s="22"/>
    </row>
    <row r="143" spans="1:6" x14ac:dyDescent="0.3">
      <c r="A143" s="51"/>
      <c r="B143" s="22"/>
      <c r="C143" s="22"/>
      <c r="D143" s="31"/>
      <c r="E143" s="31"/>
      <c r="F143" s="22"/>
    </row>
    <row r="144" spans="1:6" x14ac:dyDescent="0.3">
      <c r="A144" s="51"/>
      <c r="B144" s="22"/>
      <c r="C144" s="22"/>
      <c r="D144" s="31"/>
      <c r="E144" s="31"/>
      <c r="F144" s="22"/>
    </row>
    <row r="145" spans="1:6" x14ac:dyDescent="0.3">
      <c r="A145" s="51"/>
      <c r="B145" s="22"/>
      <c r="C145" s="22"/>
      <c r="D145" s="31"/>
      <c r="E145" s="31"/>
      <c r="F145" s="22"/>
    </row>
    <row r="146" spans="1:6" x14ac:dyDescent="0.3">
      <c r="A146" s="51"/>
      <c r="B146" s="22"/>
      <c r="C146" s="22"/>
      <c r="D146" s="31"/>
      <c r="E146" s="31"/>
      <c r="F146" s="22"/>
    </row>
    <row r="147" spans="1:6" x14ac:dyDescent="0.3">
      <c r="A147" s="51"/>
      <c r="B147" s="22"/>
      <c r="C147" s="22"/>
      <c r="D147" s="31"/>
      <c r="E147" s="31"/>
      <c r="F147" s="22"/>
    </row>
    <row r="148" spans="1:6" x14ac:dyDescent="0.3">
      <c r="A148" s="51"/>
      <c r="B148" s="22"/>
      <c r="C148" s="22"/>
      <c r="D148" s="31"/>
      <c r="E148" s="31"/>
      <c r="F148" s="22"/>
    </row>
    <row r="149" spans="1:6" x14ac:dyDescent="0.3">
      <c r="A149" s="51"/>
      <c r="B149" s="22"/>
      <c r="C149" s="22"/>
      <c r="D149" s="31"/>
      <c r="E149" s="31"/>
      <c r="F149" s="22"/>
    </row>
    <row r="150" spans="1:6" x14ac:dyDescent="0.3">
      <c r="A150" s="51"/>
      <c r="B150" s="22"/>
      <c r="C150" s="22"/>
      <c r="D150" s="31"/>
      <c r="E150" s="31"/>
      <c r="F150" s="22"/>
    </row>
    <row r="151" spans="1:6" x14ac:dyDescent="0.3">
      <c r="A151" s="51"/>
      <c r="B151" s="22"/>
      <c r="C151" s="22"/>
      <c r="D151" s="31"/>
      <c r="E151" s="31"/>
      <c r="F151" s="22"/>
    </row>
    <row r="152" spans="1:6" x14ac:dyDescent="0.3">
      <c r="A152" s="51"/>
      <c r="B152" s="22"/>
      <c r="C152" s="22"/>
      <c r="D152" s="31"/>
      <c r="E152" s="31"/>
      <c r="F152" s="22"/>
    </row>
    <row r="153" spans="1:6" x14ac:dyDescent="0.3">
      <c r="A153" s="51"/>
      <c r="B153" s="22"/>
      <c r="C153" s="22"/>
      <c r="D153" s="31"/>
      <c r="E153" s="31"/>
      <c r="F153" s="22"/>
    </row>
    <row r="154" spans="1:6" x14ac:dyDescent="0.3">
      <c r="A154" s="51"/>
      <c r="B154" s="22"/>
      <c r="C154" s="22"/>
      <c r="D154" s="31"/>
      <c r="E154" s="31"/>
      <c r="F154" s="22"/>
    </row>
    <row r="155" spans="1:6" x14ac:dyDescent="0.3">
      <c r="A155" s="51"/>
      <c r="B155" s="22"/>
      <c r="C155" s="22"/>
      <c r="D155" s="31"/>
      <c r="E155" s="31"/>
      <c r="F155" s="22"/>
    </row>
    <row r="156" spans="1:6" x14ac:dyDescent="0.3">
      <c r="A156" s="51"/>
      <c r="B156" s="22"/>
      <c r="C156" s="22"/>
      <c r="D156" s="31"/>
      <c r="E156" s="31"/>
      <c r="F156" s="22"/>
    </row>
    <row r="157" spans="1:6" x14ac:dyDescent="0.3">
      <c r="A157" s="51"/>
      <c r="B157" s="22"/>
      <c r="C157" s="22"/>
      <c r="D157" s="31"/>
      <c r="E157" s="31"/>
      <c r="F157" s="22"/>
    </row>
    <row r="158" spans="1:6" x14ac:dyDescent="0.3">
      <c r="A158" s="51"/>
      <c r="B158" s="22"/>
      <c r="C158" s="22"/>
      <c r="D158" s="31"/>
      <c r="E158" s="31"/>
      <c r="F158" s="22"/>
    </row>
    <row r="159" spans="1:6" x14ac:dyDescent="0.3">
      <c r="A159" s="51"/>
      <c r="B159" s="22"/>
      <c r="C159" s="22"/>
      <c r="D159" s="31"/>
      <c r="E159" s="31"/>
      <c r="F159" s="22"/>
    </row>
    <row r="160" spans="1:6" x14ac:dyDescent="0.3">
      <c r="A160" s="51"/>
      <c r="B160" s="22"/>
      <c r="C160" s="22"/>
      <c r="D160" s="31"/>
      <c r="E160" s="31"/>
      <c r="F160" s="22"/>
    </row>
    <row r="161" spans="1:6" x14ac:dyDescent="0.3">
      <c r="A161" s="51"/>
      <c r="B161" s="22"/>
      <c r="C161" s="22"/>
      <c r="D161" s="31"/>
      <c r="E161" s="31"/>
      <c r="F161" s="22"/>
    </row>
    <row r="162" spans="1:6" x14ac:dyDescent="0.3">
      <c r="A162" s="51"/>
      <c r="B162" s="22"/>
      <c r="C162" s="22"/>
      <c r="D162" s="31"/>
      <c r="E162" s="31"/>
      <c r="F162" s="22"/>
    </row>
    <row r="163" spans="1:6" x14ac:dyDescent="0.3">
      <c r="A163" s="51"/>
      <c r="B163" s="22"/>
      <c r="C163" s="22"/>
      <c r="D163" s="31"/>
      <c r="E163" s="31"/>
      <c r="F163" s="22"/>
    </row>
    <row r="164" spans="1:6" x14ac:dyDescent="0.3">
      <c r="A164" s="51"/>
      <c r="B164" s="22"/>
      <c r="C164" s="22"/>
      <c r="D164" s="31"/>
      <c r="E164" s="31"/>
      <c r="F164" s="22"/>
    </row>
    <row r="165" spans="1:6" x14ac:dyDescent="0.3">
      <c r="A165" s="51"/>
      <c r="B165" s="22"/>
      <c r="C165" s="22"/>
      <c r="D165" s="31"/>
      <c r="E165" s="31"/>
      <c r="F165" s="22"/>
    </row>
    <row r="166" spans="1:6" x14ac:dyDescent="0.3">
      <c r="A166" s="51"/>
      <c r="B166" s="22"/>
      <c r="C166" s="22"/>
      <c r="D166" s="31"/>
      <c r="E166" s="31"/>
      <c r="F166" s="22"/>
    </row>
    <row r="167" spans="1:6" x14ac:dyDescent="0.3">
      <c r="A167" s="51"/>
      <c r="B167" s="22"/>
      <c r="C167" s="22"/>
      <c r="D167" s="31"/>
      <c r="E167" s="31"/>
      <c r="F167" s="22"/>
    </row>
    <row r="168" spans="1:6" x14ac:dyDescent="0.3">
      <c r="A168" s="51"/>
      <c r="B168" s="22"/>
      <c r="C168" s="22"/>
      <c r="D168" s="31"/>
      <c r="E168" s="31"/>
      <c r="F168" s="22"/>
    </row>
    <row r="169" spans="1:6" x14ac:dyDescent="0.3">
      <c r="A169" s="51"/>
      <c r="B169" s="22"/>
      <c r="C169" s="22"/>
      <c r="D169" s="31"/>
      <c r="E169" s="31"/>
      <c r="F169" s="22"/>
    </row>
    <row r="170" spans="1:6" x14ac:dyDescent="0.3">
      <c r="A170" s="51"/>
      <c r="B170" s="22"/>
      <c r="C170" s="22"/>
      <c r="D170" s="31"/>
      <c r="E170" s="31"/>
      <c r="F170" s="22"/>
    </row>
    <row r="171" spans="1:6" x14ac:dyDescent="0.3">
      <c r="A171" s="51"/>
      <c r="B171" s="22"/>
      <c r="C171" s="22"/>
      <c r="D171" s="31"/>
      <c r="E171" s="31"/>
      <c r="F171" s="22"/>
    </row>
    <row r="172" spans="1:6" x14ac:dyDescent="0.3">
      <c r="A172" s="51"/>
      <c r="B172" s="22"/>
      <c r="C172" s="22"/>
      <c r="D172" s="31"/>
      <c r="E172" s="31"/>
      <c r="F172" s="22"/>
    </row>
    <row r="173" spans="1:6" x14ac:dyDescent="0.3">
      <c r="A173" s="51"/>
      <c r="B173" s="22"/>
      <c r="C173" s="22"/>
      <c r="D173" s="31"/>
      <c r="E173" s="31"/>
      <c r="F173" s="22"/>
    </row>
    <row r="174" spans="1:6" x14ac:dyDescent="0.3">
      <c r="A174" s="51"/>
      <c r="B174" s="22"/>
      <c r="C174" s="22"/>
      <c r="D174" s="31"/>
      <c r="E174" s="31"/>
      <c r="F174" s="22"/>
    </row>
    <row r="175" spans="1:6" x14ac:dyDescent="0.3">
      <c r="A175" s="51"/>
      <c r="B175" s="22"/>
      <c r="C175" s="22"/>
      <c r="D175" s="31"/>
      <c r="E175" s="31"/>
      <c r="F175" s="22"/>
    </row>
    <row r="176" spans="1:6" x14ac:dyDescent="0.3">
      <c r="A176" s="51"/>
      <c r="B176" s="22"/>
      <c r="C176" s="22"/>
      <c r="D176" s="31"/>
      <c r="E176" s="31"/>
      <c r="F176" s="22"/>
    </row>
    <row r="177" spans="1:6" x14ac:dyDescent="0.3">
      <c r="A177" s="51"/>
      <c r="B177" s="22"/>
      <c r="C177" s="22"/>
      <c r="D177" s="31"/>
      <c r="E177" s="31"/>
      <c r="F177" s="22"/>
    </row>
    <row r="178" spans="1:6" x14ac:dyDescent="0.3">
      <c r="A178" s="51"/>
      <c r="B178" s="22"/>
      <c r="C178" s="22"/>
      <c r="D178" s="31"/>
      <c r="E178" s="31"/>
      <c r="F178" s="22"/>
    </row>
    <row r="179" spans="1:6" x14ac:dyDescent="0.3">
      <c r="A179" s="51"/>
      <c r="B179" s="22"/>
      <c r="C179" s="22"/>
      <c r="D179" s="31"/>
      <c r="E179" s="31"/>
      <c r="F179" s="22"/>
    </row>
    <row r="180" spans="1:6" x14ac:dyDescent="0.3">
      <c r="A180" s="51"/>
      <c r="B180" s="22"/>
      <c r="C180" s="22"/>
      <c r="D180" s="31"/>
      <c r="E180" s="31"/>
      <c r="F180" s="22"/>
    </row>
    <row r="181" spans="1:6" x14ac:dyDescent="0.3">
      <c r="A181" s="51"/>
      <c r="B181" s="22"/>
      <c r="C181" s="22"/>
      <c r="D181" s="31"/>
      <c r="E181" s="31"/>
      <c r="F181" s="22"/>
    </row>
    <row r="182" spans="1:6" x14ac:dyDescent="0.3">
      <c r="A182" s="51"/>
      <c r="B182" s="22"/>
      <c r="C182" s="22"/>
      <c r="D182" s="31"/>
      <c r="E182" s="31"/>
      <c r="F182" s="22"/>
    </row>
    <row r="183" spans="1:6" x14ac:dyDescent="0.3">
      <c r="A183" s="51"/>
      <c r="B183" s="22"/>
      <c r="C183" s="22"/>
      <c r="D183" s="31"/>
      <c r="E183" s="31"/>
      <c r="F183" s="22"/>
    </row>
    <row r="184" spans="1:6" x14ac:dyDescent="0.3">
      <c r="A184" s="51"/>
      <c r="B184" s="22"/>
      <c r="C184" s="22"/>
      <c r="D184" s="31"/>
      <c r="E184" s="31"/>
      <c r="F184" s="22"/>
    </row>
    <row r="185" spans="1:6" x14ac:dyDescent="0.3">
      <c r="A185" s="51"/>
      <c r="B185" s="22"/>
      <c r="C185" s="22"/>
      <c r="D185" s="31"/>
      <c r="E185" s="31"/>
      <c r="F185" s="22"/>
    </row>
    <row r="186" spans="1:6" x14ac:dyDescent="0.3">
      <c r="A186" s="51"/>
      <c r="B186" s="22"/>
      <c r="C186" s="22"/>
      <c r="D186" s="31"/>
      <c r="E186" s="31"/>
      <c r="F186" s="22"/>
    </row>
    <row r="187" spans="1:6" x14ac:dyDescent="0.3">
      <c r="A187" s="51"/>
      <c r="B187" s="22"/>
      <c r="C187" s="22"/>
      <c r="D187" s="31"/>
      <c r="E187" s="31"/>
      <c r="F187" s="22"/>
    </row>
    <row r="188" spans="1:6" x14ac:dyDescent="0.3">
      <c r="A188" s="51"/>
      <c r="B188" s="22"/>
      <c r="C188" s="22"/>
      <c r="D188" s="31"/>
      <c r="E188" s="31"/>
      <c r="F188" s="22"/>
    </row>
    <row r="189" spans="1:6" x14ac:dyDescent="0.3">
      <c r="A189" s="51"/>
      <c r="B189" s="22"/>
      <c r="C189" s="22"/>
      <c r="D189" s="31"/>
      <c r="E189" s="31"/>
      <c r="F189" s="22"/>
    </row>
    <row r="190" spans="1:6" x14ac:dyDescent="0.3">
      <c r="A190" s="51"/>
      <c r="B190" s="22"/>
      <c r="C190" s="22"/>
      <c r="D190" s="31"/>
      <c r="E190" s="31"/>
      <c r="F190" s="22"/>
    </row>
    <row r="191" spans="1:6" x14ac:dyDescent="0.3">
      <c r="A191" s="51"/>
      <c r="B191" s="22"/>
      <c r="C191" s="22"/>
      <c r="D191" s="31"/>
      <c r="E191" s="31"/>
      <c r="F191" s="22"/>
    </row>
    <row r="192" spans="1:6" x14ac:dyDescent="0.3">
      <c r="A192" s="51"/>
      <c r="B192" s="22"/>
      <c r="C192" s="22"/>
      <c r="D192" s="31"/>
      <c r="E192" s="31"/>
      <c r="F192" s="22"/>
    </row>
    <row r="193" spans="1:6" x14ac:dyDescent="0.3">
      <c r="A193" s="51"/>
      <c r="B193" s="22"/>
      <c r="C193" s="22"/>
      <c r="D193" s="31"/>
      <c r="E193" s="31"/>
      <c r="F193" s="22"/>
    </row>
    <row r="194" spans="1:6" x14ac:dyDescent="0.3">
      <c r="A194" s="51"/>
      <c r="B194" s="22"/>
      <c r="C194" s="22"/>
      <c r="D194" s="31"/>
      <c r="E194" s="31"/>
      <c r="F194" s="22"/>
    </row>
    <row r="195" spans="1:6" x14ac:dyDescent="0.3">
      <c r="A195" s="51"/>
      <c r="B195" s="22"/>
      <c r="C195" s="22"/>
      <c r="D195" s="31"/>
      <c r="E195" s="31"/>
      <c r="F195" s="22"/>
    </row>
    <row r="196" spans="1:6" x14ac:dyDescent="0.3">
      <c r="A196" s="51"/>
      <c r="B196" s="22"/>
      <c r="C196" s="22"/>
      <c r="D196" s="31"/>
      <c r="E196" s="31"/>
      <c r="F196" s="22"/>
    </row>
    <row r="197" spans="1:6" x14ac:dyDescent="0.3">
      <c r="A197" s="51"/>
      <c r="B197" s="22"/>
      <c r="C197" s="22"/>
      <c r="D197" s="31"/>
      <c r="E197" s="31"/>
      <c r="F197" s="22"/>
    </row>
    <row r="198" spans="1:6" x14ac:dyDescent="0.3">
      <c r="A198" s="51"/>
      <c r="B198" s="22"/>
      <c r="C198" s="22"/>
      <c r="D198" s="31"/>
      <c r="E198" s="31"/>
      <c r="F198" s="22"/>
    </row>
    <row r="199" spans="1:6" x14ac:dyDescent="0.3">
      <c r="A199" s="51"/>
      <c r="B199" s="22"/>
      <c r="C199" s="22"/>
      <c r="D199" s="31"/>
      <c r="E199" s="31"/>
      <c r="F199" s="22"/>
    </row>
    <row r="200" spans="1:6" x14ac:dyDescent="0.3">
      <c r="A200" s="51"/>
      <c r="B200" s="22"/>
      <c r="C200" s="22"/>
      <c r="D200" s="31"/>
      <c r="E200" s="31"/>
      <c r="F200" s="22"/>
    </row>
    <row r="201" spans="1:6" x14ac:dyDescent="0.3">
      <c r="A201" s="51"/>
      <c r="B201" s="22"/>
      <c r="C201" s="22"/>
      <c r="D201" s="31"/>
      <c r="E201" s="31"/>
      <c r="F201" s="22"/>
    </row>
    <row r="202" spans="1:6" x14ac:dyDescent="0.3">
      <c r="A202" s="51"/>
      <c r="B202" s="22"/>
      <c r="C202" s="22"/>
      <c r="D202" s="31"/>
      <c r="E202" s="31"/>
      <c r="F202" s="22"/>
    </row>
    <row r="203" spans="1:6" x14ac:dyDescent="0.3">
      <c r="A203" s="51"/>
      <c r="B203" s="22"/>
      <c r="C203" s="22"/>
      <c r="D203" s="31"/>
      <c r="E203" s="31"/>
      <c r="F203" s="22"/>
    </row>
    <row r="204" spans="1:6" x14ac:dyDescent="0.3">
      <c r="A204" s="51"/>
      <c r="B204" s="22"/>
      <c r="C204" s="22"/>
      <c r="D204" s="31"/>
      <c r="E204" s="31"/>
      <c r="F204" s="22"/>
    </row>
    <row r="205" spans="1:6" x14ac:dyDescent="0.3">
      <c r="A205" s="51"/>
      <c r="B205" s="22"/>
      <c r="C205" s="22"/>
      <c r="D205" s="31"/>
      <c r="E205" s="31"/>
      <c r="F205" s="22"/>
    </row>
    <row r="206" spans="1:6" x14ac:dyDescent="0.3">
      <c r="A206" s="51"/>
      <c r="B206" s="22"/>
      <c r="C206" s="22"/>
      <c r="D206" s="31"/>
      <c r="E206" s="31"/>
      <c r="F206" s="22"/>
    </row>
    <row r="207" spans="1:6" x14ac:dyDescent="0.3">
      <c r="A207" s="51"/>
      <c r="B207" s="22"/>
      <c r="C207" s="22"/>
      <c r="D207" s="31"/>
      <c r="E207" s="31"/>
      <c r="F207" s="22"/>
    </row>
    <row r="208" spans="1:6" x14ac:dyDescent="0.3">
      <c r="A208" s="51"/>
      <c r="B208" s="22"/>
      <c r="C208" s="22"/>
      <c r="D208" s="31"/>
      <c r="E208" s="31"/>
      <c r="F208" s="22"/>
    </row>
    <row r="209" spans="1:6" x14ac:dyDescent="0.3">
      <c r="A209" s="51"/>
      <c r="B209" s="22"/>
      <c r="C209" s="22"/>
      <c r="D209" s="31"/>
      <c r="E209" s="31"/>
      <c r="F209" s="22"/>
    </row>
    <row r="210" spans="1:6" x14ac:dyDescent="0.3">
      <c r="A210" s="51"/>
      <c r="B210" s="22"/>
      <c r="C210" s="22"/>
      <c r="D210" s="31"/>
      <c r="E210" s="31"/>
      <c r="F210" s="22"/>
    </row>
    <row r="211" spans="1:6" x14ac:dyDescent="0.3">
      <c r="A211" s="51"/>
      <c r="B211" s="22"/>
      <c r="C211" s="22"/>
      <c r="D211" s="31"/>
      <c r="E211" s="31"/>
      <c r="F211" s="22"/>
    </row>
    <row r="212" spans="1:6" x14ac:dyDescent="0.3">
      <c r="A212" s="51"/>
      <c r="B212" s="22"/>
      <c r="C212" s="22"/>
      <c r="D212" s="31"/>
      <c r="E212" s="31"/>
      <c r="F212" s="22"/>
    </row>
    <row r="213" spans="1:6" x14ac:dyDescent="0.3">
      <c r="A213" s="51"/>
      <c r="B213" s="22"/>
      <c r="C213" s="22"/>
      <c r="D213" s="31"/>
      <c r="E213" s="31"/>
      <c r="F213" s="22"/>
    </row>
    <row r="214" spans="1:6" x14ac:dyDescent="0.3">
      <c r="A214" s="51"/>
      <c r="B214" s="22"/>
      <c r="C214" s="22"/>
      <c r="D214" s="31"/>
      <c r="E214" s="31"/>
      <c r="F214" s="22"/>
    </row>
    <row r="215" spans="1:6" x14ac:dyDescent="0.3">
      <c r="A215" s="51"/>
      <c r="B215" s="22"/>
      <c r="C215" s="22"/>
      <c r="D215" s="31"/>
      <c r="E215" s="31"/>
      <c r="F215" s="22"/>
    </row>
    <row r="216" spans="1:6" x14ac:dyDescent="0.3">
      <c r="A216" s="51"/>
      <c r="B216" s="22"/>
      <c r="C216" s="22"/>
      <c r="D216" s="31"/>
      <c r="E216" s="31"/>
      <c r="F216" s="22"/>
    </row>
    <row r="217" spans="1:6" x14ac:dyDescent="0.3">
      <c r="A217" s="51"/>
      <c r="B217" s="22"/>
      <c r="C217" s="22"/>
      <c r="D217" s="31"/>
      <c r="E217" s="31"/>
      <c r="F217" s="22"/>
    </row>
    <row r="218" spans="1:6" x14ac:dyDescent="0.3">
      <c r="A218" s="51"/>
      <c r="B218" s="22"/>
      <c r="C218" s="22"/>
      <c r="D218" s="31"/>
      <c r="E218" s="31"/>
      <c r="F218" s="22"/>
    </row>
    <row r="219" spans="1:6" x14ac:dyDescent="0.3">
      <c r="A219" s="51"/>
      <c r="B219" s="22"/>
      <c r="C219" s="22"/>
      <c r="D219" s="31"/>
      <c r="E219" s="31"/>
      <c r="F219" s="22"/>
    </row>
    <row r="220" spans="1:6" x14ac:dyDescent="0.3">
      <c r="A220" s="51"/>
      <c r="B220" s="22"/>
      <c r="C220" s="22"/>
      <c r="D220" s="31"/>
      <c r="E220" s="31"/>
      <c r="F220" s="22"/>
    </row>
    <row r="221" spans="1:6" x14ac:dyDescent="0.3">
      <c r="A221" s="51"/>
      <c r="B221" s="22"/>
      <c r="C221" s="22"/>
      <c r="D221" s="31"/>
      <c r="E221" s="31"/>
      <c r="F221" s="22"/>
    </row>
    <row r="222" spans="1:6" x14ac:dyDescent="0.3">
      <c r="A222" s="51"/>
      <c r="B222" s="22"/>
      <c r="C222" s="22"/>
      <c r="D222" s="31"/>
      <c r="E222" s="31"/>
      <c r="F222" s="22"/>
    </row>
    <row r="223" spans="1:6" x14ac:dyDescent="0.3">
      <c r="A223" s="51"/>
      <c r="B223" s="22"/>
      <c r="C223" s="22"/>
      <c r="D223" s="31"/>
      <c r="E223" s="31"/>
      <c r="F223" s="22"/>
    </row>
    <row r="224" spans="1:6" x14ac:dyDescent="0.3">
      <c r="A224" s="51"/>
      <c r="B224" s="22"/>
      <c r="C224" s="22"/>
      <c r="D224" s="31"/>
      <c r="E224" s="31"/>
      <c r="F224" s="22"/>
    </row>
    <row r="225" spans="1:6" x14ac:dyDescent="0.3">
      <c r="A225" s="51"/>
      <c r="B225" s="22"/>
      <c r="C225" s="22"/>
      <c r="D225" s="31"/>
      <c r="E225" s="31"/>
      <c r="F225" s="22"/>
    </row>
    <row r="226" spans="1:6" x14ac:dyDescent="0.3">
      <c r="A226" s="51"/>
      <c r="B226" s="22"/>
      <c r="C226" s="22"/>
      <c r="D226" s="31"/>
      <c r="E226" s="31"/>
      <c r="F226" s="22"/>
    </row>
    <row r="227" spans="1:6" x14ac:dyDescent="0.3">
      <c r="A227" s="51"/>
      <c r="B227" s="22"/>
      <c r="C227" s="22"/>
      <c r="D227" s="31"/>
      <c r="E227" s="31"/>
      <c r="F227" s="22"/>
    </row>
    <row r="228" spans="1:6" x14ac:dyDescent="0.3">
      <c r="A228" s="51"/>
      <c r="B228" s="22"/>
      <c r="C228" s="22"/>
      <c r="D228" s="31"/>
      <c r="E228" s="31"/>
      <c r="F228" s="22"/>
    </row>
    <row r="229" spans="1:6" x14ac:dyDescent="0.3">
      <c r="A229" s="51"/>
      <c r="B229" s="22"/>
      <c r="C229" s="22"/>
      <c r="D229" s="31"/>
      <c r="E229" s="31"/>
      <c r="F229" s="22"/>
    </row>
    <row r="230" spans="1:6" x14ac:dyDescent="0.3">
      <c r="A230" s="51"/>
      <c r="B230" s="22"/>
      <c r="C230" s="22"/>
      <c r="D230" s="31"/>
      <c r="E230" s="31"/>
      <c r="F230" s="22"/>
    </row>
    <row r="231" spans="1:6" x14ac:dyDescent="0.3">
      <c r="A231" s="51"/>
      <c r="B231" s="22"/>
      <c r="C231" s="22"/>
      <c r="D231" s="31"/>
      <c r="E231" s="31"/>
      <c r="F231" s="22"/>
    </row>
    <row r="232" spans="1:6" x14ac:dyDescent="0.3">
      <c r="A232" s="51"/>
      <c r="B232" s="22"/>
      <c r="C232" s="22"/>
      <c r="D232" s="31"/>
      <c r="E232" s="31"/>
      <c r="F232" s="22"/>
    </row>
    <row r="233" spans="1:6" x14ac:dyDescent="0.3">
      <c r="A233" s="51"/>
      <c r="B233" s="22"/>
      <c r="C233" s="22"/>
      <c r="D233" s="31"/>
      <c r="E233" s="31"/>
      <c r="F233" s="22"/>
    </row>
    <row r="234" spans="1:6" x14ac:dyDescent="0.3">
      <c r="A234" s="51"/>
      <c r="B234" s="22"/>
      <c r="C234" s="22"/>
      <c r="D234" s="31"/>
      <c r="E234" s="31"/>
      <c r="F234" s="22"/>
    </row>
    <row r="235" spans="1:6" x14ac:dyDescent="0.3">
      <c r="A235" s="51"/>
      <c r="B235" s="22"/>
      <c r="C235" s="22"/>
      <c r="D235" s="31"/>
      <c r="E235" s="31"/>
      <c r="F235" s="22"/>
    </row>
    <row r="236" spans="1:6" x14ac:dyDescent="0.3">
      <c r="A236" s="51"/>
      <c r="B236" s="22"/>
      <c r="C236" s="22"/>
      <c r="D236" s="31"/>
      <c r="E236" s="31"/>
      <c r="F236" s="22"/>
    </row>
    <row r="237" spans="1:6" x14ac:dyDescent="0.3">
      <c r="A237" s="51"/>
      <c r="B237" s="22"/>
      <c r="C237" s="22"/>
      <c r="D237" s="31"/>
      <c r="E237" s="31"/>
      <c r="F237" s="22"/>
    </row>
    <row r="238" spans="1:6" x14ac:dyDescent="0.3">
      <c r="A238" s="51"/>
      <c r="B238" s="22"/>
      <c r="C238" s="22"/>
      <c r="D238" s="31"/>
      <c r="E238" s="31"/>
      <c r="F238" s="22"/>
    </row>
    <row r="239" spans="1:6" x14ac:dyDescent="0.3">
      <c r="A239" s="51"/>
      <c r="B239" s="22"/>
      <c r="C239" s="22"/>
      <c r="D239" s="31"/>
      <c r="E239" s="31"/>
      <c r="F239" s="22"/>
    </row>
    <row r="240" spans="1:6" x14ac:dyDescent="0.3">
      <c r="A240" s="51"/>
      <c r="B240" s="22"/>
      <c r="C240" s="22"/>
      <c r="D240" s="31"/>
      <c r="E240" s="31"/>
      <c r="F240" s="22"/>
    </row>
    <row r="241" spans="1:6" x14ac:dyDescent="0.3">
      <c r="A241" s="51"/>
      <c r="B241" s="22"/>
      <c r="C241" s="22"/>
      <c r="D241" s="31"/>
      <c r="E241" s="31"/>
      <c r="F241" s="22"/>
    </row>
    <row r="242" spans="1:6" x14ac:dyDescent="0.3">
      <c r="A242" s="51"/>
      <c r="B242" s="22"/>
      <c r="C242" s="22"/>
      <c r="D242" s="31"/>
      <c r="E242" s="31"/>
      <c r="F242" s="22"/>
    </row>
    <row r="243" spans="1:6" x14ac:dyDescent="0.3">
      <c r="A243" s="51"/>
      <c r="B243" s="22"/>
      <c r="C243" s="22"/>
      <c r="D243" s="31"/>
      <c r="E243" s="31"/>
      <c r="F243" s="22"/>
    </row>
    <row r="244" spans="1:6" x14ac:dyDescent="0.3">
      <c r="A244" s="51"/>
      <c r="B244" s="22"/>
      <c r="C244" s="22"/>
      <c r="D244" s="31"/>
      <c r="E244" s="31"/>
      <c r="F244" s="22"/>
    </row>
    <row r="245" spans="1:6" x14ac:dyDescent="0.3">
      <c r="A245" s="51"/>
      <c r="B245" s="22"/>
      <c r="C245" s="22"/>
      <c r="D245" s="31"/>
      <c r="E245" s="31"/>
      <c r="F245" s="22"/>
    </row>
    <row r="246" spans="1:6" x14ac:dyDescent="0.3">
      <c r="A246" s="51"/>
      <c r="B246" s="22"/>
      <c r="C246" s="22"/>
      <c r="D246" s="31"/>
      <c r="E246" s="31"/>
      <c r="F246" s="22"/>
    </row>
    <row r="247" spans="1:6" x14ac:dyDescent="0.3">
      <c r="A247" s="51"/>
      <c r="B247" s="22"/>
      <c r="C247" s="22"/>
      <c r="D247" s="31"/>
      <c r="E247" s="31"/>
      <c r="F247" s="22"/>
    </row>
    <row r="248" spans="1:6" x14ac:dyDescent="0.3">
      <c r="A248" s="51"/>
      <c r="B248" s="22"/>
      <c r="C248" s="22"/>
      <c r="D248" s="31"/>
      <c r="E248" s="31"/>
      <c r="F248" s="22"/>
    </row>
    <row r="249" spans="1:6" x14ac:dyDescent="0.3">
      <c r="A249" s="51"/>
      <c r="B249" s="22"/>
      <c r="C249" s="22"/>
      <c r="D249" s="31"/>
      <c r="E249" s="31"/>
      <c r="F249" s="22"/>
    </row>
    <row r="250" spans="1:6" x14ac:dyDescent="0.3">
      <c r="A250" s="51"/>
      <c r="B250" s="22"/>
      <c r="C250" s="22"/>
      <c r="D250" s="31"/>
      <c r="E250" s="31"/>
      <c r="F250" s="22"/>
    </row>
    <row r="251" spans="1:6" x14ac:dyDescent="0.3">
      <c r="A251" s="51"/>
      <c r="B251" s="22"/>
      <c r="C251" s="22"/>
      <c r="D251" s="31"/>
      <c r="E251" s="31"/>
      <c r="F251" s="22"/>
    </row>
    <row r="252" spans="1:6" x14ac:dyDescent="0.3">
      <c r="A252" s="51"/>
      <c r="B252" s="22"/>
      <c r="C252" s="22"/>
      <c r="D252" s="31"/>
      <c r="E252" s="31"/>
      <c r="F252" s="22"/>
    </row>
    <row r="253" spans="1:6" x14ac:dyDescent="0.3">
      <c r="A253" s="51"/>
      <c r="B253" s="22"/>
      <c r="C253" s="22"/>
      <c r="D253" s="31"/>
      <c r="E253" s="31"/>
      <c r="F253" s="22"/>
    </row>
    <row r="254" spans="1:6" x14ac:dyDescent="0.3">
      <c r="A254" s="51"/>
      <c r="B254" s="22"/>
      <c r="C254" s="22"/>
      <c r="D254" s="31"/>
      <c r="E254" s="31"/>
      <c r="F254" s="22"/>
    </row>
    <row r="255" spans="1:6" x14ac:dyDescent="0.3">
      <c r="A255" s="51"/>
      <c r="B255" s="22"/>
      <c r="C255" s="22"/>
      <c r="D255" s="31"/>
      <c r="E255" s="31"/>
      <c r="F255" s="22"/>
    </row>
    <row r="256" spans="1:6" x14ac:dyDescent="0.3">
      <c r="A256" s="51"/>
      <c r="B256" s="22"/>
      <c r="C256" s="22"/>
      <c r="D256" s="31"/>
      <c r="E256" s="31"/>
      <c r="F256" s="22"/>
    </row>
    <row r="257" spans="1:6" x14ac:dyDescent="0.3">
      <c r="A257" s="51"/>
      <c r="B257" s="22"/>
      <c r="C257" s="22"/>
      <c r="D257" s="31"/>
      <c r="E257" s="31"/>
      <c r="F257" s="22"/>
    </row>
    <row r="258" spans="1:6" x14ac:dyDescent="0.3">
      <c r="A258" s="51"/>
      <c r="B258" s="22"/>
      <c r="C258" s="22"/>
      <c r="D258" s="31"/>
      <c r="E258" s="31"/>
      <c r="F258" s="22"/>
    </row>
    <row r="259" spans="1:6" x14ac:dyDescent="0.3">
      <c r="A259" s="51"/>
      <c r="B259" s="22"/>
      <c r="C259" s="22"/>
      <c r="D259" s="31"/>
      <c r="E259" s="31"/>
      <c r="F259" s="22"/>
    </row>
    <row r="260" spans="1:6" x14ac:dyDescent="0.3">
      <c r="A260" s="51"/>
      <c r="B260" s="22"/>
      <c r="C260" s="22"/>
      <c r="D260" s="31"/>
      <c r="E260" s="31"/>
      <c r="F260" s="22"/>
    </row>
    <row r="261" spans="1:6" x14ac:dyDescent="0.3">
      <c r="A261" s="51"/>
      <c r="B261" s="22"/>
      <c r="C261" s="22"/>
      <c r="D261" s="31"/>
      <c r="E261" s="31"/>
      <c r="F261" s="22"/>
    </row>
    <row r="262" spans="1:6" x14ac:dyDescent="0.3">
      <c r="A262" s="51"/>
      <c r="B262" s="22"/>
      <c r="C262" s="22"/>
      <c r="D262" s="31"/>
      <c r="E262" s="31"/>
      <c r="F262" s="22"/>
    </row>
    <row r="263" spans="1:6" x14ac:dyDescent="0.3">
      <c r="A263" s="51"/>
      <c r="B263" s="22"/>
      <c r="C263" s="22"/>
      <c r="D263" s="31"/>
      <c r="E263" s="31"/>
      <c r="F263" s="22"/>
    </row>
    <row r="264" spans="1:6" x14ac:dyDescent="0.3">
      <c r="A264" s="51"/>
      <c r="B264" s="22"/>
      <c r="C264" s="22"/>
      <c r="D264" s="31"/>
      <c r="E264" s="31"/>
      <c r="F264" s="22"/>
    </row>
    <row r="265" spans="1:6" x14ac:dyDescent="0.3">
      <c r="A265" s="51"/>
      <c r="B265" s="22"/>
      <c r="C265" s="22"/>
      <c r="D265" s="31"/>
      <c r="E265" s="31"/>
      <c r="F265" s="22"/>
    </row>
    <row r="266" spans="1:6" x14ac:dyDescent="0.3">
      <c r="A266" s="51"/>
      <c r="B266" s="22"/>
      <c r="C266" s="22"/>
      <c r="D266" s="31"/>
      <c r="E266" s="31"/>
      <c r="F266" s="22"/>
    </row>
    <row r="267" spans="1:6" x14ac:dyDescent="0.3">
      <c r="A267" s="51"/>
      <c r="B267" s="22"/>
      <c r="C267" s="22"/>
      <c r="D267" s="31"/>
      <c r="E267" s="31"/>
      <c r="F267" s="22"/>
    </row>
    <row r="268" spans="1:6" x14ac:dyDescent="0.3">
      <c r="A268" s="51"/>
      <c r="B268" s="22"/>
      <c r="C268" s="22"/>
      <c r="D268" s="31"/>
      <c r="E268" s="31"/>
      <c r="F268" s="22"/>
    </row>
    <row r="269" spans="1:6" x14ac:dyDescent="0.3">
      <c r="A269" s="51"/>
      <c r="B269" s="22"/>
      <c r="C269" s="22"/>
      <c r="D269" s="31"/>
      <c r="E269" s="31"/>
      <c r="F269" s="22"/>
    </row>
    <row r="270" spans="1:6" x14ac:dyDescent="0.3">
      <c r="A270" s="51"/>
      <c r="B270" s="22"/>
      <c r="C270" s="22"/>
      <c r="D270" s="31"/>
      <c r="E270" s="31"/>
      <c r="F270" s="22"/>
    </row>
    <row r="271" spans="1:6" x14ac:dyDescent="0.3">
      <c r="A271" s="51"/>
      <c r="B271" s="22"/>
      <c r="C271" s="22"/>
      <c r="D271" s="31"/>
      <c r="E271" s="31"/>
      <c r="F271" s="22"/>
    </row>
    <row r="272" spans="1:6" x14ac:dyDescent="0.3">
      <c r="A272" s="51"/>
      <c r="B272" s="22"/>
      <c r="C272" s="22"/>
      <c r="D272" s="31"/>
      <c r="E272" s="31"/>
      <c r="F272" s="22"/>
    </row>
    <row r="273" spans="1:6" x14ac:dyDescent="0.3">
      <c r="A273" s="51"/>
      <c r="B273" s="22"/>
      <c r="C273" s="22"/>
      <c r="D273" s="31"/>
      <c r="E273" s="31"/>
      <c r="F273" s="22"/>
    </row>
    <row r="274" spans="1:6" x14ac:dyDescent="0.3">
      <c r="A274" s="51"/>
      <c r="B274" s="22"/>
      <c r="C274" s="22"/>
      <c r="D274" s="31"/>
      <c r="E274" s="31"/>
      <c r="F274" s="22"/>
    </row>
    <row r="275" spans="1:6" x14ac:dyDescent="0.3">
      <c r="A275" s="51"/>
      <c r="B275" s="22"/>
      <c r="C275" s="22"/>
      <c r="D275" s="31"/>
      <c r="E275" s="31"/>
      <c r="F275" s="22"/>
    </row>
    <row r="276" spans="1:6" x14ac:dyDescent="0.3">
      <c r="A276" s="51"/>
      <c r="B276" s="22"/>
      <c r="C276" s="22"/>
      <c r="D276" s="31"/>
      <c r="E276" s="31"/>
      <c r="F276" s="22"/>
    </row>
    <row r="277" spans="1:6" x14ac:dyDescent="0.3">
      <c r="A277" s="51"/>
      <c r="B277" s="22"/>
      <c r="C277" s="22"/>
      <c r="D277" s="31"/>
      <c r="E277" s="31"/>
      <c r="F277" s="22"/>
    </row>
    <row r="278" spans="1:6" x14ac:dyDescent="0.3">
      <c r="A278" s="51"/>
      <c r="B278" s="22"/>
      <c r="C278" s="22"/>
      <c r="D278" s="31"/>
      <c r="E278" s="31"/>
      <c r="F278" s="22"/>
    </row>
    <row r="279" spans="1:6" x14ac:dyDescent="0.3">
      <c r="A279" s="51"/>
      <c r="B279" s="22"/>
      <c r="C279" s="22"/>
      <c r="D279" s="31"/>
      <c r="E279" s="31"/>
      <c r="F279" s="22"/>
    </row>
    <row r="280" spans="1:6" x14ac:dyDescent="0.3">
      <c r="A280" s="51"/>
      <c r="B280" s="22"/>
      <c r="C280" s="22"/>
      <c r="D280" s="31"/>
      <c r="E280" s="31"/>
      <c r="F280" s="22"/>
    </row>
    <row r="281" spans="1:6" x14ac:dyDescent="0.3">
      <c r="A281" s="51"/>
      <c r="B281" s="22"/>
      <c r="C281" s="22"/>
      <c r="D281" s="31"/>
      <c r="E281" s="31"/>
      <c r="F281" s="22"/>
    </row>
    <row r="282" spans="1:6" x14ac:dyDescent="0.3">
      <c r="A282" s="51"/>
      <c r="B282" s="22"/>
      <c r="C282" s="22"/>
      <c r="D282" s="31"/>
      <c r="E282" s="31"/>
      <c r="F282" s="22"/>
    </row>
    <row r="283" spans="1:6" x14ac:dyDescent="0.3">
      <c r="A283" s="51"/>
      <c r="B283" s="22"/>
      <c r="C283" s="22"/>
      <c r="D283" s="31"/>
      <c r="E283" s="31"/>
      <c r="F283" s="22"/>
    </row>
    <row r="284" spans="1:6" x14ac:dyDescent="0.3">
      <c r="A284" s="51"/>
      <c r="B284" s="22"/>
      <c r="C284" s="22"/>
      <c r="D284" s="31"/>
      <c r="E284" s="31"/>
      <c r="F284" s="22"/>
    </row>
    <row r="285" spans="1:6" x14ac:dyDescent="0.3">
      <c r="A285" s="51"/>
      <c r="B285" s="22"/>
      <c r="C285" s="22"/>
      <c r="D285" s="31"/>
      <c r="E285" s="31"/>
      <c r="F285" s="22"/>
    </row>
    <row r="286" spans="1:6" x14ac:dyDescent="0.3">
      <c r="A286" s="51"/>
      <c r="B286" s="22"/>
      <c r="C286" s="22"/>
      <c r="D286" s="31"/>
      <c r="E286" s="31"/>
      <c r="F286" s="22"/>
    </row>
    <row r="287" spans="1:6" x14ac:dyDescent="0.3">
      <c r="A287" s="51"/>
      <c r="B287" s="22"/>
      <c r="C287" s="22"/>
      <c r="D287" s="31"/>
      <c r="E287" s="31"/>
      <c r="F287" s="22"/>
    </row>
    <row r="288" spans="1:6" x14ac:dyDescent="0.3">
      <c r="A288" s="51"/>
      <c r="B288" s="22"/>
      <c r="C288" s="22"/>
      <c r="D288" s="31"/>
      <c r="E288" s="31"/>
      <c r="F288" s="22"/>
    </row>
    <row r="289" spans="1:6" x14ac:dyDescent="0.3">
      <c r="A289" s="51"/>
      <c r="B289" s="22"/>
      <c r="C289" s="22"/>
      <c r="D289" s="31"/>
      <c r="E289" s="31"/>
      <c r="F289" s="22"/>
    </row>
    <row r="290" spans="1:6" x14ac:dyDescent="0.3">
      <c r="A290" s="51"/>
      <c r="B290" s="22"/>
      <c r="C290" s="22"/>
      <c r="D290" s="31"/>
      <c r="E290" s="31"/>
      <c r="F290" s="22"/>
    </row>
    <row r="291" spans="1:6" x14ac:dyDescent="0.3">
      <c r="A291" s="51"/>
      <c r="B291" s="22"/>
      <c r="C291" s="22"/>
      <c r="D291" s="31"/>
      <c r="E291" s="31"/>
      <c r="F291" s="22"/>
    </row>
    <row r="292" spans="1:6" x14ac:dyDescent="0.3">
      <c r="A292" s="51"/>
      <c r="B292" s="22"/>
      <c r="C292" s="22"/>
      <c r="D292" s="31"/>
      <c r="E292" s="31"/>
      <c r="F292" s="22"/>
    </row>
    <row r="293" spans="1:6" x14ac:dyDescent="0.3">
      <c r="A293" s="51"/>
      <c r="B293" s="22"/>
      <c r="C293" s="22"/>
      <c r="D293" s="31"/>
      <c r="E293" s="31"/>
      <c r="F293" s="22"/>
    </row>
    <row r="294" spans="1:6" x14ac:dyDescent="0.3">
      <c r="A294" s="51"/>
      <c r="B294" s="22"/>
      <c r="C294" s="22"/>
      <c r="D294" s="31"/>
      <c r="E294" s="31"/>
      <c r="F294" s="22"/>
    </row>
    <row r="295" spans="1:6" x14ac:dyDescent="0.3">
      <c r="A295" s="51"/>
      <c r="B295" s="22"/>
      <c r="C295" s="22"/>
      <c r="D295" s="31"/>
      <c r="E295" s="31"/>
      <c r="F295" s="22"/>
    </row>
    <row r="296" spans="1:6" x14ac:dyDescent="0.3">
      <c r="A296" s="51"/>
      <c r="B296" s="22"/>
      <c r="C296" s="22"/>
      <c r="D296" s="31"/>
      <c r="E296" s="31"/>
      <c r="F296" s="22"/>
    </row>
    <row r="297" spans="1:6" x14ac:dyDescent="0.3">
      <c r="A297" s="51"/>
      <c r="B297" s="22"/>
      <c r="C297" s="22"/>
      <c r="D297" s="31"/>
      <c r="E297" s="31"/>
      <c r="F297" s="22"/>
    </row>
    <row r="298" spans="1:6" x14ac:dyDescent="0.3">
      <c r="A298" s="51"/>
      <c r="B298" s="22"/>
      <c r="C298" s="22"/>
      <c r="D298" s="31"/>
      <c r="E298" s="31"/>
      <c r="F298" s="22"/>
    </row>
    <row r="299" spans="1:6" x14ac:dyDescent="0.3">
      <c r="A299" s="51"/>
      <c r="B299" s="22"/>
      <c r="C299" s="22"/>
      <c r="D299" s="31"/>
      <c r="E299" s="31"/>
      <c r="F299" s="22"/>
    </row>
    <row r="300" spans="1:6" x14ac:dyDescent="0.3">
      <c r="A300" s="51"/>
      <c r="B300" s="22"/>
      <c r="C300" s="22"/>
      <c r="D300" s="31"/>
      <c r="E300" s="31"/>
      <c r="F300" s="22"/>
    </row>
    <row r="301" spans="1:6" x14ac:dyDescent="0.3">
      <c r="A301" s="51"/>
      <c r="B301" s="22"/>
      <c r="C301" s="22"/>
      <c r="D301" s="31"/>
      <c r="E301" s="31"/>
      <c r="F301" s="22"/>
    </row>
    <row r="302" spans="1:6" x14ac:dyDescent="0.3">
      <c r="A302" s="51"/>
      <c r="B302" s="22"/>
      <c r="C302" s="22"/>
      <c r="D302" s="31"/>
      <c r="E302" s="31"/>
      <c r="F302" s="22"/>
    </row>
    <row r="303" spans="1:6" x14ac:dyDescent="0.3">
      <c r="A303" s="51"/>
      <c r="B303" s="22"/>
      <c r="C303" s="22"/>
      <c r="D303" s="31"/>
      <c r="E303" s="31"/>
      <c r="F303" s="22"/>
    </row>
    <row r="304" spans="1:6" x14ac:dyDescent="0.3">
      <c r="A304" s="51"/>
      <c r="B304" s="22"/>
      <c r="C304" s="22"/>
      <c r="D304" s="31"/>
      <c r="E304" s="31"/>
      <c r="F304" s="22"/>
    </row>
    <row r="305" spans="1:6" x14ac:dyDescent="0.3">
      <c r="A305" s="51"/>
      <c r="B305" s="22"/>
      <c r="C305" s="22"/>
      <c r="D305" s="31"/>
      <c r="E305" s="31"/>
      <c r="F305" s="22"/>
    </row>
    <row r="306" spans="1:6" x14ac:dyDescent="0.3">
      <c r="A306" s="51"/>
      <c r="B306" s="22"/>
      <c r="C306" s="22"/>
      <c r="D306" s="31"/>
      <c r="E306" s="31"/>
      <c r="F306" s="22"/>
    </row>
    <row r="307" spans="1:6" x14ac:dyDescent="0.3">
      <c r="A307" s="51"/>
      <c r="B307" s="22"/>
      <c r="C307" s="22"/>
      <c r="D307" s="31"/>
      <c r="E307" s="31"/>
      <c r="F307" s="22"/>
    </row>
    <row r="308" spans="1:6" x14ac:dyDescent="0.3">
      <c r="A308" s="51"/>
      <c r="B308" s="22"/>
      <c r="C308" s="22"/>
      <c r="D308" s="31"/>
      <c r="E308" s="31"/>
      <c r="F308" s="22"/>
    </row>
    <row r="309" spans="1:6" x14ac:dyDescent="0.3">
      <c r="A309" s="51"/>
      <c r="B309" s="22"/>
      <c r="C309" s="22"/>
      <c r="D309" s="31"/>
      <c r="E309" s="31"/>
      <c r="F309" s="22"/>
    </row>
    <row r="310" spans="1:6" x14ac:dyDescent="0.3">
      <c r="A310" s="51"/>
      <c r="B310" s="22"/>
      <c r="C310" s="22"/>
      <c r="D310" s="31"/>
      <c r="E310" s="31"/>
      <c r="F310" s="22"/>
    </row>
    <row r="311" spans="1:6" x14ac:dyDescent="0.3">
      <c r="A311" s="51"/>
      <c r="B311" s="22"/>
      <c r="C311" s="22"/>
      <c r="D311" s="31"/>
      <c r="E311" s="31"/>
      <c r="F311" s="22"/>
    </row>
    <row r="312" spans="1:6" x14ac:dyDescent="0.3">
      <c r="A312" s="51"/>
      <c r="B312" s="22"/>
      <c r="C312" s="22"/>
      <c r="D312" s="31"/>
      <c r="E312" s="31"/>
      <c r="F312" s="22"/>
    </row>
    <row r="313" spans="1:6" x14ac:dyDescent="0.3">
      <c r="A313" s="51"/>
      <c r="B313" s="22"/>
      <c r="C313" s="22"/>
      <c r="D313" s="31"/>
      <c r="E313" s="31"/>
      <c r="F313" s="22"/>
    </row>
    <row r="314" spans="1:6" x14ac:dyDescent="0.3">
      <c r="A314" s="51"/>
      <c r="B314" s="22"/>
      <c r="C314" s="22"/>
      <c r="D314" s="31"/>
      <c r="E314" s="31"/>
      <c r="F314" s="22"/>
    </row>
    <row r="315" spans="1:6" x14ac:dyDescent="0.3">
      <c r="A315" s="51"/>
      <c r="B315" s="22"/>
      <c r="C315" s="22"/>
      <c r="D315" s="31"/>
      <c r="E315" s="31"/>
      <c r="F315" s="22"/>
    </row>
    <row r="316" spans="1:6" x14ac:dyDescent="0.3">
      <c r="A316" s="51"/>
      <c r="B316" s="22"/>
      <c r="C316" s="22"/>
      <c r="D316" s="31"/>
      <c r="E316" s="31"/>
      <c r="F316" s="22"/>
    </row>
    <row r="317" spans="1:6" x14ac:dyDescent="0.3">
      <c r="A317" s="51"/>
      <c r="B317" s="22"/>
      <c r="C317" s="22"/>
      <c r="D317" s="31"/>
      <c r="E317" s="31"/>
      <c r="F317" s="22"/>
    </row>
    <row r="318" spans="1:6" x14ac:dyDescent="0.3">
      <c r="A318" s="51"/>
      <c r="B318" s="22"/>
      <c r="C318" s="22"/>
      <c r="D318" s="31"/>
      <c r="E318" s="31"/>
      <c r="F318" s="22"/>
    </row>
    <row r="319" spans="1:6" x14ac:dyDescent="0.3">
      <c r="A319" s="51"/>
      <c r="B319" s="22"/>
      <c r="C319" s="22"/>
      <c r="D319" s="31"/>
      <c r="E319" s="31"/>
      <c r="F319" s="22"/>
    </row>
    <row r="320" spans="1:6" x14ac:dyDescent="0.3">
      <c r="A320" s="51"/>
      <c r="B320" s="22"/>
      <c r="C320" s="22"/>
      <c r="D320" s="31"/>
      <c r="E320" s="31"/>
      <c r="F320" s="22"/>
    </row>
    <row r="321" spans="1:6" x14ac:dyDescent="0.3">
      <c r="A321" s="51"/>
      <c r="B321" s="22"/>
      <c r="C321" s="22"/>
      <c r="D321" s="31"/>
      <c r="E321" s="31"/>
      <c r="F321" s="22"/>
    </row>
    <row r="322" spans="1:6" x14ac:dyDescent="0.3">
      <c r="A322" s="51"/>
      <c r="B322" s="22"/>
      <c r="C322" s="22"/>
      <c r="D322" s="31"/>
      <c r="E322" s="31"/>
      <c r="F322" s="22"/>
    </row>
    <row r="323" spans="1:6" x14ac:dyDescent="0.3">
      <c r="A323" s="51"/>
      <c r="B323" s="22"/>
      <c r="C323" s="22"/>
      <c r="D323" s="31"/>
      <c r="E323" s="31"/>
      <c r="F323" s="22"/>
    </row>
    <row r="324" spans="1:6" x14ac:dyDescent="0.3">
      <c r="A324" s="51"/>
      <c r="B324" s="22"/>
      <c r="C324" s="22"/>
      <c r="D324" s="31"/>
      <c r="E324" s="31"/>
      <c r="F324" s="22"/>
    </row>
    <row r="325" spans="1:6" x14ac:dyDescent="0.3">
      <c r="A325" s="51"/>
      <c r="B325" s="22"/>
      <c r="C325" s="22"/>
      <c r="D325" s="31"/>
      <c r="E325" s="31"/>
      <c r="F325" s="22"/>
    </row>
    <row r="326" spans="1:6" x14ac:dyDescent="0.3">
      <c r="A326" s="51"/>
      <c r="B326" s="22"/>
      <c r="C326" s="22"/>
      <c r="D326" s="31"/>
      <c r="E326" s="31"/>
      <c r="F326" s="22"/>
    </row>
    <row r="327" spans="1:6" x14ac:dyDescent="0.3">
      <c r="A327" s="51"/>
      <c r="B327" s="22"/>
      <c r="C327" s="22"/>
      <c r="D327" s="31"/>
      <c r="E327" s="31"/>
      <c r="F327" s="22"/>
    </row>
    <row r="328" spans="1:6" x14ac:dyDescent="0.3">
      <c r="A328" s="51"/>
      <c r="B328" s="22"/>
      <c r="C328" s="22"/>
      <c r="D328" s="31"/>
      <c r="E328" s="31"/>
      <c r="F328" s="22"/>
    </row>
    <row r="329" spans="1:6" x14ac:dyDescent="0.3">
      <c r="A329" s="51"/>
      <c r="B329" s="22"/>
      <c r="C329" s="22"/>
      <c r="D329" s="31"/>
      <c r="E329" s="31"/>
      <c r="F329" s="22"/>
    </row>
    <row r="330" spans="1:6" x14ac:dyDescent="0.3">
      <c r="A330" s="51"/>
      <c r="B330" s="22"/>
      <c r="C330" s="22"/>
      <c r="D330" s="31"/>
      <c r="E330" s="31"/>
      <c r="F330" s="22"/>
    </row>
    <row r="331" spans="1:6" x14ac:dyDescent="0.3">
      <c r="A331" s="51"/>
      <c r="B331" s="22"/>
      <c r="C331" s="22"/>
      <c r="D331" s="31"/>
      <c r="E331" s="31"/>
      <c r="F331" s="22"/>
    </row>
    <row r="332" spans="1:6" x14ac:dyDescent="0.3">
      <c r="A332" s="51"/>
      <c r="B332" s="22"/>
      <c r="C332" s="22"/>
      <c r="D332" s="31"/>
      <c r="E332" s="31"/>
      <c r="F332" s="22"/>
    </row>
    <row r="333" spans="1:6" x14ac:dyDescent="0.3">
      <c r="A333" s="51"/>
      <c r="B333" s="22"/>
      <c r="C333" s="22"/>
      <c r="D333" s="31"/>
      <c r="E333" s="31"/>
      <c r="F333" s="22"/>
    </row>
    <row r="334" spans="1:6" x14ac:dyDescent="0.3">
      <c r="A334" s="51"/>
      <c r="B334" s="22"/>
      <c r="C334" s="22"/>
      <c r="D334" s="31"/>
      <c r="E334" s="31"/>
      <c r="F334" s="22"/>
    </row>
    <row r="335" spans="1:6" x14ac:dyDescent="0.3">
      <c r="A335" s="51"/>
      <c r="B335" s="22"/>
      <c r="C335" s="22"/>
      <c r="D335" s="31"/>
      <c r="E335" s="31"/>
      <c r="F335" s="22"/>
    </row>
    <row r="336" spans="1:6" x14ac:dyDescent="0.3">
      <c r="A336" s="51"/>
      <c r="B336" s="22"/>
      <c r="C336" s="22"/>
      <c r="D336" s="31"/>
      <c r="E336" s="31"/>
      <c r="F336" s="22"/>
    </row>
    <row r="337" spans="1:6" x14ac:dyDescent="0.3">
      <c r="A337" s="51"/>
      <c r="B337" s="22"/>
      <c r="C337" s="22"/>
      <c r="D337" s="31"/>
      <c r="E337" s="31"/>
      <c r="F337" s="22"/>
    </row>
    <row r="338" spans="1:6" x14ac:dyDescent="0.3">
      <c r="A338" s="51"/>
      <c r="B338" s="22"/>
      <c r="C338" s="22"/>
      <c r="D338" s="31"/>
      <c r="E338" s="31"/>
      <c r="F338" s="22"/>
    </row>
    <row r="339" spans="1:6" x14ac:dyDescent="0.3">
      <c r="A339" s="51"/>
      <c r="B339" s="22"/>
      <c r="C339" s="22"/>
      <c r="D339" s="31"/>
      <c r="E339" s="31"/>
      <c r="F339" s="22"/>
    </row>
    <row r="340" spans="1:6" x14ac:dyDescent="0.3">
      <c r="A340" s="51"/>
      <c r="B340" s="22"/>
      <c r="C340" s="22"/>
      <c r="D340" s="31"/>
      <c r="E340" s="31"/>
      <c r="F340" s="22"/>
    </row>
    <row r="341" spans="1:6" x14ac:dyDescent="0.3">
      <c r="A341" s="51"/>
      <c r="B341" s="22"/>
      <c r="C341" s="22"/>
      <c r="D341" s="31"/>
      <c r="E341" s="31"/>
      <c r="F341" s="22"/>
    </row>
    <row r="342" spans="1:6" x14ac:dyDescent="0.3">
      <c r="A342" s="51"/>
      <c r="B342" s="22"/>
      <c r="C342" s="22"/>
      <c r="D342" s="31"/>
      <c r="E342" s="31"/>
      <c r="F342" s="22"/>
    </row>
    <row r="343" spans="1:6" x14ac:dyDescent="0.3">
      <c r="A343" s="51"/>
      <c r="B343" s="22"/>
      <c r="C343" s="22"/>
      <c r="D343" s="31"/>
      <c r="E343" s="31"/>
      <c r="F343" s="22"/>
    </row>
    <row r="344" spans="1:6" x14ac:dyDescent="0.3">
      <c r="A344" s="51"/>
      <c r="B344" s="22"/>
      <c r="C344" s="22"/>
      <c r="D344" s="31"/>
      <c r="E344" s="31"/>
      <c r="F344" s="22"/>
    </row>
    <row r="345" spans="1:6" x14ac:dyDescent="0.3">
      <c r="A345" s="51"/>
      <c r="B345" s="22"/>
      <c r="C345" s="22"/>
      <c r="D345" s="31"/>
      <c r="E345" s="31"/>
      <c r="F345" s="22"/>
    </row>
    <row r="346" spans="1:6" x14ac:dyDescent="0.3">
      <c r="A346" s="51"/>
      <c r="B346" s="22"/>
      <c r="C346" s="22"/>
      <c r="D346" s="31"/>
      <c r="E346" s="31"/>
      <c r="F346" s="22"/>
    </row>
    <row r="347" spans="1:6" x14ac:dyDescent="0.3">
      <c r="A347" s="51"/>
      <c r="B347" s="22"/>
      <c r="C347" s="22"/>
      <c r="D347" s="31"/>
      <c r="E347" s="31"/>
      <c r="F347" s="22"/>
    </row>
    <row r="348" spans="1:6" x14ac:dyDescent="0.3">
      <c r="A348" s="51"/>
      <c r="B348" s="22"/>
      <c r="C348" s="22"/>
      <c r="D348" s="31"/>
      <c r="E348" s="31"/>
      <c r="F348" s="22"/>
    </row>
    <row r="349" spans="1:6" x14ac:dyDescent="0.3">
      <c r="A349" s="51"/>
      <c r="B349" s="22"/>
      <c r="C349" s="22"/>
      <c r="D349" s="31"/>
      <c r="E349" s="31"/>
      <c r="F349" s="22"/>
    </row>
    <row r="350" spans="1:6" x14ac:dyDescent="0.3">
      <c r="A350" s="51"/>
      <c r="B350" s="22"/>
      <c r="C350" s="22"/>
      <c r="D350" s="31"/>
      <c r="E350" s="31"/>
      <c r="F350" s="22"/>
    </row>
    <row r="351" spans="1:6" x14ac:dyDescent="0.3">
      <c r="A351" s="51"/>
      <c r="B351" s="22"/>
      <c r="C351" s="22"/>
      <c r="D351" s="31"/>
      <c r="E351" s="31"/>
      <c r="F351" s="22"/>
    </row>
    <row r="352" spans="1:6" x14ac:dyDescent="0.3">
      <c r="A352" s="51"/>
      <c r="B352" s="22"/>
      <c r="C352" s="22"/>
      <c r="D352" s="31"/>
      <c r="E352" s="31"/>
      <c r="F352" s="22"/>
    </row>
    <row r="353" spans="1:6" x14ac:dyDescent="0.3">
      <c r="A353" s="51"/>
      <c r="B353" s="22"/>
      <c r="C353" s="22"/>
      <c r="D353" s="31"/>
      <c r="E353" s="31"/>
      <c r="F353" s="22"/>
    </row>
    <row r="354" spans="1:6" x14ac:dyDescent="0.3">
      <c r="A354" s="51"/>
      <c r="B354" s="22"/>
      <c r="C354" s="22"/>
      <c r="D354" s="31"/>
      <c r="E354" s="31"/>
      <c r="F354" s="22"/>
    </row>
    <row r="355" spans="1:6" x14ac:dyDescent="0.3">
      <c r="A355" s="51"/>
      <c r="B355" s="22"/>
      <c r="C355" s="22"/>
      <c r="D355" s="31"/>
      <c r="E355" s="31"/>
      <c r="F355" s="22"/>
    </row>
    <row r="356" spans="1:6" x14ac:dyDescent="0.3">
      <c r="A356" s="51"/>
      <c r="B356" s="22"/>
      <c r="C356" s="22"/>
      <c r="D356" s="31"/>
      <c r="E356" s="31"/>
      <c r="F356" s="22"/>
    </row>
    <row r="357" spans="1:6" x14ac:dyDescent="0.3">
      <c r="A357" s="51"/>
      <c r="B357" s="22"/>
      <c r="C357" s="22"/>
      <c r="D357" s="31"/>
      <c r="E357" s="31"/>
      <c r="F357" s="22"/>
    </row>
    <row r="358" spans="1:6" x14ac:dyDescent="0.3">
      <c r="A358" s="51"/>
      <c r="B358" s="22"/>
      <c r="C358" s="22"/>
      <c r="D358" s="31"/>
      <c r="E358" s="31"/>
      <c r="F358" s="22"/>
    </row>
    <row r="359" spans="1:6" x14ac:dyDescent="0.3">
      <c r="A359" s="51"/>
      <c r="B359" s="22"/>
      <c r="C359" s="22"/>
      <c r="D359" s="31"/>
      <c r="E359" s="31"/>
      <c r="F359" s="22"/>
    </row>
    <row r="360" spans="1:6" x14ac:dyDescent="0.3">
      <c r="A360" s="51"/>
      <c r="B360" s="22"/>
      <c r="C360" s="22"/>
      <c r="D360" s="31"/>
      <c r="E360" s="31"/>
      <c r="F360" s="22"/>
    </row>
    <row r="361" spans="1:6" x14ac:dyDescent="0.3">
      <c r="A361" s="51"/>
      <c r="B361" s="22"/>
      <c r="C361" s="22"/>
      <c r="D361" s="31"/>
      <c r="E361" s="31"/>
      <c r="F361" s="22"/>
    </row>
    <row r="362" spans="1:6" x14ac:dyDescent="0.3">
      <c r="A362" s="51"/>
      <c r="B362" s="22"/>
      <c r="C362" s="22"/>
      <c r="D362" s="31"/>
      <c r="E362" s="31"/>
      <c r="F362" s="22"/>
    </row>
    <row r="363" spans="1:6" x14ac:dyDescent="0.3">
      <c r="A363" s="51"/>
      <c r="B363" s="22"/>
      <c r="C363" s="22"/>
      <c r="D363" s="31"/>
      <c r="E363" s="31"/>
      <c r="F363" s="22"/>
    </row>
    <row r="364" spans="1:6" x14ac:dyDescent="0.3">
      <c r="A364" s="51"/>
      <c r="B364" s="22"/>
      <c r="C364" s="22"/>
      <c r="D364" s="31"/>
      <c r="E364" s="31"/>
      <c r="F364" s="22"/>
    </row>
    <row r="365" spans="1:6" x14ac:dyDescent="0.3">
      <c r="A365" s="51"/>
      <c r="B365" s="22"/>
      <c r="C365" s="22"/>
      <c r="D365" s="31"/>
      <c r="E365" s="31"/>
      <c r="F365" s="22"/>
    </row>
    <row r="366" spans="1:6" x14ac:dyDescent="0.3">
      <c r="A366" s="51"/>
      <c r="B366" s="22"/>
      <c r="C366" s="22"/>
      <c r="D366" s="31"/>
      <c r="E366" s="31"/>
      <c r="F366" s="22"/>
    </row>
    <row r="367" spans="1:6" x14ac:dyDescent="0.3">
      <c r="A367" s="51"/>
      <c r="B367" s="22"/>
      <c r="C367" s="22"/>
      <c r="D367" s="31"/>
      <c r="E367" s="31"/>
      <c r="F367" s="22"/>
    </row>
    <row r="368" spans="1:6" x14ac:dyDescent="0.3">
      <c r="A368" s="51"/>
      <c r="B368" s="22"/>
      <c r="C368" s="22"/>
      <c r="D368" s="31"/>
      <c r="E368" s="31"/>
      <c r="F368" s="22"/>
    </row>
    <row r="369" spans="1:6" x14ac:dyDescent="0.3">
      <c r="A369" s="51"/>
      <c r="B369" s="22"/>
      <c r="C369" s="22"/>
      <c r="D369" s="31"/>
      <c r="E369" s="31"/>
      <c r="F369" s="22"/>
    </row>
    <row r="370" spans="1:6" x14ac:dyDescent="0.3">
      <c r="A370" s="51"/>
      <c r="B370" s="22"/>
      <c r="C370" s="22"/>
      <c r="D370" s="31"/>
      <c r="E370" s="31"/>
      <c r="F370" s="22"/>
    </row>
    <row r="371" spans="1:6" x14ac:dyDescent="0.3">
      <c r="A371" s="51"/>
      <c r="B371" s="22"/>
      <c r="C371" s="22"/>
      <c r="D371" s="31"/>
      <c r="E371" s="31"/>
      <c r="F371" s="22"/>
    </row>
    <row r="372" spans="1:6" x14ac:dyDescent="0.3">
      <c r="A372" s="51"/>
      <c r="B372" s="22"/>
      <c r="C372" s="22"/>
      <c r="D372" s="31"/>
      <c r="E372" s="31"/>
      <c r="F372" s="22"/>
    </row>
    <row r="373" spans="1:6" x14ac:dyDescent="0.3">
      <c r="A373" s="51"/>
      <c r="B373" s="22"/>
      <c r="C373" s="22"/>
      <c r="D373" s="31"/>
      <c r="E373" s="31"/>
      <c r="F373" s="22"/>
    </row>
    <row r="374" spans="1:6" x14ac:dyDescent="0.3">
      <c r="A374" s="51"/>
      <c r="B374" s="22"/>
      <c r="C374" s="22"/>
      <c r="D374" s="31"/>
      <c r="E374" s="31"/>
      <c r="F374" s="22"/>
    </row>
    <row r="375" spans="1:6" x14ac:dyDescent="0.3">
      <c r="A375" s="51"/>
      <c r="B375" s="22"/>
      <c r="C375" s="22"/>
      <c r="D375" s="31"/>
      <c r="E375" s="31"/>
      <c r="F375" s="22"/>
    </row>
    <row r="376" spans="1:6" x14ac:dyDescent="0.3">
      <c r="A376" s="51"/>
      <c r="B376" s="22"/>
      <c r="C376" s="22"/>
      <c r="D376" s="31"/>
      <c r="E376" s="31"/>
      <c r="F376" s="22"/>
    </row>
    <row r="377" spans="1:6" x14ac:dyDescent="0.3">
      <c r="A377" s="51"/>
      <c r="B377" s="22"/>
      <c r="C377" s="22"/>
      <c r="D377" s="31"/>
      <c r="E377" s="31"/>
      <c r="F377" s="22"/>
    </row>
    <row r="378" spans="1:6" x14ac:dyDescent="0.3">
      <c r="A378" s="51"/>
      <c r="B378" s="22"/>
      <c r="C378" s="22"/>
      <c r="D378" s="31"/>
      <c r="E378" s="31"/>
      <c r="F378" s="22"/>
    </row>
    <row r="379" spans="1:6" x14ac:dyDescent="0.3">
      <c r="A379" s="51"/>
      <c r="B379" s="22"/>
      <c r="C379" s="22"/>
      <c r="D379" s="31"/>
      <c r="E379" s="31"/>
      <c r="F379" s="22"/>
    </row>
    <row r="380" spans="1:6" x14ac:dyDescent="0.3">
      <c r="A380" s="51"/>
      <c r="B380" s="22"/>
      <c r="C380" s="22"/>
      <c r="D380" s="31"/>
      <c r="E380" s="31"/>
      <c r="F380" s="22"/>
    </row>
    <row r="381" spans="1:6" x14ac:dyDescent="0.3">
      <c r="A381" s="51"/>
      <c r="B381" s="22"/>
      <c r="C381" s="22"/>
      <c r="D381" s="31"/>
      <c r="E381" s="31"/>
      <c r="F381" s="22"/>
    </row>
    <row r="382" spans="1:6" x14ac:dyDescent="0.3">
      <c r="A382" s="51"/>
      <c r="B382" s="22"/>
      <c r="C382" s="22"/>
      <c r="D382" s="31"/>
      <c r="E382" s="31"/>
      <c r="F382" s="22"/>
    </row>
    <row r="383" spans="1:6" x14ac:dyDescent="0.3">
      <c r="A383" s="51"/>
      <c r="B383" s="22"/>
      <c r="C383" s="22"/>
      <c r="D383" s="31"/>
      <c r="E383" s="31"/>
      <c r="F383" s="22"/>
    </row>
    <row r="384" spans="1:6" x14ac:dyDescent="0.3">
      <c r="A384" s="51"/>
      <c r="B384" s="22"/>
      <c r="C384" s="22"/>
      <c r="D384" s="31"/>
      <c r="E384" s="31"/>
      <c r="F384" s="22"/>
    </row>
    <row r="385" spans="1:6" x14ac:dyDescent="0.3">
      <c r="A385" s="51"/>
      <c r="B385" s="22"/>
      <c r="C385" s="22"/>
      <c r="D385" s="31"/>
      <c r="E385" s="31"/>
      <c r="F385" s="22"/>
    </row>
    <row r="386" spans="1:6" x14ac:dyDescent="0.3">
      <c r="A386" s="51"/>
      <c r="B386" s="22"/>
      <c r="C386" s="22"/>
      <c r="D386" s="31"/>
      <c r="E386" s="31"/>
      <c r="F386" s="22"/>
    </row>
    <row r="387" spans="1:6" x14ac:dyDescent="0.3">
      <c r="A387" s="51"/>
      <c r="B387" s="22"/>
      <c r="C387" s="22"/>
      <c r="D387" s="31"/>
      <c r="E387" s="31"/>
      <c r="F387" s="22"/>
    </row>
    <row r="388" spans="1:6" x14ac:dyDescent="0.3">
      <c r="A388" s="51"/>
      <c r="B388" s="22"/>
      <c r="C388" s="22"/>
      <c r="D388" s="31"/>
      <c r="E388" s="31"/>
      <c r="F388" s="22"/>
    </row>
    <row r="389" spans="1:6" x14ac:dyDescent="0.3">
      <c r="A389" s="51"/>
      <c r="B389" s="22"/>
      <c r="C389" s="22"/>
      <c r="D389" s="31"/>
      <c r="E389" s="31"/>
      <c r="F389" s="22"/>
    </row>
    <row r="390" spans="1:6" x14ac:dyDescent="0.3">
      <c r="A390" s="51"/>
      <c r="B390" s="22"/>
      <c r="C390" s="22"/>
      <c r="D390" s="31"/>
      <c r="E390" s="31"/>
      <c r="F390" s="22"/>
    </row>
    <row r="391" spans="1:6" x14ac:dyDescent="0.3">
      <c r="A391" s="51"/>
      <c r="B391" s="22"/>
      <c r="C391" s="22"/>
      <c r="D391" s="31"/>
      <c r="E391" s="31"/>
      <c r="F391" s="22"/>
    </row>
    <row r="392" spans="1:6" x14ac:dyDescent="0.3">
      <c r="A392" s="51"/>
      <c r="B392" s="22"/>
      <c r="C392" s="22"/>
      <c r="D392" s="31"/>
      <c r="E392" s="31"/>
      <c r="F392" s="22"/>
    </row>
    <row r="393" spans="1:6" x14ac:dyDescent="0.3">
      <c r="A393" s="51"/>
      <c r="B393" s="22"/>
      <c r="C393" s="22"/>
      <c r="D393" s="31"/>
      <c r="E393" s="31"/>
      <c r="F393" s="22"/>
    </row>
    <row r="394" spans="1:6" x14ac:dyDescent="0.3">
      <c r="A394" s="51"/>
      <c r="B394" s="22"/>
      <c r="C394" s="22"/>
      <c r="D394" s="31"/>
      <c r="E394" s="31"/>
      <c r="F394" s="22"/>
    </row>
    <row r="395" spans="1:6" x14ac:dyDescent="0.3">
      <c r="A395" s="51"/>
      <c r="B395" s="22"/>
      <c r="C395" s="22"/>
      <c r="D395" s="31"/>
      <c r="E395" s="31"/>
      <c r="F395" s="22"/>
    </row>
    <row r="396" spans="1:6" x14ac:dyDescent="0.3">
      <c r="A396" s="51"/>
      <c r="B396" s="22"/>
      <c r="C396" s="22"/>
      <c r="D396" s="31"/>
      <c r="E396" s="31"/>
      <c r="F396" s="22"/>
    </row>
    <row r="397" spans="1:6" x14ac:dyDescent="0.3">
      <c r="A397" s="51"/>
      <c r="B397" s="22"/>
      <c r="C397" s="22"/>
      <c r="D397" s="31"/>
      <c r="E397" s="31"/>
      <c r="F397" s="22"/>
    </row>
    <row r="398" spans="1:6" x14ac:dyDescent="0.3">
      <c r="A398" s="51"/>
      <c r="B398" s="22"/>
      <c r="C398" s="22"/>
      <c r="D398" s="31"/>
      <c r="E398" s="31"/>
      <c r="F398" s="22"/>
    </row>
    <row r="399" spans="1:6" x14ac:dyDescent="0.3">
      <c r="A399" s="51"/>
      <c r="B399" s="22"/>
      <c r="C399" s="22"/>
      <c r="D399" s="31"/>
      <c r="E399" s="31"/>
      <c r="F399" s="22"/>
    </row>
    <row r="400" spans="1:6" x14ac:dyDescent="0.3">
      <c r="A400" s="51"/>
      <c r="B400" s="22"/>
      <c r="C400" s="22"/>
      <c r="D400" s="31"/>
      <c r="E400" s="31"/>
      <c r="F400" s="22"/>
    </row>
    <row r="401" spans="1:6" x14ac:dyDescent="0.3">
      <c r="A401" s="51"/>
      <c r="B401" s="22"/>
      <c r="C401" s="22"/>
      <c r="D401" s="31"/>
      <c r="E401" s="31"/>
      <c r="F401" s="22"/>
    </row>
    <row r="402" spans="1:6" x14ac:dyDescent="0.3">
      <c r="A402" s="51"/>
      <c r="B402" s="22"/>
      <c r="C402" s="22"/>
      <c r="D402" s="31"/>
      <c r="E402" s="31"/>
      <c r="F402" s="22"/>
    </row>
    <row r="403" spans="1:6" x14ac:dyDescent="0.3">
      <c r="A403" s="51"/>
      <c r="B403" s="22"/>
      <c r="C403" s="22"/>
      <c r="D403" s="31"/>
      <c r="E403" s="31"/>
      <c r="F403" s="22"/>
    </row>
    <row r="404" spans="1:6" x14ac:dyDescent="0.3">
      <c r="A404" s="51"/>
      <c r="B404" s="22"/>
      <c r="C404" s="22"/>
      <c r="D404" s="31"/>
      <c r="E404" s="31"/>
      <c r="F404" s="22"/>
    </row>
    <row r="405" spans="1:6" x14ac:dyDescent="0.3">
      <c r="A405" s="51"/>
      <c r="B405" s="22"/>
      <c r="C405" s="22"/>
      <c r="D405" s="31"/>
      <c r="E405" s="31"/>
      <c r="F405" s="22"/>
    </row>
    <row r="406" spans="1:6" x14ac:dyDescent="0.3">
      <c r="A406" s="51"/>
      <c r="B406" s="22"/>
      <c r="C406" s="22"/>
      <c r="D406" s="31"/>
      <c r="E406" s="31"/>
      <c r="F406" s="22"/>
    </row>
    <row r="407" spans="1:6" x14ac:dyDescent="0.3">
      <c r="A407" s="51"/>
      <c r="B407" s="22"/>
      <c r="C407" s="22"/>
      <c r="D407" s="31"/>
      <c r="E407" s="31"/>
      <c r="F407" s="22"/>
    </row>
    <row r="408" spans="1:6" x14ac:dyDescent="0.3">
      <c r="A408" s="51"/>
      <c r="B408" s="22"/>
      <c r="C408" s="22"/>
      <c r="D408" s="31"/>
      <c r="E408" s="31"/>
      <c r="F408" s="22"/>
    </row>
    <row r="409" spans="1:6" x14ac:dyDescent="0.3">
      <c r="A409" s="51"/>
      <c r="B409" s="22"/>
      <c r="C409" s="22"/>
      <c r="D409" s="31"/>
      <c r="E409" s="31"/>
      <c r="F409" s="22"/>
    </row>
    <row r="410" spans="1:6" x14ac:dyDescent="0.3">
      <c r="A410" s="51"/>
      <c r="B410" s="22"/>
      <c r="C410" s="22"/>
      <c r="D410" s="31"/>
      <c r="E410" s="31"/>
      <c r="F410" s="22"/>
    </row>
    <row r="411" spans="1:6" x14ac:dyDescent="0.3">
      <c r="A411" s="51"/>
      <c r="B411" s="22"/>
      <c r="C411" s="22"/>
      <c r="D411" s="31"/>
      <c r="E411" s="31"/>
      <c r="F411" s="22"/>
    </row>
    <row r="412" spans="1:6" x14ac:dyDescent="0.3">
      <c r="A412" s="51"/>
      <c r="B412" s="22"/>
      <c r="C412" s="22"/>
      <c r="D412" s="31"/>
      <c r="E412" s="31"/>
      <c r="F412" s="22"/>
    </row>
    <row r="413" spans="1:6" x14ac:dyDescent="0.3">
      <c r="A413" s="51"/>
      <c r="B413" s="22"/>
      <c r="C413" s="22"/>
      <c r="D413" s="31"/>
      <c r="E413" s="31"/>
      <c r="F413" s="22"/>
    </row>
    <row r="414" spans="1:6" x14ac:dyDescent="0.3">
      <c r="A414" s="51"/>
      <c r="B414" s="22"/>
      <c r="C414" s="22"/>
      <c r="D414" s="31"/>
      <c r="E414" s="31"/>
      <c r="F414" s="22"/>
    </row>
    <row r="415" spans="1:6" x14ac:dyDescent="0.3">
      <c r="A415" s="51"/>
      <c r="B415" s="22"/>
      <c r="C415" s="22"/>
      <c r="D415" s="31"/>
      <c r="E415" s="31"/>
      <c r="F415" s="22"/>
    </row>
    <row r="416" spans="1:6" x14ac:dyDescent="0.3">
      <c r="A416" s="51"/>
      <c r="B416" s="22"/>
      <c r="C416" s="22"/>
      <c r="D416" s="31"/>
      <c r="E416" s="31"/>
      <c r="F416" s="22"/>
    </row>
    <row r="417" spans="1:6" x14ac:dyDescent="0.3">
      <c r="A417" s="51"/>
      <c r="B417" s="22"/>
      <c r="C417" s="22"/>
      <c r="D417" s="31"/>
      <c r="E417" s="31"/>
      <c r="F417" s="22"/>
    </row>
    <row r="418" spans="1:6" x14ac:dyDescent="0.3">
      <c r="A418" s="51"/>
      <c r="B418" s="22"/>
      <c r="C418" s="22"/>
      <c r="D418" s="31"/>
      <c r="E418" s="31"/>
      <c r="F418" s="22"/>
    </row>
    <row r="419" spans="1:6" x14ac:dyDescent="0.3">
      <c r="A419" s="51"/>
      <c r="B419" s="22"/>
      <c r="C419" s="22"/>
      <c r="D419" s="31"/>
      <c r="E419" s="31"/>
      <c r="F419" s="22"/>
    </row>
    <row r="420" spans="1:6" x14ac:dyDescent="0.3">
      <c r="A420" s="51"/>
      <c r="B420" s="22"/>
      <c r="C420" s="22"/>
      <c r="D420" s="31"/>
      <c r="E420" s="31"/>
      <c r="F420" s="22"/>
    </row>
    <row r="421" spans="1:6" x14ac:dyDescent="0.3">
      <c r="A421" s="51"/>
      <c r="B421" s="22"/>
      <c r="C421" s="22"/>
      <c r="D421" s="31"/>
      <c r="E421" s="31"/>
      <c r="F421" s="22"/>
    </row>
    <row r="422" spans="1:6" x14ac:dyDescent="0.3">
      <c r="A422" s="51"/>
      <c r="B422" s="22"/>
      <c r="C422" s="22"/>
      <c r="D422" s="31"/>
      <c r="E422" s="31"/>
      <c r="F422" s="22"/>
    </row>
    <row r="423" spans="1:6" x14ac:dyDescent="0.3">
      <c r="A423" s="51"/>
      <c r="B423" s="22"/>
      <c r="C423" s="22"/>
      <c r="D423" s="31"/>
      <c r="E423" s="31"/>
      <c r="F423" s="22"/>
    </row>
    <row r="424" spans="1:6" x14ac:dyDescent="0.3">
      <c r="A424" s="51"/>
      <c r="B424" s="22"/>
      <c r="C424" s="22"/>
      <c r="D424" s="31"/>
      <c r="E424" s="31"/>
      <c r="F424" s="22"/>
    </row>
    <row r="425" spans="1:6" x14ac:dyDescent="0.3">
      <c r="A425" s="51"/>
      <c r="B425" s="22"/>
      <c r="C425" s="22"/>
      <c r="D425" s="31"/>
      <c r="E425" s="31"/>
      <c r="F425" s="22"/>
    </row>
    <row r="426" spans="1:6" x14ac:dyDescent="0.3">
      <c r="A426" s="51"/>
      <c r="B426" s="22"/>
      <c r="C426" s="22"/>
      <c r="D426" s="31"/>
      <c r="E426" s="31"/>
      <c r="F426" s="22"/>
    </row>
    <row r="427" spans="1:6" x14ac:dyDescent="0.3">
      <c r="A427" s="51"/>
      <c r="B427" s="22"/>
      <c r="C427" s="22"/>
      <c r="D427" s="31"/>
      <c r="E427" s="31"/>
      <c r="F427" s="22"/>
    </row>
    <row r="428" spans="1:6" x14ac:dyDescent="0.3">
      <c r="A428" s="51"/>
      <c r="B428" s="22"/>
      <c r="C428" s="22"/>
      <c r="D428" s="31"/>
      <c r="E428" s="31"/>
      <c r="F428" s="22"/>
    </row>
    <row r="429" spans="1:6" x14ac:dyDescent="0.3">
      <c r="A429" s="51"/>
      <c r="B429" s="22"/>
      <c r="C429" s="22"/>
      <c r="D429" s="31"/>
      <c r="E429" s="31"/>
      <c r="F429" s="22"/>
    </row>
    <row r="430" spans="1:6" x14ac:dyDescent="0.3">
      <c r="A430" s="51"/>
      <c r="B430" s="22"/>
      <c r="C430" s="22"/>
      <c r="D430" s="31"/>
      <c r="E430" s="31"/>
      <c r="F430" s="22"/>
    </row>
    <row r="431" spans="1:6" x14ac:dyDescent="0.3">
      <c r="A431" s="51"/>
      <c r="B431" s="22"/>
      <c r="C431" s="22"/>
      <c r="D431" s="31"/>
      <c r="E431" s="31"/>
      <c r="F431" s="22"/>
    </row>
    <row r="432" spans="1:6" x14ac:dyDescent="0.3">
      <c r="A432" s="51"/>
      <c r="B432" s="22"/>
      <c r="C432" s="22"/>
      <c r="D432" s="31"/>
      <c r="E432" s="31"/>
      <c r="F432" s="22"/>
    </row>
    <row r="433" spans="1:6" x14ac:dyDescent="0.3">
      <c r="A433" s="51"/>
      <c r="B433" s="22"/>
      <c r="C433" s="22"/>
      <c r="D433" s="31"/>
      <c r="E433" s="31"/>
      <c r="F433" s="22"/>
    </row>
    <row r="434" spans="1:6" x14ac:dyDescent="0.3">
      <c r="A434" s="51"/>
      <c r="B434" s="22"/>
      <c r="C434" s="22"/>
      <c r="D434" s="31"/>
      <c r="E434" s="31"/>
      <c r="F434" s="22"/>
    </row>
    <row r="435" spans="1:6" x14ac:dyDescent="0.3">
      <c r="A435" s="51"/>
      <c r="B435" s="22"/>
      <c r="C435" s="22"/>
      <c r="D435" s="31"/>
      <c r="E435" s="31"/>
      <c r="F435" s="22"/>
    </row>
    <row r="436" spans="1:6" x14ac:dyDescent="0.3">
      <c r="A436" s="51"/>
      <c r="B436" s="22"/>
      <c r="C436" s="22"/>
      <c r="D436" s="31"/>
      <c r="E436" s="31"/>
      <c r="F436" s="22"/>
    </row>
    <row r="437" spans="1:6" x14ac:dyDescent="0.3">
      <c r="A437" s="51"/>
      <c r="B437" s="22"/>
      <c r="C437" s="22"/>
      <c r="D437" s="31"/>
      <c r="E437" s="31"/>
      <c r="F437" s="22"/>
    </row>
    <row r="438" spans="1:6" x14ac:dyDescent="0.3">
      <c r="A438" s="51"/>
      <c r="B438" s="22"/>
      <c r="C438" s="22"/>
      <c r="D438" s="31"/>
      <c r="E438" s="31"/>
      <c r="F438" s="22"/>
    </row>
    <row r="439" spans="1:6" x14ac:dyDescent="0.3">
      <c r="A439" s="51"/>
      <c r="B439" s="22"/>
      <c r="C439" s="22"/>
      <c r="D439" s="31"/>
      <c r="E439" s="31"/>
      <c r="F439" s="22"/>
    </row>
    <row r="440" spans="1:6" x14ac:dyDescent="0.3">
      <c r="A440" s="51"/>
      <c r="B440" s="22"/>
      <c r="C440" s="22"/>
      <c r="D440" s="31"/>
      <c r="E440" s="31"/>
      <c r="F440" s="22"/>
    </row>
    <row r="441" spans="1:6" x14ac:dyDescent="0.3">
      <c r="A441" s="51"/>
      <c r="B441" s="22"/>
      <c r="C441" s="22"/>
      <c r="D441" s="31"/>
      <c r="E441" s="31"/>
      <c r="F441" s="22"/>
    </row>
    <row r="442" spans="1:6" x14ac:dyDescent="0.3">
      <c r="A442" s="51"/>
      <c r="B442" s="22"/>
      <c r="C442" s="22"/>
      <c r="D442" s="31"/>
      <c r="E442" s="31"/>
      <c r="F442" s="22"/>
    </row>
    <row r="443" spans="1:6" x14ac:dyDescent="0.3">
      <c r="A443" s="51"/>
      <c r="B443" s="22"/>
      <c r="C443" s="22"/>
      <c r="D443" s="31"/>
      <c r="E443" s="31"/>
      <c r="F443" s="22"/>
    </row>
    <row r="444" spans="1:6" x14ac:dyDescent="0.3">
      <c r="A444" s="51"/>
      <c r="B444" s="22"/>
      <c r="C444" s="22"/>
      <c r="D444" s="31"/>
      <c r="E444" s="31"/>
      <c r="F444" s="22"/>
    </row>
    <row r="445" spans="1:6" x14ac:dyDescent="0.3">
      <c r="A445" s="51"/>
      <c r="B445" s="22"/>
      <c r="C445" s="22"/>
      <c r="D445" s="31"/>
      <c r="E445" s="31"/>
      <c r="F445" s="22"/>
    </row>
    <row r="446" spans="1:6" x14ac:dyDescent="0.3">
      <c r="A446" s="51"/>
      <c r="B446" s="22"/>
      <c r="C446" s="22"/>
      <c r="D446" s="31"/>
      <c r="E446" s="31"/>
      <c r="F446" s="22"/>
    </row>
    <row r="447" spans="1:6" x14ac:dyDescent="0.3">
      <c r="A447" s="51"/>
      <c r="B447" s="22"/>
      <c r="C447" s="22"/>
      <c r="D447" s="31"/>
      <c r="E447" s="31"/>
      <c r="F447" s="22"/>
    </row>
    <row r="448" spans="1:6" x14ac:dyDescent="0.3">
      <c r="A448" s="51"/>
      <c r="B448" s="22"/>
      <c r="C448" s="22"/>
      <c r="D448" s="31"/>
      <c r="E448" s="31"/>
      <c r="F448" s="22"/>
    </row>
    <row r="449" spans="1:6" x14ac:dyDescent="0.3">
      <c r="A449" s="51"/>
      <c r="B449" s="22"/>
      <c r="C449" s="22"/>
      <c r="D449" s="31"/>
      <c r="E449" s="31"/>
      <c r="F449" s="22"/>
    </row>
    <row r="450" spans="1:6" x14ac:dyDescent="0.3">
      <c r="A450" s="51"/>
      <c r="B450" s="22"/>
      <c r="C450" s="22"/>
      <c r="D450" s="31"/>
      <c r="E450" s="31"/>
      <c r="F450" s="22"/>
    </row>
    <row r="451" spans="1:6" x14ac:dyDescent="0.3">
      <c r="A451" s="51"/>
      <c r="B451" s="22"/>
      <c r="C451" s="22"/>
      <c r="D451" s="31"/>
      <c r="E451" s="31"/>
      <c r="F451" s="22"/>
    </row>
    <row r="452" spans="1:6" x14ac:dyDescent="0.3">
      <c r="A452" s="51"/>
      <c r="B452" s="22"/>
      <c r="C452" s="22"/>
      <c r="D452" s="31"/>
      <c r="E452" s="31"/>
      <c r="F452" s="22"/>
    </row>
    <row r="453" spans="1:6" x14ac:dyDescent="0.3">
      <c r="A453" s="51"/>
      <c r="B453" s="22"/>
      <c r="C453" s="22"/>
      <c r="D453" s="31"/>
      <c r="E453" s="31"/>
      <c r="F453" s="22"/>
    </row>
    <row r="454" spans="1:6" x14ac:dyDescent="0.3">
      <c r="A454" s="51"/>
      <c r="B454" s="22"/>
      <c r="C454" s="22"/>
      <c r="D454" s="31"/>
      <c r="E454" s="31"/>
      <c r="F454" s="22"/>
    </row>
    <row r="455" spans="1:6" x14ac:dyDescent="0.3">
      <c r="A455" s="51"/>
      <c r="B455" s="22"/>
      <c r="C455" s="22"/>
      <c r="D455" s="31"/>
      <c r="E455" s="31"/>
      <c r="F455" s="22"/>
    </row>
    <row r="456" spans="1:6" x14ac:dyDescent="0.3">
      <c r="A456" s="51"/>
      <c r="B456" s="22"/>
      <c r="C456" s="22"/>
      <c r="D456" s="31"/>
      <c r="E456" s="31"/>
      <c r="F456" s="22"/>
    </row>
    <row r="457" spans="1:6" x14ac:dyDescent="0.3">
      <c r="A457" s="51"/>
      <c r="B457" s="22"/>
      <c r="C457" s="22"/>
      <c r="D457" s="31"/>
      <c r="E457" s="31"/>
      <c r="F457" s="22"/>
    </row>
    <row r="458" spans="1:6" x14ac:dyDescent="0.3">
      <c r="A458" s="51"/>
      <c r="B458" s="22"/>
      <c r="C458" s="22"/>
      <c r="D458" s="31"/>
      <c r="E458" s="31"/>
      <c r="F458" s="22"/>
    </row>
    <row r="459" spans="1:6" x14ac:dyDescent="0.3">
      <c r="A459" s="51"/>
      <c r="B459" s="22"/>
      <c r="C459" s="22"/>
      <c r="D459" s="31"/>
      <c r="E459" s="31"/>
      <c r="F459" s="22"/>
    </row>
    <row r="460" spans="1:6" x14ac:dyDescent="0.3">
      <c r="A460" s="51"/>
      <c r="B460" s="22"/>
      <c r="C460" s="22"/>
      <c r="D460" s="31"/>
      <c r="E460" s="31"/>
      <c r="F460" s="22"/>
    </row>
    <row r="461" spans="1:6" x14ac:dyDescent="0.3">
      <c r="A461" s="51"/>
      <c r="B461" s="22"/>
      <c r="C461" s="22"/>
      <c r="D461" s="31"/>
      <c r="E461" s="31"/>
      <c r="F461" s="22"/>
    </row>
    <row r="462" spans="1:6" x14ac:dyDescent="0.3">
      <c r="A462" s="51"/>
      <c r="B462" s="22"/>
      <c r="C462" s="22"/>
      <c r="D462" s="31"/>
      <c r="E462" s="31"/>
      <c r="F462" s="22"/>
    </row>
    <row r="463" spans="1:6" x14ac:dyDescent="0.3">
      <c r="A463" s="51"/>
      <c r="B463" s="22"/>
      <c r="C463" s="22"/>
      <c r="D463" s="31"/>
      <c r="E463" s="31"/>
      <c r="F463" s="22"/>
    </row>
    <row r="464" spans="1:6" x14ac:dyDescent="0.3">
      <c r="A464" s="51"/>
      <c r="B464" s="22"/>
      <c r="C464" s="22"/>
      <c r="D464" s="31"/>
      <c r="E464" s="31"/>
      <c r="F464" s="22"/>
    </row>
    <row r="465" spans="1:6" x14ac:dyDescent="0.3">
      <c r="A465" s="51"/>
      <c r="B465" s="22"/>
      <c r="C465" s="22"/>
      <c r="D465" s="31"/>
      <c r="E465" s="31"/>
      <c r="F465" s="22"/>
    </row>
    <row r="466" spans="1:6" x14ac:dyDescent="0.3">
      <c r="A466" s="51"/>
      <c r="B466" s="22"/>
      <c r="C466" s="22"/>
      <c r="D466" s="31"/>
      <c r="E466" s="31"/>
      <c r="F466" s="22"/>
    </row>
    <row r="467" spans="1:6" x14ac:dyDescent="0.3">
      <c r="A467" s="51"/>
      <c r="B467" s="22"/>
      <c r="C467" s="22"/>
      <c r="D467" s="31"/>
      <c r="E467" s="31"/>
      <c r="F467" s="22"/>
    </row>
    <row r="468" spans="1:6" x14ac:dyDescent="0.3">
      <c r="A468" s="51"/>
      <c r="B468" s="22"/>
      <c r="C468" s="22"/>
      <c r="D468" s="31"/>
      <c r="E468" s="31"/>
      <c r="F468" s="22"/>
    </row>
    <row r="469" spans="1:6" x14ac:dyDescent="0.3">
      <c r="A469" s="51"/>
      <c r="B469" s="22"/>
      <c r="C469" s="22"/>
      <c r="D469" s="31"/>
      <c r="E469" s="31"/>
      <c r="F469" s="22"/>
    </row>
    <row r="470" spans="1:6" x14ac:dyDescent="0.3">
      <c r="A470" s="51"/>
      <c r="B470" s="22"/>
      <c r="C470" s="22"/>
      <c r="D470" s="31"/>
      <c r="E470" s="31"/>
      <c r="F470" s="22"/>
    </row>
    <row r="471" spans="1:6" x14ac:dyDescent="0.3">
      <c r="A471" s="51"/>
      <c r="B471" s="22"/>
      <c r="C471" s="22"/>
      <c r="D471" s="31"/>
      <c r="E471" s="31"/>
      <c r="F471" s="22"/>
    </row>
    <row r="472" spans="1:6" x14ac:dyDescent="0.3">
      <c r="A472" s="51"/>
      <c r="B472" s="22"/>
      <c r="C472" s="22"/>
      <c r="D472" s="31"/>
      <c r="E472" s="31"/>
      <c r="F472" s="22"/>
    </row>
    <row r="473" spans="1:6" x14ac:dyDescent="0.3">
      <c r="A473" s="51"/>
      <c r="B473" s="22"/>
      <c r="C473" s="22"/>
      <c r="D473" s="31"/>
      <c r="E473" s="31"/>
      <c r="F473" s="22"/>
    </row>
    <row r="474" spans="1:6" x14ac:dyDescent="0.3">
      <c r="A474" s="51"/>
      <c r="B474" s="22"/>
      <c r="C474" s="22"/>
      <c r="D474" s="31"/>
      <c r="E474" s="31"/>
      <c r="F474" s="22"/>
    </row>
    <row r="475" spans="1:6" x14ac:dyDescent="0.3">
      <c r="A475" s="51"/>
      <c r="B475" s="22"/>
      <c r="C475" s="22"/>
      <c r="D475" s="31"/>
      <c r="E475" s="31"/>
      <c r="F475" s="22"/>
    </row>
    <row r="476" spans="1:6" x14ac:dyDescent="0.3">
      <c r="A476" s="51"/>
      <c r="B476" s="22"/>
      <c r="C476" s="22"/>
      <c r="D476" s="31"/>
      <c r="E476" s="31"/>
      <c r="F476" s="22"/>
    </row>
    <row r="477" spans="1:6" x14ac:dyDescent="0.3">
      <c r="A477" s="51"/>
      <c r="B477" s="22"/>
      <c r="C477" s="22"/>
      <c r="D477" s="31"/>
      <c r="E477" s="31"/>
      <c r="F477" s="22"/>
    </row>
    <row r="478" spans="1:6" x14ac:dyDescent="0.3">
      <c r="A478" s="51"/>
      <c r="B478" s="22"/>
      <c r="C478" s="22"/>
      <c r="D478" s="31"/>
      <c r="E478" s="31"/>
      <c r="F478" s="22"/>
    </row>
    <row r="479" spans="1:6" x14ac:dyDescent="0.3">
      <c r="A479" s="51"/>
      <c r="B479" s="22"/>
      <c r="C479" s="22"/>
      <c r="D479" s="31"/>
      <c r="E479" s="31"/>
      <c r="F479" s="22"/>
    </row>
    <row r="480" spans="1:6" x14ac:dyDescent="0.3">
      <c r="A480" s="51"/>
      <c r="B480" s="22"/>
      <c r="C480" s="22"/>
      <c r="D480" s="31"/>
      <c r="E480" s="31"/>
      <c r="F480" s="22"/>
    </row>
    <row r="481" spans="1:6" x14ac:dyDescent="0.3">
      <c r="A481" s="51"/>
      <c r="B481" s="22"/>
      <c r="C481" s="22"/>
      <c r="D481" s="31"/>
      <c r="E481" s="31"/>
      <c r="F481" s="22"/>
    </row>
    <row r="482" spans="1:6" x14ac:dyDescent="0.3">
      <c r="A482" s="51"/>
      <c r="B482" s="22"/>
      <c r="C482" s="22"/>
      <c r="D482" s="31"/>
      <c r="E482" s="31"/>
      <c r="F482" s="22"/>
    </row>
    <row r="483" spans="1:6" x14ac:dyDescent="0.3">
      <c r="A483" s="51"/>
      <c r="B483" s="22"/>
      <c r="C483" s="22"/>
      <c r="D483" s="31"/>
      <c r="E483" s="31"/>
      <c r="F483" s="22"/>
    </row>
    <row r="484" spans="1:6" x14ac:dyDescent="0.3">
      <c r="A484" s="51"/>
      <c r="B484" s="22"/>
      <c r="C484" s="22"/>
      <c r="D484" s="31"/>
      <c r="E484" s="31"/>
      <c r="F484" s="22"/>
    </row>
    <row r="485" spans="1:6" x14ac:dyDescent="0.3">
      <c r="A485" s="51"/>
      <c r="B485" s="22"/>
      <c r="C485" s="22"/>
      <c r="D485" s="31"/>
      <c r="E485" s="31"/>
      <c r="F485" s="22"/>
    </row>
    <row r="486" spans="1:6" x14ac:dyDescent="0.3">
      <c r="A486" s="51"/>
      <c r="B486" s="22"/>
      <c r="C486" s="22"/>
      <c r="D486" s="31"/>
      <c r="E486" s="31"/>
      <c r="F486" s="22"/>
    </row>
    <row r="487" spans="1:6" x14ac:dyDescent="0.3">
      <c r="A487" s="51"/>
      <c r="B487" s="22"/>
      <c r="C487" s="22"/>
      <c r="D487" s="31"/>
      <c r="E487" s="31"/>
      <c r="F487" s="22"/>
    </row>
    <row r="488" spans="1:6" x14ac:dyDescent="0.3">
      <c r="A488" s="51"/>
      <c r="B488" s="22"/>
      <c r="C488" s="22"/>
      <c r="D488" s="31"/>
      <c r="E488" s="31"/>
      <c r="F488" s="22"/>
    </row>
    <row r="489" spans="1:6" x14ac:dyDescent="0.3">
      <c r="A489" s="51"/>
      <c r="B489" s="22"/>
      <c r="C489" s="22"/>
      <c r="D489" s="31"/>
      <c r="E489" s="31"/>
      <c r="F489" s="22"/>
    </row>
    <row r="490" spans="1:6" x14ac:dyDescent="0.3">
      <c r="A490" s="51"/>
      <c r="B490" s="22"/>
      <c r="C490" s="22"/>
      <c r="D490" s="31"/>
      <c r="E490" s="31"/>
      <c r="F490" s="22"/>
    </row>
    <row r="491" spans="1:6" x14ac:dyDescent="0.3">
      <c r="A491" s="51"/>
      <c r="B491" s="22"/>
      <c r="C491" s="22"/>
      <c r="D491" s="31"/>
      <c r="E491" s="31"/>
      <c r="F491" s="22"/>
    </row>
    <row r="492" spans="1:6" x14ac:dyDescent="0.3">
      <c r="A492" s="51"/>
      <c r="B492" s="22"/>
      <c r="C492" s="22"/>
      <c r="D492" s="31"/>
      <c r="E492" s="31"/>
      <c r="F492" s="22"/>
    </row>
    <row r="493" spans="1:6" x14ac:dyDescent="0.3">
      <c r="A493" s="51"/>
      <c r="B493" s="22"/>
      <c r="C493" s="22"/>
      <c r="D493" s="31"/>
      <c r="E493" s="31"/>
      <c r="F493" s="22"/>
    </row>
    <row r="494" spans="1:6" x14ac:dyDescent="0.3">
      <c r="A494" s="51"/>
      <c r="B494" s="22"/>
      <c r="C494" s="22"/>
      <c r="D494" s="31"/>
      <c r="E494" s="31"/>
      <c r="F494" s="22"/>
    </row>
    <row r="495" spans="1:6" x14ac:dyDescent="0.3">
      <c r="A495" s="51"/>
      <c r="B495" s="22"/>
      <c r="C495" s="22"/>
      <c r="D495" s="31"/>
      <c r="E495" s="31"/>
      <c r="F495" s="22"/>
    </row>
    <row r="496" spans="1:6" x14ac:dyDescent="0.3">
      <c r="A496" s="51"/>
      <c r="B496" s="22"/>
      <c r="C496" s="22"/>
      <c r="D496" s="31"/>
      <c r="E496" s="31"/>
      <c r="F496" s="22"/>
    </row>
    <row r="497" spans="1:6" x14ac:dyDescent="0.3">
      <c r="A497" s="59"/>
      <c r="B497" s="59"/>
      <c r="C497" s="59"/>
      <c r="D497" s="59"/>
      <c r="E497" s="59"/>
      <c r="F497" s="5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0611F-FF17-46BD-840C-4494A662739D}">
  <sheetPr codeName="Sheet2"/>
  <dimension ref="A1:Y92"/>
  <sheetViews>
    <sheetView zoomScale="105" workbookViewId="0">
      <selection activeCell="F36" sqref="F36"/>
    </sheetView>
  </sheetViews>
  <sheetFormatPr defaultRowHeight="14.4" x14ac:dyDescent="0.3"/>
  <cols>
    <col min="4" max="4" width="15.44140625" bestFit="1" customWidth="1"/>
    <col min="5" max="6" width="9.33203125" bestFit="1" customWidth="1"/>
    <col min="7" max="8" width="11.109375" bestFit="1" customWidth="1"/>
    <col min="9" max="13" width="9.33203125" bestFit="1" customWidth="1"/>
    <col min="14" max="22" width="9" bestFit="1" customWidth="1"/>
  </cols>
  <sheetData>
    <row r="1" spans="2:25" x14ac:dyDescent="0.3">
      <c r="C1" t="s">
        <v>125</v>
      </c>
      <c r="E1">
        <v>0</v>
      </c>
      <c r="F1">
        <f>E1+1</f>
        <v>1</v>
      </c>
      <c r="G1">
        <f t="shared" ref="G1:Y1" si="0">F1+1</f>
        <v>2</v>
      </c>
      <c r="H1">
        <f t="shared" si="0"/>
        <v>3</v>
      </c>
      <c r="I1">
        <f t="shared" si="0"/>
        <v>4</v>
      </c>
      <c r="J1">
        <f t="shared" si="0"/>
        <v>5</v>
      </c>
      <c r="K1">
        <f t="shared" si="0"/>
        <v>6</v>
      </c>
      <c r="L1">
        <f t="shared" si="0"/>
        <v>7</v>
      </c>
      <c r="M1">
        <f t="shared" si="0"/>
        <v>8</v>
      </c>
      <c r="N1">
        <f t="shared" si="0"/>
        <v>9</v>
      </c>
      <c r="O1">
        <f t="shared" si="0"/>
        <v>10</v>
      </c>
      <c r="P1">
        <f t="shared" si="0"/>
        <v>11</v>
      </c>
      <c r="Q1">
        <f t="shared" si="0"/>
        <v>12</v>
      </c>
      <c r="R1">
        <f t="shared" si="0"/>
        <v>13</v>
      </c>
      <c r="S1">
        <f t="shared" si="0"/>
        <v>14</v>
      </c>
      <c r="T1">
        <f t="shared" si="0"/>
        <v>15</v>
      </c>
      <c r="U1">
        <f t="shared" si="0"/>
        <v>16</v>
      </c>
      <c r="V1">
        <f t="shared" si="0"/>
        <v>17</v>
      </c>
      <c r="W1">
        <f t="shared" si="0"/>
        <v>18</v>
      </c>
      <c r="X1">
        <f t="shared" si="0"/>
        <v>19</v>
      </c>
      <c r="Y1">
        <f t="shared" si="0"/>
        <v>20</v>
      </c>
    </row>
    <row r="4" spans="2:25" x14ac:dyDescent="0.3">
      <c r="C4" s="4" t="s">
        <v>126</v>
      </c>
      <c r="D4" s="4"/>
      <c r="E4" s="4"/>
      <c r="F4" s="4"/>
      <c r="G4" s="13"/>
      <c r="H4" s="13"/>
      <c r="I4" s="13"/>
      <c r="J4" s="13"/>
      <c r="K4" s="13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</row>
    <row r="5" spans="2:25" x14ac:dyDescent="0.3">
      <c r="C5" t="s">
        <v>127</v>
      </c>
      <c r="D5" t="s">
        <v>128</v>
      </c>
      <c r="E5">
        <v>0</v>
      </c>
      <c r="F5">
        <v>663931</v>
      </c>
      <c r="G5" s="11">
        <v>18125300</v>
      </c>
      <c r="H5" s="11">
        <v>19031600</v>
      </c>
      <c r="I5" s="11">
        <v>19983200</v>
      </c>
      <c r="J5" s="11">
        <v>20982300</v>
      </c>
      <c r="K5" s="11">
        <v>22031400</v>
      </c>
      <c r="L5" s="11">
        <v>23133000</v>
      </c>
      <c r="M5" s="11">
        <v>24289700</v>
      </c>
      <c r="N5" s="11">
        <v>25504100</v>
      </c>
      <c r="O5" s="11">
        <v>26779300</v>
      </c>
      <c r="P5" s="11">
        <v>28118300</v>
      </c>
      <c r="Q5" s="11">
        <v>29524200</v>
      </c>
      <c r="R5" s="11">
        <v>31000400</v>
      </c>
      <c r="S5" s="11">
        <v>32550500</v>
      </c>
      <c r="T5" s="11">
        <v>34178000</v>
      </c>
      <c r="U5" s="11">
        <v>35886900</v>
      </c>
      <c r="V5" s="11">
        <v>37681200</v>
      </c>
      <c r="W5" s="11">
        <v>39565300</v>
      </c>
      <c r="X5" s="11">
        <v>41543500</v>
      </c>
      <c r="Y5" s="11">
        <v>43620700</v>
      </c>
    </row>
    <row r="6" spans="2:25" x14ac:dyDescent="0.3">
      <c r="C6" t="s">
        <v>129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2:25" x14ac:dyDescent="0.3">
      <c r="C7" t="s">
        <v>130</v>
      </c>
      <c r="D7" t="s">
        <v>128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2:25" x14ac:dyDescent="0.3">
      <c r="C8" t="s">
        <v>131</v>
      </c>
      <c r="D8" t="s">
        <v>128</v>
      </c>
      <c r="E8">
        <v>0</v>
      </c>
      <c r="F8">
        <v>663931</v>
      </c>
      <c r="G8" s="11">
        <v>18125300</v>
      </c>
      <c r="H8" s="11">
        <v>19031600</v>
      </c>
      <c r="I8" s="11">
        <v>19983200</v>
      </c>
      <c r="J8" s="11">
        <v>20982300</v>
      </c>
      <c r="K8" s="11">
        <v>22031400</v>
      </c>
      <c r="L8" s="11">
        <v>23133000</v>
      </c>
      <c r="M8" s="11">
        <v>24289700</v>
      </c>
      <c r="N8" s="11">
        <v>25504100</v>
      </c>
      <c r="O8" s="11">
        <v>26779300</v>
      </c>
      <c r="P8" s="11">
        <v>28118300</v>
      </c>
      <c r="Q8" s="11">
        <v>29524200</v>
      </c>
      <c r="R8" s="11">
        <v>31000400</v>
      </c>
      <c r="S8" s="11">
        <v>32550500</v>
      </c>
      <c r="T8" s="11">
        <v>34178000</v>
      </c>
      <c r="U8" s="11">
        <v>35886900</v>
      </c>
      <c r="V8" s="11">
        <v>37681200</v>
      </c>
      <c r="W8" s="11">
        <v>39565300</v>
      </c>
      <c r="X8" s="11">
        <v>41543500</v>
      </c>
      <c r="Y8" s="11">
        <v>43620700</v>
      </c>
    </row>
    <row r="9" spans="2:25" x14ac:dyDescent="0.3">
      <c r="C9" s="4" t="s">
        <v>132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</row>
    <row r="10" spans="2:25" x14ac:dyDescent="0.3">
      <c r="C10" t="s">
        <v>133</v>
      </c>
      <c r="D10" t="s">
        <v>128</v>
      </c>
      <c r="E10">
        <v>0</v>
      </c>
      <c r="F10" s="11">
        <v>23124100</v>
      </c>
      <c r="G10" t="s">
        <v>134</v>
      </c>
      <c r="H10" t="s">
        <v>134</v>
      </c>
      <c r="I10" t="s">
        <v>134</v>
      </c>
      <c r="J10" t="s">
        <v>134</v>
      </c>
      <c r="K10" t="s">
        <v>134</v>
      </c>
      <c r="L10" t="s">
        <v>134</v>
      </c>
      <c r="M10" t="s">
        <v>134</v>
      </c>
      <c r="N10" t="s">
        <v>134</v>
      </c>
      <c r="O10" t="s">
        <v>134</v>
      </c>
      <c r="P10" t="s">
        <v>134</v>
      </c>
      <c r="Q10" t="s">
        <v>134</v>
      </c>
      <c r="R10" t="s">
        <v>134</v>
      </c>
      <c r="S10" t="s">
        <v>134</v>
      </c>
      <c r="T10" t="s">
        <v>134</v>
      </c>
      <c r="U10" t="s">
        <v>134</v>
      </c>
      <c r="V10" t="s">
        <v>134</v>
      </c>
      <c r="W10" t="s">
        <v>134</v>
      </c>
      <c r="X10" t="s">
        <v>134</v>
      </c>
      <c r="Y10" t="s">
        <v>134</v>
      </c>
    </row>
    <row r="11" spans="2:25" x14ac:dyDescent="0.3">
      <c r="C11" t="s">
        <v>135</v>
      </c>
      <c r="D11" t="s">
        <v>128</v>
      </c>
      <c r="E11">
        <v>0</v>
      </c>
      <c r="F11" s="11">
        <v>20974200</v>
      </c>
      <c r="G11" s="11">
        <v>20974200</v>
      </c>
      <c r="H11" s="11">
        <v>20974200</v>
      </c>
      <c r="I11" s="11">
        <v>20974200</v>
      </c>
      <c r="J11" s="11">
        <v>20974200</v>
      </c>
      <c r="K11" s="11">
        <v>20974200</v>
      </c>
      <c r="L11" s="11">
        <v>20974200</v>
      </c>
      <c r="M11" s="11">
        <v>20974200</v>
      </c>
      <c r="N11" s="11">
        <v>20974200</v>
      </c>
      <c r="O11" s="11">
        <v>20974200</v>
      </c>
      <c r="P11" s="11">
        <v>20974200</v>
      </c>
      <c r="Q11" s="11">
        <v>20974200</v>
      </c>
      <c r="R11" s="11">
        <v>20974200</v>
      </c>
      <c r="S11" s="11">
        <v>20974200</v>
      </c>
      <c r="T11" s="11">
        <v>20974200</v>
      </c>
      <c r="U11" s="11">
        <v>20974200</v>
      </c>
      <c r="V11" s="11">
        <v>20974200</v>
      </c>
      <c r="W11" s="11">
        <v>20974200</v>
      </c>
      <c r="X11" s="11">
        <v>20974200</v>
      </c>
      <c r="Y11" s="11">
        <v>20974200</v>
      </c>
    </row>
    <row r="12" spans="2:25" x14ac:dyDescent="0.3">
      <c r="C12" t="s">
        <v>136</v>
      </c>
      <c r="D12" t="s">
        <v>137</v>
      </c>
      <c r="E12">
        <v>0</v>
      </c>
      <c r="F12" s="11">
        <v>22022900</v>
      </c>
      <c r="G12" s="11"/>
      <c r="H12" s="11"/>
      <c r="I12" s="11"/>
      <c r="J12" s="11"/>
      <c r="K12" t="s">
        <v>134</v>
      </c>
      <c r="L12" t="s">
        <v>134</v>
      </c>
      <c r="M12" t="s">
        <v>134</v>
      </c>
      <c r="N12" t="s">
        <v>134</v>
      </c>
      <c r="O12" t="s">
        <v>134</v>
      </c>
      <c r="P12" t="s">
        <v>134</v>
      </c>
      <c r="Q12" t="s">
        <v>134</v>
      </c>
      <c r="R12" t="s">
        <v>134</v>
      </c>
      <c r="S12" t="s">
        <v>134</v>
      </c>
      <c r="T12" t="s">
        <v>134</v>
      </c>
      <c r="U12" t="s">
        <v>134</v>
      </c>
      <c r="V12" t="s">
        <v>134</v>
      </c>
      <c r="W12" t="s">
        <v>134</v>
      </c>
      <c r="X12" t="s">
        <v>134</v>
      </c>
      <c r="Y12" t="s">
        <v>134</v>
      </c>
    </row>
    <row r="13" spans="2:25" x14ac:dyDescent="0.3">
      <c r="C13" t="s">
        <v>138</v>
      </c>
      <c r="D13" t="s">
        <v>137</v>
      </c>
      <c r="E13">
        <v>0</v>
      </c>
      <c r="F13" s="11">
        <v>22022900</v>
      </c>
      <c r="G13" s="11">
        <v>22022900</v>
      </c>
      <c r="H13" s="11">
        <v>22022900</v>
      </c>
      <c r="I13" s="11">
        <v>22022900</v>
      </c>
      <c r="J13" s="11">
        <v>22022900</v>
      </c>
      <c r="K13" s="11">
        <v>22022900</v>
      </c>
      <c r="L13" s="11">
        <v>22022900</v>
      </c>
      <c r="M13" s="11">
        <v>22022900</v>
      </c>
      <c r="N13" s="11">
        <v>22022900</v>
      </c>
      <c r="O13" s="11">
        <v>22022900</v>
      </c>
      <c r="P13" s="11">
        <v>22022900</v>
      </c>
      <c r="Q13" s="11">
        <v>22022900</v>
      </c>
      <c r="R13" s="11">
        <v>22022900</v>
      </c>
      <c r="S13" s="11">
        <v>22022900</v>
      </c>
      <c r="T13" s="11">
        <v>22022900</v>
      </c>
      <c r="U13" s="11">
        <v>22022900</v>
      </c>
      <c r="V13" s="11">
        <v>22022900</v>
      </c>
      <c r="W13" s="11">
        <v>22022900</v>
      </c>
      <c r="X13" s="11">
        <v>22022900</v>
      </c>
      <c r="Y13" s="11">
        <v>22022900</v>
      </c>
    </row>
    <row r="14" spans="2:25" x14ac:dyDescent="0.3">
      <c r="B14" s="11"/>
      <c r="C14" t="s">
        <v>139</v>
      </c>
      <c r="D14" t="s">
        <v>137</v>
      </c>
      <c r="E14" t="s">
        <v>134</v>
      </c>
      <c r="F14" s="11">
        <v>1101150</v>
      </c>
      <c r="G14" s="11"/>
      <c r="H14" s="11"/>
      <c r="I14" s="11"/>
      <c r="J14" s="11"/>
      <c r="K14" s="11"/>
      <c r="Q14" t="s">
        <v>134</v>
      </c>
      <c r="R14" t="s">
        <v>134</v>
      </c>
      <c r="S14" t="s">
        <v>134</v>
      </c>
      <c r="T14" t="s">
        <v>134</v>
      </c>
      <c r="U14" t="s">
        <v>134</v>
      </c>
      <c r="V14" t="s">
        <v>134</v>
      </c>
      <c r="W14" t="s">
        <v>134</v>
      </c>
      <c r="X14" t="s">
        <v>134</v>
      </c>
      <c r="Y14" t="s">
        <v>134</v>
      </c>
    </row>
    <row r="15" spans="2:25" x14ac:dyDescent="0.3">
      <c r="C15" t="s">
        <v>140</v>
      </c>
      <c r="D15" t="s">
        <v>128</v>
      </c>
      <c r="E15">
        <v>0</v>
      </c>
      <c r="F15" s="11">
        <v>2690970</v>
      </c>
      <c r="G15" s="11">
        <v>6551290</v>
      </c>
      <c r="H15" s="11">
        <v>6747830</v>
      </c>
      <c r="I15" s="11">
        <v>6950270</v>
      </c>
      <c r="J15" s="11">
        <v>7158770</v>
      </c>
      <c r="K15" s="11">
        <v>7373540</v>
      </c>
      <c r="L15" s="11">
        <v>7594740</v>
      </c>
      <c r="M15" s="11">
        <v>7822590</v>
      </c>
      <c r="N15" s="11">
        <v>8057260</v>
      </c>
      <c r="O15" s="11">
        <v>8298980</v>
      </c>
      <c r="P15" s="11">
        <v>8547950</v>
      </c>
      <c r="Q15" s="11">
        <v>8804390</v>
      </c>
      <c r="R15" s="11">
        <v>9068520</v>
      </c>
      <c r="S15" s="11">
        <v>9340580</v>
      </c>
      <c r="T15" s="11">
        <v>9620790</v>
      </c>
      <c r="U15" s="11">
        <v>9909420</v>
      </c>
      <c r="V15" s="11">
        <v>10206700</v>
      </c>
      <c r="W15" s="11">
        <v>10512900</v>
      </c>
      <c r="X15" s="11">
        <v>10828300</v>
      </c>
      <c r="Y15" s="11">
        <v>11153100</v>
      </c>
    </row>
    <row r="16" spans="2:25" x14ac:dyDescent="0.3">
      <c r="B16" s="11"/>
      <c r="C16" t="s">
        <v>141</v>
      </c>
      <c r="D16" t="s">
        <v>137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3">
      <c r="A17" s="11"/>
      <c r="B17" s="11"/>
      <c r="C17" t="s">
        <v>142</v>
      </c>
      <c r="D17" t="s">
        <v>137</v>
      </c>
      <c r="E17">
        <v>0</v>
      </c>
      <c r="F17">
        <v>592093</v>
      </c>
      <c r="G17" s="11">
        <v>1441480</v>
      </c>
      <c r="H17" s="11">
        <v>1484720</v>
      </c>
      <c r="I17" s="11">
        <v>1529260</v>
      </c>
      <c r="J17" s="11">
        <v>1575140</v>
      </c>
      <c r="K17" s="11">
        <v>1622390</v>
      </c>
      <c r="L17" s="11">
        <v>1671070</v>
      </c>
      <c r="M17" s="11">
        <v>1721200</v>
      </c>
      <c r="N17" s="11">
        <v>1772830</v>
      </c>
      <c r="O17" s="11">
        <v>1826020</v>
      </c>
      <c r="P17" s="11">
        <v>1880800</v>
      </c>
      <c r="Q17" s="11">
        <v>1937220</v>
      </c>
      <c r="R17" s="11">
        <v>1995340</v>
      </c>
      <c r="S17" s="11">
        <v>2055200</v>
      </c>
      <c r="T17" s="11">
        <v>2116860</v>
      </c>
      <c r="U17" s="11">
        <v>2180360</v>
      </c>
      <c r="V17" s="11">
        <v>2245770</v>
      </c>
      <c r="W17" s="11">
        <v>2313150</v>
      </c>
      <c r="X17" s="11">
        <v>2382540</v>
      </c>
      <c r="Y17" s="11">
        <v>2454020</v>
      </c>
    </row>
    <row r="18" spans="1:25" x14ac:dyDescent="0.3">
      <c r="A18" s="11"/>
      <c r="C18" t="s">
        <v>143</v>
      </c>
      <c r="D18" t="s">
        <v>137</v>
      </c>
      <c r="E18">
        <v>0</v>
      </c>
      <c r="F18">
        <v>165213</v>
      </c>
      <c r="G18">
        <v>402218</v>
      </c>
      <c r="H18">
        <v>414285</v>
      </c>
      <c r="I18">
        <v>426714</v>
      </c>
      <c r="J18">
        <v>439515</v>
      </c>
      <c r="K18">
        <v>452700</v>
      </c>
      <c r="L18">
        <v>466281</v>
      </c>
      <c r="M18">
        <v>480270</v>
      </c>
      <c r="N18">
        <v>494678</v>
      </c>
      <c r="O18">
        <v>509518</v>
      </c>
      <c r="P18">
        <v>524804</v>
      </c>
      <c r="Q18">
        <v>540548</v>
      </c>
      <c r="R18">
        <v>556764</v>
      </c>
      <c r="S18">
        <v>573467</v>
      </c>
      <c r="T18">
        <v>590671</v>
      </c>
      <c r="U18">
        <v>608392</v>
      </c>
      <c r="V18">
        <v>626643</v>
      </c>
      <c r="W18">
        <v>645443</v>
      </c>
      <c r="X18">
        <v>664806</v>
      </c>
      <c r="Y18">
        <v>684750</v>
      </c>
    </row>
    <row r="19" spans="1:25" x14ac:dyDescent="0.3">
      <c r="C19" t="s">
        <v>144</v>
      </c>
      <c r="D19" t="s">
        <v>137</v>
      </c>
      <c r="E19">
        <v>0</v>
      </c>
      <c r="F19" s="11">
        <v>1207660</v>
      </c>
      <c r="G19" s="11">
        <v>2940100</v>
      </c>
      <c r="H19" s="11">
        <v>3028300</v>
      </c>
      <c r="I19" s="11">
        <v>3119150</v>
      </c>
      <c r="J19" s="11">
        <v>3212730</v>
      </c>
      <c r="K19" s="11">
        <v>3309110</v>
      </c>
      <c r="L19" s="11">
        <v>3408380</v>
      </c>
      <c r="M19" s="11">
        <v>3510630</v>
      </c>
      <c r="N19" s="11">
        <v>3615950</v>
      </c>
      <c r="O19" s="11">
        <v>3724430</v>
      </c>
      <c r="P19" s="11">
        <v>3836160</v>
      </c>
      <c r="Q19" s="11">
        <v>3951250</v>
      </c>
      <c r="R19" s="11">
        <v>4069790</v>
      </c>
      <c r="S19" s="11">
        <v>4191880</v>
      </c>
      <c r="T19" s="11">
        <v>4317640</v>
      </c>
      <c r="U19" s="11">
        <v>4447170</v>
      </c>
      <c r="V19" s="11">
        <v>4580580</v>
      </c>
      <c r="W19" s="11">
        <v>4718000</v>
      </c>
      <c r="X19" s="11">
        <v>4859540</v>
      </c>
      <c r="Y19" s="11">
        <v>5005320</v>
      </c>
    </row>
    <row r="20" spans="1:25" x14ac:dyDescent="0.3">
      <c r="B20" s="11"/>
      <c r="C20" t="s">
        <v>145</v>
      </c>
      <c r="D20" t="s">
        <v>137</v>
      </c>
      <c r="E20">
        <v>0</v>
      </c>
      <c r="F20">
        <v>148023</v>
      </c>
      <c r="G20">
        <v>360369</v>
      </c>
      <c r="H20">
        <v>371180</v>
      </c>
      <c r="I20">
        <v>382316</v>
      </c>
      <c r="J20">
        <v>393785</v>
      </c>
      <c r="K20">
        <v>405599</v>
      </c>
      <c r="L20">
        <v>417767</v>
      </c>
      <c r="M20">
        <v>430300</v>
      </c>
      <c r="N20">
        <v>443209</v>
      </c>
      <c r="O20">
        <v>456505</v>
      </c>
      <c r="P20">
        <v>470200</v>
      </c>
      <c r="Q20">
        <v>484306</v>
      </c>
      <c r="R20">
        <v>498835</v>
      </c>
      <c r="S20">
        <v>513800</v>
      </c>
      <c r="T20">
        <v>529214</v>
      </c>
      <c r="U20">
        <v>545091</v>
      </c>
      <c r="V20">
        <v>561443</v>
      </c>
      <c r="W20">
        <v>578287</v>
      </c>
      <c r="X20">
        <v>595635</v>
      </c>
      <c r="Y20">
        <v>613504</v>
      </c>
    </row>
    <row r="21" spans="1:25" x14ac:dyDescent="0.3">
      <c r="B21" s="11"/>
      <c r="C21" t="s">
        <v>146</v>
      </c>
      <c r="D21" t="s">
        <v>137</v>
      </c>
      <c r="E21">
        <v>0</v>
      </c>
      <c r="F21">
        <v>378653</v>
      </c>
      <c r="G21">
        <v>921848</v>
      </c>
      <c r="H21">
        <v>949503</v>
      </c>
      <c r="I21">
        <v>977988</v>
      </c>
      <c r="J21" s="11">
        <v>1007330</v>
      </c>
      <c r="K21" s="11">
        <v>1037550</v>
      </c>
      <c r="L21" s="11">
        <v>1068670</v>
      </c>
      <c r="M21" s="11">
        <v>1100730</v>
      </c>
      <c r="N21" s="11">
        <v>1133760</v>
      </c>
      <c r="O21" s="11">
        <v>1167770</v>
      </c>
      <c r="P21" s="11">
        <v>1202800</v>
      </c>
      <c r="Q21" s="11">
        <v>1238890</v>
      </c>
      <c r="R21" s="11">
        <v>1276050</v>
      </c>
      <c r="S21" s="11">
        <v>1314330</v>
      </c>
      <c r="T21" s="11">
        <v>1353760</v>
      </c>
      <c r="U21" s="11">
        <v>1394380</v>
      </c>
      <c r="V21" s="11">
        <v>1436210</v>
      </c>
      <c r="W21" s="11">
        <v>1479290</v>
      </c>
      <c r="X21" s="11">
        <v>1523670</v>
      </c>
      <c r="Y21" s="11">
        <v>1569380</v>
      </c>
    </row>
    <row r="22" spans="1:25" x14ac:dyDescent="0.3">
      <c r="A22" s="11"/>
      <c r="C22" t="s">
        <v>147</v>
      </c>
      <c r="D22" t="s">
        <v>137</v>
      </c>
      <c r="E22">
        <v>0</v>
      </c>
      <c r="F22" s="11">
        <v>2491640</v>
      </c>
      <c r="G22" s="11">
        <v>6066010</v>
      </c>
      <c r="H22" s="11">
        <v>6247990</v>
      </c>
      <c r="I22" s="11">
        <v>6435430</v>
      </c>
      <c r="J22" s="11">
        <v>6628490</v>
      </c>
      <c r="K22" s="11">
        <v>6827350</v>
      </c>
      <c r="L22" s="11">
        <v>7032170</v>
      </c>
      <c r="M22" s="11">
        <v>7243140</v>
      </c>
      <c r="N22" s="11">
        <v>7460430</v>
      </c>
      <c r="O22" s="11">
        <v>7684240</v>
      </c>
      <c r="P22" s="11">
        <v>7914770</v>
      </c>
      <c r="Q22" s="11">
        <v>8152210</v>
      </c>
      <c r="R22" s="11">
        <v>8396780</v>
      </c>
      <c r="S22" s="11">
        <v>8648680</v>
      </c>
      <c r="T22" s="11">
        <v>8908140</v>
      </c>
      <c r="U22" s="11">
        <v>9175390</v>
      </c>
      <c r="V22" s="11">
        <v>9450650</v>
      </c>
      <c r="W22" s="11">
        <v>9734170</v>
      </c>
      <c r="X22" s="11">
        <v>10026200</v>
      </c>
      <c r="Y22" s="11">
        <v>10327000</v>
      </c>
    </row>
    <row r="23" spans="1:25" x14ac:dyDescent="0.3">
      <c r="C23" t="s">
        <v>148</v>
      </c>
      <c r="D23" t="s">
        <v>137</v>
      </c>
      <c r="E23">
        <v>0</v>
      </c>
      <c r="F23">
        <v>199331</v>
      </c>
      <c r="G23">
        <v>485281</v>
      </c>
      <c r="H23">
        <v>499839</v>
      </c>
      <c r="I23">
        <v>514835</v>
      </c>
      <c r="J23">
        <v>530280</v>
      </c>
      <c r="K23">
        <v>546188</v>
      </c>
      <c r="L23">
        <v>562574</v>
      </c>
      <c r="M23">
        <v>579451</v>
      </c>
      <c r="N23">
        <v>596834</v>
      </c>
      <c r="O23">
        <v>614739</v>
      </c>
      <c r="P23">
        <v>633182</v>
      </c>
      <c r="Q23">
        <v>652177</v>
      </c>
      <c r="R23">
        <v>671742</v>
      </c>
      <c r="S23">
        <v>691895</v>
      </c>
      <c r="T23">
        <v>712651</v>
      </c>
      <c r="U23">
        <v>734031</v>
      </c>
      <c r="V23">
        <v>756052</v>
      </c>
      <c r="W23">
        <v>778733</v>
      </c>
      <c r="X23">
        <v>802095</v>
      </c>
      <c r="Y23">
        <v>826158</v>
      </c>
    </row>
    <row r="24" spans="1:25" x14ac:dyDescent="0.3">
      <c r="C24" s="12" t="s">
        <v>149</v>
      </c>
      <c r="D24" s="12" t="s">
        <v>128</v>
      </c>
      <c r="E24">
        <v>0</v>
      </c>
      <c r="F24" s="11">
        <v>-25151100</v>
      </c>
      <c r="G24" s="11">
        <v>11574000</v>
      </c>
      <c r="H24" s="11">
        <v>12283700</v>
      </c>
      <c r="I24" s="11">
        <v>13032900</v>
      </c>
      <c r="J24" s="11">
        <v>13823500</v>
      </c>
      <c r="K24" s="11">
        <v>14657900</v>
      </c>
      <c r="L24" s="11">
        <v>15538300</v>
      </c>
      <c r="M24" s="11">
        <v>16467100</v>
      </c>
      <c r="N24" s="11">
        <v>17446900</v>
      </c>
      <c r="O24" s="11">
        <v>18480400</v>
      </c>
      <c r="P24" s="11">
        <v>19570400</v>
      </c>
      <c r="Q24" s="11">
        <v>20719800</v>
      </c>
      <c r="R24" s="11">
        <v>21931900</v>
      </c>
      <c r="S24" s="11">
        <v>23209900</v>
      </c>
      <c r="T24" s="11">
        <v>24557200</v>
      </c>
      <c r="U24" s="11">
        <v>25977500</v>
      </c>
      <c r="V24" s="11">
        <v>27474500</v>
      </c>
      <c r="W24" s="11">
        <v>29052400</v>
      </c>
      <c r="X24" s="11">
        <v>30715300</v>
      </c>
      <c r="Y24" s="11">
        <v>32467600</v>
      </c>
    </row>
    <row r="25" spans="1:25" x14ac:dyDescent="0.3">
      <c r="C25" s="4"/>
      <c r="D25" s="4"/>
      <c r="E25" s="4"/>
      <c r="F25" s="4"/>
      <c r="G25" s="13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</row>
    <row r="26" spans="1:25" x14ac:dyDescent="0.3">
      <c r="C26" t="s">
        <v>150</v>
      </c>
      <c r="D26" t="s">
        <v>128</v>
      </c>
      <c r="E26">
        <v>0</v>
      </c>
      <c r="F26">
        <v>838969</v>
      </c>
      <c r="G26">
        <v>838969</v>
      </c>
      <c r="H26">
        <v>838969</v>
      </c>
      <c r="I26">
        <v>838969</v>
      </c>
      <c r="J26">
        <v>838969</v>
      </c>
      <c r="K26">
        <v>838969</v>
      </c>
      <c r="L26">
        <v>838969</v>
      </c>
      <c r="M26">
        <v>838969</v>
      </c>
      <c r="N26">
        <v>838969</v>
      </c>
      <c r="O26">
        <v>838969</v>
      </c>
      <c r="P26">
        <v>838969</v>
      </c>
      <c r="Q26">
        <v>838969</v>
      </c>
      <c r="R26">
        <v>838969</v>
      </c>
      <c r="S26">
        <v>838969</v>
      </c>
      <c r="T26">
        <v>838969</v>
      </c>
      <c r="U26">
        <v>838969</v>
      </c>
      <c r="V26">
        <v>838969</v>
      </c>
      <c r="W26">
        <v>838969</v>
      </c>
      <c r="X26">
        <v>838969</v>
      </c>
      <c r="Y26">
        <v>838969</v>
      </c>
    </row>
    <row r="27" spans="1:25" x14ac:dyDescent="0.3">
      <c r="C27" t="s">
        <v>151</v>
      </c>
      <c r="D27" t="s">
        <v>128</v>
      </c>
      <c r="E27">
        <v>0</v>
      </c>
      <c r="F27" s="11">
        <v>-25990100</v>
      </c>
      <c r="G27" s="11">
        <v>10735000</v>
      </c>
      <c r="H27" s="11">
        <v>11444800</v>
      </c>
      <c r="I27" s="11">
        <v>12193900</v>
      </c>
      <c r="J27" s="11">
        <v>12984600</v>
      </c>
      <c r="K27" s="11">
        <v>13818900</v>
      </c>
      <c r="L27" s="11">
        <v>14699300</v>
      </c>
      <c r="M27" s="11">
        <v>15628100</v>
      </c>
      <c r="N27" s="11">
        <v>16607900</v>
      </c>
      <c r="O27" s="11">
        <v>17641400</v>
      </c>
      <c r="P27" s="11">
        <v>18731400</v>
      </c>
      <c r="Q27" s="11">
        <v>19880900</v>
      </c>
      <c r="R27" s="11">
        <v>21092900</v>
      </c>
      <c r="S27" s="11">
        <v>22370900</v>
      </c>
      <c r="T27" s="11">
        <v>23718200</v>
      </c>
      <c r="U27" s="11">
        <v>25138500</v>
      </c>
      <c r="V27" s="11">
        <v>26635600</v>
      </c>
      <c r="W27" s="11">
        <v>28213400</v>
      </c>
      <c r="X27" s="11">
        <v>29876300</v>
      </c>
      <c r="Y27" s="11">
        <v>31628600</v>
      </c>
    </row>
    <row r="28" spans="1:25" x14ac:dyDescent="0.3">
      <c r="C28" t="s">
        <v>152</v>
      </c>
      <c r="D28" t="s">
        <v>128</v>
      </c>
      <c r="E28">
        <v>0</v>
      </c>
      <c r="F28">
        <v>0</v>
      </c>
      <c r="G28" s="11">
        <v>4294020</v>
      </c>
      <c r="H28" s="11">
        <v>4577910</v>
      </c>
      <c r="I28" s="11">
        <v>4877570</v>
      </c>
      <c r="J28" s="11">
        <v>5193830</v>
      </c>
      <c r="K28" s="11">
        <v>5527570</v>
      </c>
      <c r="L28" s="11">
        <v>5879720</v>
      </c>
      <c r="M28" s="11">
        <v>6251240</v>
      </c>
      <c r="N28" s="11">
        <v>6643160</v>
      </c>
      <c r="O28" s="11">
        <v>7056560</v>
      </c>
      <c r="P28" s="11">
        <v>7492550</v>
      </c>
      <c r="Q28" s="11">
        <v>7952350</v>
      </c>
      <c r="R28" s="11">
        <v>8437180</v>
      </c>
      <c r="S28" s="11">
        <v>8948360</v>
      </c>
      <c r="T28" s="11">
        <v>9487290</v>
      </c>
      <c r="U28" s="11">
        <v>10055400</v>
      </c>
      <c r="V28" s="11">
        <v>10654200</v>
      </c>
      <c r="W28" s="11">
        <v>11285400</v>
      </c>
      <c r="X28" s="11">
        <v>11950500</v>
      </c>
      <c r="Y28" s="11">
        <v>12651400</v>
      </c>
    </row>
    <row r="29" spans="1:25" x14ac:dyDescent="0.3">
      <c r="C29" t="s">
        <v>153</v>
      </c>
      <c r="D29" t="s">
        <v>128</v>
      </c>
      <c r="E29">
        <v>0</v>
      </c>
      <c r="F29" s="11">
        <v>-25990100</v>
      </c>
      <c r="G29" s="11">
        <v>6441030</v>
      </c>
      <c r="H29" s="11">
        <v>6866870</v>
      </c>
      <c r="I29" s="11">
        <v>7316350</v>
      </c>
      <c r="J29" s="11">
        <v>7790740</v>
      </c>
      <c r="K29" s="11">
        <v>8291350</v>
      </c>
      <c r="L29" s="11">
        <v>8819570</v>
      </c>
      <c r="M29" s="11">
        <v>9376860</v>
      </c>
      <c r="N29" s="11">
        <v>9964740</v>
      </c>
      <c r="O29" s="11">
        <v>10584800</v>
      </c>
      <c r="P29" s="11">
        <v>11238800</v>
      </c>
      <c r="Q29" s="11">
        <v>11928500</v>
      </c>
      <c r="R29" s="11">
        <v>12655800</v>
      </c>
      <c r="S29" s="11">
        <v>13422500</v>
      </c>
      <c r="T29" s="11">
        <v>14230900</v>
      </c>
      <c r="U29" s="11">
        <v>15083100</v>
      </c>
      <c r="V29" s="11">
        <v>15981300</v>
      </c>
      <c r="W29" s="11">
        <v>16928000</v>
      </c>
      <c r="X29" s="11">
        <v>17925800</v>
      </c>
      <c r="Y29" s="11">
        <v>18977200</v>
      </c>
    </row>
    <row r="30" spans="1:25" x14ac:dyDescent="0.3">
      <c r="C30" t="s">
        <v>154</v>
      </c>
      <c r="D30" t="s">
        <v>128</v>
      </c>
      <c r="E30">
        <v>0</v>
      </c>
      <c r="F30" s="11">
        <v>-25151100</v>
      </c>
      <c r="G30" s="11">
        <v>7280000</v>
      </c>
      <c r="H30" s="11">
        <v>7705840</v>
      </c>
      <c r="I30" s="11">
        <v>8155320</v>
      </c>
      <c r="J30" s="11">
        <v>8629710</v>
      </c>
      <c r="K30" s="11">
        <v>9130320</v>
      </c>
      <c r="L30" s="11">
        <v>9658540</v>
      </c>
      <c r="M30" s="11">
        <v>10215800</v>
      </c>
      <c r="N30" s="11">
        <v>10803700</v>
      </c>
      <c r="O30" s="11">
        <v>11423800</v>
      </c>
      <c r="P30" s="11">
        <v>12077800</v>
      </c>
      <c r="Q30" s="11">
        <v>12767500</v>
      </c>
      <c r="R30" s="11">
        <v>13494700</v>
      </c>
      <c r="S30" s="11">
        <v>14261500</v>
      </c>
      <c r="T30" s="11">
        <v>15069900</v>
      </c>
      <c r="U30" s="11">
        <v>15922100</v>
      </c>
      <c r="V30" s="11">
        <v>16820300</v>
      </c>
      <c r="W30" s="11">
        <v>17767000</v>
      </c>
      <c r="X30" s="11">
        <v>18764700</v>
      </c>
      <c r="Y30" s="11">
        <v>19816100</v>
      </c>
    </row>
    <row r="31" spans="1:25" x14ac:dyDescent="0.3">
      <c r="C31" t="s">
        <v>155</v>
      </c>
      <c r="D31" t="s">
        <v>128</v>
      </c>
      <c r="E31">
        <v>0</v>
      </c>
      <c r="F31" s="11">
        <v>25815100</v>
      </c>
      <c r="G31" s="11">
        <v>6551290</v>
      </c>
      <c r="H31" s="11">
        <v>6747830</v>
      </c>
      <c r="I31" s="11">
        <v>6950270</v>
      </c>
      <c r="J31" s="11">
        <v>7158770</v>
      </c>
      <c r="K31" s="11">
        <v>7373540</v>
      </c>
      <c r="L31" s="11">
        <v>7594740</v>
      </c>
      <c r="M31" s="11">
        <v>7822590</v>
      </c>
      <c r="N31" s="11">
        <v>8057260</v>
      </c>
      <c r="O31" s="11">
        <v>8298980</v>
      </c>
      <c r="P31" s="11">
        <v>8547950</v>
      </c>
      <c r="Q31" s="11">
        <v>8804390</v>
      </c>
      <c r="R31" s="11">
        <v>9068520</v>
      </c>
      <c r="S31" s="11">
        <v>9340580</v>
      </c>
      <c r="T31" s="11">
        <v>9620790</v>
      </c>
      <c r="U31" s="11">
        <v>9909420</v>
      </c>
      <c r="V31" s="11">
        <v>10206700</v>
      </c>
      <c r="W31" s="11">
        <v>10512900</v>
      </c>
      <c r="X31" s="11">
        <v>10828300</v>
      </c>
      <c r="Y31" s="11">
        <v>11153100</v>
      </c>
    </row>
    <row r="32" spans="1:25" x14ac:dyDescent="0.3">
      <c r="C32" s="12" t="s">
        <v>156</v>
      </c>
      <c r="D32" t="s">
        <v>128</v>
      </c>
      <c r="E32">
        <v>0</v>
      </c>
      <c r="F32" s="11">
        <v>-25151100</v>
      </c>
      <c r="G32" s="11">
        <v>7280000</v>
      </c>
      <c r="H32" s="11">
        <v>7705840</v>
      </c>
      <c r="I32" s="11">
        <v>8155320</v>
      </c>
      <c r="J32" s="11">
        <v>8629710</v>
      </c>
      <c r="K32" s="11">
        <v>9130320</v>
      </c>
      <c r="L32" s="11">
        <v>9658540</v>
      </c>
      <c r="M32" s="11">
        <v>10215800</v>
      </c>
      <c r="N32" s="11">
        <v>10803700</v>
      </c>
      <c r="O32" s="11">
        <v>11423800</v>
      </c>
      <c r="P32" s="11">
        <v>12077800</v>
      </c>
      <c r="Q32" s="11">
        <v>12767500</v>
      </c>
      <c r="R32" s="11">
        <v>13494700</v>
      </c>
      <c r="S32" s="11">
        <v>14261500</v>
      </c>
      <c r="T32" s="11">
        <v>15069900</v>
      </c>
      <c r="U32" s="11">
        <v>15922100</v>
      </c>
      <c r="V32" s="11">
        <v>16820300</v>
      </c>
      <c r="W32" s="11">
        <v>17767000</v>
      </c>
      <c r="X32" s="11">
        <v>18764700</v>
      </c>
      <c r="Y32" s="11">
        <v>25059700</v>
      </c>
    </row>
    <row r="33" spans="7:25" x14ac:dyDescent="0.3"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</row>
    <row r="68" spans="6:13" x14ac:dyDescent="0.3">
      <c r="F68" s="11"/>
    </row>
    <row r="73" spans="6:13" x14ac:dyDescent="0.3">
      <c r="F73" s="11"/>
      <c r="G73" s="11"/>
      <c r="H73" s="11"/>
      <c r="I73" s="11"/>
      <c r="J73" s="11"/>
      <c r="K73" s="11"/>
      <c r="L73" s="11"/>
      <c r="M73" s="11"/>
    </row>
    <row r="74" spans="6:13" x14ac:dyDescent="0.3">
      <c r="F74" s="11"/>
    </row>
    <row r="79" spans="6:13" x14ac:dyDescent="0.3">
      <c r="F79" s="11"/>
    </row>
    <row r="80" spans="6:13" x14ac:dyDescent="0.3">
      <c r="F80" s="11"/>
      <c r="G80" s="11"/>
      <c r="H80" s="11"/>
      <c r="I80" s="11"/>
      <c r="J80" s="11"/>
      <c r="K80" s="11"/>
      <c r="L80" s="11"/>
      <c r="M80" s="11"/>
    </row>
    <row r="81" spans="5:25" x14ac:dyDescent="0.3"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</row>
    <row r="82" spans="5:25" x14ac:dyDescent="0.3">
      <c r="F82" s="11"/>
      <c r="G82" s="11"/>
      <c r="H82" s="11"/>
      <c r="I82" s="11"/>
      <c r="J82" s="11"/>
      <c r="K82" s="11"/>
      <c r="L82" s="11"/>
      <c r="M82" s="11"/>
    </row>
    <row r="83" spans="5:25" x14ac:dyDescent="0.3">
      <c r="F83" s="11"/>
    </row>
    <row r="89" spans="5:25" x14ac:dyDescent="0.3">
      <c r="F89" s="11"/>
      <c r="G89" s="11"/>
    </row>
    <row r="90" spans="5:25" x14ac:dyDescent="0.3">
      <c r="F90" s="11"/>
      <c r="G90" s="11"/>
      <c r="H90" s="11"/>
      <c r="I90" s="11"/>
      <c r="J90" s="11"/>
      <c r="K90" s="11"/>
      <c r="L90" s="11"/>
      <c r="M90" s="11"/>
    </row>
    <row r="91" spans="5:25" x14ac:dyDescent="0.3"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</row>
    <row r="92" spans="5:25" x14ac:dyDescent="0.3">
      <c r="F92" s="11"/>
      <c r="G92" s="11"/>
      <c r="H92" s="11"/>
      <c r="I92" s="11"/>
      <c r="J92" s="11"/>
      <c r="K92" s="11"/>
      <c r="L92" s="11"/>
      <c r="M92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5D62A-4C0E-4310-8BAF-977043C02D29}">
  <sheetPr codeName="NPV"/>
  <dimension ref="A1:AB68"/>
  <sheetViews>
    <sheetView topLeftCell="F9" zoomScale="122" workbookViewId="0">
      <selection activeCell="F36" sqref="F36"/>
    </sheetView>
  </sheetViews>
  <sheetFormatPr defaultColWidth="8.88671875" defaultRowHeight="13.8" x14ac:dyDescent="0.3"/>
  <cols>
    <col min="1" max="1" width="45.6640625" style="21" customWidth="1"/>
    <col min="2" max="2" width="14.6640625" style="21" customWidth="1"/>
    <col min="3" max="3" width="11.109375" style="21" customWidth="1"/>
    <col min="4" max="6" width="8.88671875" style="21"/>
    <col min="7" max="7" width="24.6640625" style="21" customWidth="1"/>
    <col min="8" max="28" width="9.6640625" style="21" customWidth="1"/>
    <col min="29" max="16384" width="8.88671875" style="21"/>
  </cols>
  <sheetData>
    <row r="1" spans="1:28" x14ac:dyDescent="0.3">
      <c r="A1" s="87" t="s">
        <v>157</v>
      </c>
      <c r="B1" s="87"/>
      <c r="C1" s="87"/>
    </row>
    <row r="2" spans="1:28" x14ac:dyDescent="0.3">
      <c r="A2" s="22" t="s">
        <v>158</v>
      </c>
      <c r="B2" s="22" t="s">
        <v>159</v>
      </c>
      <c r="C2" s="22" t="s">
        <v>160</v>
      </c>
    </row>
    <row r="3" spans="1:28" x14ac:dyDescent="0.3">
      <c r="A3" s="22" t="s">
        <v>161</v>
      </c>
      <c r="B3" s="22" t="s">
        <v>162</v>
      </c>
      <c r="C3" s="22">
        <v>20</v>
      </c>
    </row>
    <row r="4" spans="1:28" x14ac:dyDescent="0.3">
      <c r="A4" s="22" t="s">
        <v>163</v>
      </c>
      <c r="B4" s="22" t="s">
        <v>164</v>
      </c>
      <c r="C4" s="23">
        <v>0.08</v>
      </c>
    </row>
    <row r="5" spans="1:28" x14ac:dyDescent="0.3">
      <c r="A5" s="22" t="s">
        <v>165</v>
      </c>
      <c r="B5" s="22" t="s">
        <v>166</v>
      </c>
      <c r="C5" s="23">
        <v>0.05</v>
      </c>
    </row>
    <row r="6" spans="1:28" x14ac:dyDescent="0.3">
      <c r="A6" s="22" t="s">
        <v>167</v>
      </c>
      <c r="B6" s="22" t="s">
        <v>166</v>
      </c>
      <c r="C6" s="23">
        <v>0.25</v>
      </c>
      <c r="G6" s="24" t="s">
        <v>168</v>
      </c>
      <c r="H6" s="24">
        <f>0</f>
        <v>0</v>
      </c>
      <c r="I6" s="25">
        <f t="shared" ref="I6:AB6" si="0">H6+1</f>
        <v>1</v>
      </c>
      <c r="J6" s="25">
        <f t="shared" si="0"/>
        <v>2</v>
      </c>
      <c r="K6" s="25">
        <f t="shared" si="0"/>
        <v>3</v>
      </c>
      <c r="L6" s="25">
        <f t="shared" si="0"/>
        <v>4</v>
      </c>
      <c r="M6" s="25">
        <f t="shared" si="0"/>
        <v>5</v>
      </c>
      <c r="N6" s="25">
        <f t="shared" si="0"/>
        <v>6</v>
      </c>
      <c r="O6" s="25">
        <f t="shared" si="0"/>
        <v>7</v>
      </c>
      <c r="P6" s="25">
        <f t="shared" si="0"/>
        <v>8</v>
      </c>
      <c r="Q6" s="25">
        <f t="shared" si="0"/>
        <v>9</v>
      </c>
      <c r="R6" s="25">
        <f t="shared" si="0"/>
        <v>10</v>
      </c>
      <c r="S6" s="25">
        <f t="shared" si="0"/>
        <v>11</v>
      </c>
      <c r="T6" s="25">
        <f t="shared" si="0"/>
        <v>12</v>
      </c>
      <c r="U6" s="25">
        <f t="shared" si="0"/>
        <v>13</v>
      </c>
      <c r="V6" s="25">
        <f t="shared" si="0"/>
        <v>14</v>
      </c>
      <c r="W6" s="25">
        <f t="shared" si="0"/>
        <v>15</v>
      </c>
      <c r="X6" s="25">
        <f t="shared" si="0"/>
        <v>16</v>
      </c>
      <c r="Y6" s="25">
        <f t="shared" si="0"/>
        <v>17</v>
      </c>
      <c r="Z6" s="25">
        <f t="shared" si="0"/>
        <v>18</v>
      </c>
      <c r="AA6" s="25">
        <f t="shared" si="0"/>
        <v>19</v>
      </c>
      <c r="AB6" s="25">
        <f t="shared" si="0"/>
        <v>20</v>
      </c>
    </row>
    <row r="7" spans="1:28" x14ac:dyDescent="0.3">
      <c r="A7" s="22" t="s">
        <v>169</v>
      </c>
      <c r="B7" s="22" t="s">
        <v>166</v>
      </c>
      <c r="C7" s="23">
        <v>0.5</v>
      </c>
      <c r="G7" s="26" t="s">
        <v>170</v>
      </c>
      <c r="H7" s="26"/>
      <c r="I7" s="27"/>
      <c r="J7" s="27"/>
      <c r="K7" s="27"/>
      <c r="L7" s="27"/>
      <c r="M7" s="27"/>
      <c r="N7" s="27"/>
      <c r="O7" s="27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</row>
    <row r="8" spans="1:28" x14ac:dyDescent="0.3">
      <c r="A8" s="22" t="s">
        <v>171</v>
      </c>
      <c r="B8" s="22" t="s">
        <v>166</v>
      </c>
      <c r="C8" s="28">
        <v>0.28100000000000003</v>
      </c>
      <c r="G8" s="29" t="s">
        <v>172</v>
      </c>
      <c r="H8" s="30">
        <v>0</v>
      </c>
      <c r="I8" s="30" t="e">
        <f>'OLD_Aspen Cash Flows'!F11+C32</f>
        <v>#REF!</v>
      </c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</row>
    <row r="9" spans="1:28" x14ac:dyDescent="0.3">
      <c r="A9" s="22" t="s">
        <v>173</v>
      </c>
      <c r="B9" s="22" t="s">
        <v>164</v>
      </c>
      <c r="C9" s="23">
        <v>0</v>
      </c>
      <c r="G9" s="29" t="s">
        <v>139</v>
      </c>
      <c r="H9" s="30">
        <v>0</v>
      </c>
      <c r="I9" s="30" t="e">
        <f>$C$5*I8</f>
        <v>#REF!</v>
      </c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</row>
    <row r="10" spans="1:28" x14ac:dyDescent="0.3">
      <c r="A10" s="22" t="s">
        <v>174</v>
      </c>
      <c r="B10" s="22" t="s">
        <v>175</v>
      </c>
      <c r="C10" s="22" t="s">
        <v>176</v>
      </c>
      <c r="G10" s="29" t="s">
        <v>177</v>
      </c>
      <c r="H10" s="30">
        <v>0</v>
      </c>
      <c r="I10" s="30" t="e">
        <f>SUM(I8:I9)</f>
        <v>#REF!</v>
      </c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</row>
    <row r="11" spans="1:28" x14ac:dyDescent="0.3">
      <c r="A11" s="22" t="s">
        <v>178</v>
      </c>
      <c r="B11" s="22" t="s">
        <v>166</v>
      </c>
      <c r="C11" s="23">
        <v>0.03</v>
      </c>
      <c r="G11" s="26" t="s">
        <v>179</v>
      </c>
      <c r="H11" s="27"/>
      <c r="I11" s="27" t="s">
        <v>180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</row>
    <row r="12" spans="1:28" x14ac:dyDescent="0.3">
      <c r="A12" s="22" t="s">
        <v>181</v>
      </c>
      <c r="B12" s="22" t="s">
        <v>166</v>
      </c>
      <c r="C12" s="28">
        <v>3.5000000000000003E-2</v>
      </c>
      <c r="G12" s="29" t="s">
        <v>182</v>
      </c>
      <c r="H12" s="30">
        <v>0</v>
      </c>
      <c r="I12" s="30">
        <f>J12/2.43</f>
        <v>0</v>
      </c>
      <c r="J12" s="30">
        <f>C33</f>
        <v>0</v>
      </c>
      <c r="K12" s="30">
        <f>(1+$C$13)*J12</f>
        <v>0</v>
      </c>
      <c r="L12" s="30">
        <f t="shared" ref="L12:AB12" si="1">(1+$C$13)*K12</f>
        <v>0</v>
      </c>
      <c r="M12" s="30">
        <f t="shared" si="1"/>
        <v>0</v>
      </c>
      <c r="N12" s="30">
        <f t="shared" si="1"/>
        <v>0</v>
      </c>
      <c r="O12" s="30">
        <f t="shared" si="1"/>
        <v>0</v>
      </c>
      <c r="P12" s="30">
        <f t="shared" si="1"/>
        <v>0</v>
      </c>
      <c r="Q12" s="30">
        <f t="shared" si="1"/>
        <v>0</v>
      </c>
      <c r="R12" s="30">
        <f t="shared" si="1"/>
        <v>0</v>
      </c>
      <c r="S12" s="30">
        <f t="shared" si="1"/>
        <v>0</v>
      </c>
      <c r="T12" s="30">
        <f t="shared" si="1"/>
        <v>0</v>
      </c>
      <c r="U12" s="30">
        <f t="shared" si="1"/>
        <v>0</v>
      </c>
      <c r="V12" s="30">
        <f t="shared" si="1"/>
        <v>0</v>
      </c>
      <c r="W12" s="30">
        <f t="shared" si="1"/>
        <v>0</v>
      </c>
      <c r="X12" s="30">
        <f t="shared" si="1"/>
        <v>0</v>
      </c>
      <c r="Y12" s="30">
        <f t="shared" si="1"/>
        <v>0</v>
      </c>
      <c r="Z12" s="30">
        <f t="shared" si="1"/>
        <v>0</v>
      </c>
      <c r="AA12" s="30">
        <f t="shared" si="1"/>
        <v>0</v>
      </c>
      <c r="AB12" s="30">
        <f t="shared" si="1"/>
        <v>0</v>
      </c>
    </row>
    <row r="13" spans="1:28" x14ac:dyDescent="0.3">
      <c r="A13" s="22" t="s">
        <v>183</v>
      </c>
      <c r="B13" s="22" t="s">
        <v>166</v>
      </c>
      <c r="C13" s="23">
        <v>0.03</v>
      </c>
      <c r="G13" s="29" t="s">
        <v>144</v>
      </c>
      <c r="H13" s="30">
        <v>0</v>
      </c>
      <c r="I13" s="30">
        <f>J13/2.43</f>
        <v>0</v>
      </c>
      <c r="J13" s="30">
        <f>C34</f>
        <v>0</v>
      </c>
      <c r="K13" s="30">
        <f>(1+$C$14)*J13</f>
        <v>0</v>
      </c>
      <c r="L13" s="30">
        <f t="shared" ref="L13:AB13" si="2">(1+$C$14)*K13</f>
        <v>0</v>
      </c>
      <c r="M13" s="30">
        <f t="shared" si="2"/>
        <v>0</v>
      </c>
      <c r="N13" s="30">
        <f t="shared" si="2"/>
        <v>0</v>
      </c>
      <c r="O13" s="30">
        <f t="shared" si="2"/>
        <v>0</v>
      </c>
      <c r="P13" s="30">
        <f t="shared" si="2"/>
        <v>0</v>
      </c>
      <c r="Q13" s="30">
        <f t="shared" si="2"/>
        <v>0</v>
      </c>
      <c r="R13" s="30">
        <f t="shared" si="2"/>
        <v>0</v>
      </c>
      <c r="S13" s="30">
        <f t="shared" si="2"/>
        <v>0</v>
      </c>
      <c r="T13" s="30">
        <f t="shared" si="2"/>
        <v>0</v>
      </c>
      <c r="U13" s="30">
        <f t="shared" si="2"/>
        <v>0</v>
      </c>
      <c r="V13" s="30">
        <f t="shared" si="2"/>
        <v>0</v>
      </c>
      <c r="W13" s="30">
        <f t="shared" si="2"/>
        <v>0</v>
      </c>
      <c r="X13" s="30">
        <f t="shared" si="2"/>
        <v>0</v>
      </c>
      <c r="Y13" s="30">
        <f t="shared" si="2"/>
        <v>0</v>
      </c>
      <c r="Z13" s="30">
        <f t="shared" si="2"/>
        <v>0</v>
      </c>
      <c r="AA13" s="30">
        <f t="shared" si="2"/>
        <v>0</v>
      </c>
      <c r="AB13" s="30">
        <f t="shared" si="2"/>
        <v>0</v>
      </c>
    </row>
    <row r="14" spans="1:28" x14ac:dyDescent="0.3">
      <c r="A14" s="22" t="s">
        <v>184</v>
      </c>
      <c r="B14" s="22" t="s">
        <v>166</v>
      </c>
      <c r="C14" s="23">
        <v>0.03</v>
      </c>
      <c r="G14" s="29" t="s">
        <v>185</v>
      </c>
      <c r="H14" s="30">
        <v>0</v>
      </c>
      <c r="I14" s="30">
        <f>$C$6*I12*0.75</f>
        <v>0</v>
      </c>
      <c r="J14" s="30">
        <f t="shared" ref="J14:AB14" si="3">$C$6*J12*0.75</f>
        <v>0</v>
      </c>
      <c r="K14" s="30">
        <f t="shared" si="3"/>
        <v>0</v>
      </c>
      <c r="L14" s="30">
        <f t="shared" si="3"/>
        <v>0</v>
      </c>
      <c r="M14" s="30">
        <f t="shared" si="3"/>
        <v>0</v>
      </c>
      <c r="N14" s="30">
        <f t="shared" si="3"/>
        <v>0</v>
      </c>
      <c r="O14" s="30">
        <f t="shared" si="3"/>
        <v>0</v>
      </c>
      <c r="P14" s="30">
        <f t="shared" si="3"/>
        <v>0</v>
      </c>
      <c r="Q14" s="30">
        <f t="shared" si="3"/>
        <v>0</v>
      </c>
      <c r="R14" s="30">
        <f t="shared" si="3"/>
        <v>0</v>
      </c>
      <c r="S14" s="30">
        <f t="shared" si="3"/>
        <v>0</v>
      </c>
      <c r="T14" s="30">
        <f t="shared" si="3"/>
        <v>0</v>
      </c>
      <c r="U14" s="30">
        <f t="shared" si="3"/>
        <v>0</v>
      </c>
      <c r="V14" s="30">
        <f t="shared" si="3"/>
        <v>0</v>
      </c>
      <c r="W14" s="30">
        <f t="shared" si="3"/>
        <v>0</v>
      </c>
      <c r="X14" s="30">
        <f t="shared" si="3"/>
        <v>0</v>
      </c>
      <c r="Y14" s="30">
        <f t="shared" si="3"/>
        <v>0</v>
      </c>
      <c r="Z14" s="30">
        <f t="shared" si="3"/>
        <v>0</v>
      </c>
      <c r="AA14" s="30">
        <f t="shared" si="3"/>
        <v>0</v>
      </c>
      <c r="AB14" s="30">
        <f t="shared" si="3"/>
        <v>0</v>
      </c>
    </row>
    <row r="15" spans="1:28" x14ac:dyDescent="0.3">
      <c r="A15" s="22" t="s">
        <v>186</v>
      </c>
      <c r="B15" s="22" t="s">
        <v>187</v>
      </c>
      <c r="C15" s="22">
        <v>0.03</v>
      </c>
      <c r="G15" s="29" t="s">
        <v>146</v>
      </c>
      <c r="H15" s="30">
        <v>0</v>
      </c>
      <c r="I15" s="30">
        <f>$C$7*I12*0.75</f>
        <v>0</v>
      </c>
      <c r="J15" s="30">
        <f t="shared" ref="J15:AB15" si="4">$C$7*J12*0.75</f>
        <v>0</v>
      </c>
      <c r="K15" s="30">
        <f t="shared" si="4"/>
        <v>0</v>
      </c>
      <c r="L15" s="30">
        <f t="shared" si="4"/>
        <v>0</v>
      </c>
      <c r="M15" s="30">
        <f t="shared" si="4"/>
        <v>0</v>
      </c>
      <c r="N15" s="30">
        <f t="shared" si="4"/>
        <v>0</v>
      </c>
      <c r="O15" s="30">
        <f t="shared" si="4"/>
        <v>0</v>
      </c>
      <c r="P15" s="30">
        <f t="shared" si="4"/>
        <v>0</v>
      </c>
      <c r="Q15" s="30">
        <f t="shared" si="4"/>
        <v>0</v>
      </c>
      <c r="R15" s="30">
        <f t="shared" si="4"/>
        <v>0</v>
      </c>
      <c r="S15" s="30">
        <f t="shared" si="4"/>
        <v>0</v>
      </c>
      <c r="T15" s="30">
        <f t="shared" si="4"/>
        <v>0</v>
      </c>
      <c r="U15" s="30">
        <f t="shared" si="4"/>
        <v>0</v>
      </c>
      <c r="V15" s="30">
        <f t="shared" si="4"/>
        <v>0</v>
      </c>
      <c r="W15" s="30">
        <f t="shared" si="4"/>
        <v>0</v>
      </c>
      <c r="X15" s="30">
        <f t="shared" si="4"/>
        <v>0</v>
      </c>
      <c r="Y15" s="30">
        <f t="shared" si="4"/>
        <v>0</v>
      </c>
      <c r="Z15" s="30">
        <f t="shared" si="4"/>
        <v>0</v>
      </c>
      <c r="AA15" s="30">
        <f t="shared" si="4"/>
        <v>0</v>
      </c>
      <c r="AB15" s="30">
        <f t="shared" si="4"/>
        <v>0</v>
      </c>
    </row>
    <row r="16" spans="1:28" x14ac:dyDescent="0.3">
      <c r="G16" s="29" t="s">
        <v>188</v>
      </c>
      <c r="H16" s="30">
        <v>0</v>
      </c>
      <c r="I16" s="30">
        <v>2690970</v>
      </c>
      <c r="J16" s="30">
        <v>6551290</v>
      </c>
      <c r="K16" s="30">
        <v>6747830</v>
      </c>
      <c r="L16" s="30">
        <v>6950270</v>
      </c>
      <c r="M16" s="30">
        <v>7158770</v>
      </c>
      <c r="N16" s="30">
        <v>7373540</v>
      </c>
      <c r="O16" s="30">
        <v>7594740</v>
      </c>
      <c r="P16" s="30">
        <v>7822590</v>
      </c>
      <c r="Q16" s="30">
        <v>8057260</v>
      </c>
      <c r="R16" s="30">
        <v>8298980</v>
      </c>
      <c r="S16" s="30">
        <v>8547950</v>
      </c>
      <c r="T16" s="30">
        <v>8804390</v>
      </c>
      <c r="U16" s="30">
        <v>9068520</v>
      </c>
      <c r="V16" s="30">
        <v>9340580</v>
      </c>
      <c r="W16" s="30">
        <v>9620790</v>
      </c>
      <c r="X16" s="30">
        <v>9909420</v>
      </c>
      <c r="Y16" s="30">
        <v>10206700</v>
      </c>
      <c r="Z16" s="30">
        <v>10512900</v>
      </c>
      <c r="AA16" s="30">
        <v>10828300</v>
      </c>
      <c r="AB16" s="30">
        <v>11153100</v>
      </c>
    </row>
    <row r="17" spans="1:28" x14ac:dyDescent="0.3">
      <c r="G17" s="29" t="s">
        <v>189</v>
      </c>
      <c r="H17" s="30">
        <f t="shared" ref="H17:AB17" si="5">SUM(H12:H16)</f>
        <v>0</v>
      </c>
      <c r="I17" s="30">
        <f t="shared" si="5"/>
        <v>2690970</v>
      </c>
      <c r="J17" s="30">
        <f t="shared" si="5"/>
        <v>6551290</v>
      </c>
      <c r="K17" s="30">
        <f t="shared" si="5"/>
        <v>6747830</v>
      </c>
      <c r="L17" s="30">
        <f t="shared" si="5"/>
        <v>6950270</v>
      </c>
      <c r="M17" s="30">
        <f t="shared" si="5"/>
        <v>7158770</v>
      </c>
      <c r="N17" s="30">
        <f t="shared" si="5"/>
        <v>7373540</v>
      </c>
      <c r="O17" s="30">
        <f t="shared" si="5"/>
        <v>7594740</v>
      </c>
      <c r="P17" s="30">
        <f t="shared" si="5"/>
        <v>7822590</v>
      </c>
      <c r="Q17" s="30">
        <f t="shared" si="5"/>
        <v>8057260</v>
      </c>
      <c r="R17" s="30">
        <f t="shared" si="5"/>
        <v>8298980</v>
      </c>
      <c r="S17" s="30">
        <f t="shared" si="5"/>
        <v>8547950</v>
      </c>
      <c r="T17" s="30">
        <f t="shared" si="5"/>
        <v>8804390</v>
      </c>
      <c r="U17" s="30">
        <f t="shared" si="5"/>
        <v>9068520</v>
      </c>
      <c r="V17" s="30">
        <f t="shared" si="5"/>
        <v>9340580</v>
      </c>
      <c r="W17" s="30">
        <f t="shared" si="5"/>
        <v>9620790</v>
      </c>
      <c r="X17" s="30">
        <f t="shared" si="5"/>
        <v>9909420</v>
      </c>
      <c r="Y17" s="30">
        <f t="shared" si="5"/>
        <v>10206700</v>
      </c>
      <c r="Z17" s="30">
        <f t="shared" si="5"/>
        <v>10512900</v>
      </c>
      <c r="AA17" s="30">
        <f t="shared" si="5"/>
        <v>10828300</v>
      </c>
      <c r="AB17" s="30">
        <f t="shared" si="5"/>
        <v>11153100</v>
      </c>
    </row>
    <row r="18" spans="1:28" x14ac:dyDescent="0.3">
      <c r="G18" s="26" t="s">
        <v>190</v>
      </c>
      <c r="H18" s="27"/>
      <c r="I18" s="27" t="s">
        <v>191</v>
      </c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</row>
    <row r="19" spans="1:28" x14ac:dyDescent="0.3">
      <c r="A19" s="88" t="s">
        <v>192</v>
      </c>
      <c r="B19" s="88"/>
      <c r="C19" s="88"/>
      <c r="G19" s="29" t="s">
        <v>126</v>
      </c>
      <c r="H19" s="30">
        <v>0</v>
      </c>
      <c r="I19" s="30">
        <f>J19/2.73</f>
        <v>7942308.3021978037</v>
      </c>
      <c r="J19" s="30">
        <f>(1+2*$C$11)*C25</f>
        <v>21682501.665000003</v>
      </c>
      <c r="K19" s="30">
        <f t="shared" ref="K19:AB19" si="6">J19*(1+$C$11)</f>
        <v>22332976.714950003</v>
      </c>
      <c r="L19" s="30">
        <f t="shared" si="6"/>
        <v>23002966.016398504</v>
      </c>
      <c r="M19" s="30">
        <f t="shared" si="6"/>
        <v>23693054.996890459</v>
      </c>
      <c r="N19" s="30">
        <f t="shared" si="6"/>
        <v>24403846.646797173</v>
      </c>
      <c r="O19" s="30">
        <f t="shared" si="6"/>
        <v>25135962.046201088</v>
      </c>
      <c r="P19" s="30">
        <f t="shared" si="6"/>
        <v>25890040.907587122</v>
      </c>
      <c r="Q19" s="30">
        <f t="shared" si="6"/>
        <v>26666742.134814736</v>
      </c>
      <c r="R19" s="30">
        <f t="shared" si="6"/>
        <v>27466744.398859177</v>
      </c>
      <c r="S19" s="30">
        <f t="shared" si="6"/>
        <v>28290746.730824951</v>
      </c>
      <c r="T19" s="30">
        <f t="shared" si="6"/>
        <v>29139469.132749699</v>
      </c>
      <c r="U19" s="30">
        <f t="shared" si="6"/>
        <v>30013653.206732191</v>
      </c>
      <c r="V19" s="30">
        <f t="shared" si="6"/>
        <v>30914062.802934159</v>
      </c>
      <c r="W19" s="30">
        <f t="shared" si="6"/>
        <v>31841484.687022183</v>
      </c>
      <c r="X19" s="30">
        <f t="shared" si="6"/>
        <v>32796729.22763285</v>
      </c>
      <c r="Y19" s="30">
        <f t="shared" si="6"/>
        <v>33780631.104461834</v>
      </c>
      <c r="Z19" s="30">
        <f t="shared" si="6"/>
        <v>34794050.037595689</v>
      </c>
      <c r="AA19" s="30">
        <f t="shared" si="6"/>
        <v>35837871.538723558</v>
      </c>
      <c r="AB19" s="30">
        <f t="shared" si="6"/>
        <v>36913007.684885263</v>
      </c>
    </row>
    <row r="20" spans="1:28" x14ac:dyDescent="0.3">
      <c r="A20" s="22" t="s">
        <v>158</v>
      </c>
      <c r="B20" s="22" t="s">
        <v>159</v>
      </c>
      <c r="C20" s="22" t="s">
        <v>160</v>
      </c>
      <c r="G20" s="29" t="s">
        <v>193</v>
      </c>
      <c r="H20" s="30">
        <f t="shared" ref="H20:AB20" si="7">H19-H17</f>
        <v>0</v>
      </c>
      <c r="I20" s="30">
        <f t="shared" si="7"/>
        <v>5251338.3021978037</v>
      </c>
      <c r="J20" s="30">
        <f t="shared" si="7"/>
        <v>15131211.665000003</v>
      </c>
      <c r="K20" s="30">
        <f t="shared" si="7"/>
        <v>15585146.714950003</v>
      </c>
      <c r="L20" s="30">
        <f t="shared" si="7"/>
        <v>16052696.016398504</v>
      </c>
      <c r="M20" s="30">
        <f t="shared" si="7"/>
        <v>16534284.996890459</v>
      </c>
      <c r="N20" s="30">
        <f t="shared" si="7"/>
        <v>17030306.646797173</v>
      </c>
      <c r="O20" s="30">
        <f t="shared" si="7"/>
        <v>17541222.046201088</v>
      </c>
      <c r="P20" s="30">
        <f t="shared" si="7"/>
        <v>18067450.907587122</v>
      </c>
      <c r="Q20" s="30">
        <f t="shared" si="7"/>
        <v>18609482.134814736</v>
      </c>
      <c r="R20" s="30">
        <f t="shared" si="7"/>
        <v>19167764.398859177</v>
      </c>
      <c r="S20" s="30">
        <f t="shared" si="7"/>
        <v>19742796.730824951</v>
      </c>
      <c r="T20" s="30">
        <f t="shared" si="7"/>
        <v>20335079.132749699</v>
      </c>
      <c r="U20" s="30">
        <f t="shared" si="7"/>
        <v>20945133.206732191</v>
      </c>
      <c r="V20" s="30">
        <f t="shared" si="7"/>
        <v>21573482.802934159</v>
      </c>
      <c r="W20" s="30">
        <f t="shared" si="7"/>
        <v>22220694.687022183</v>
      </c>
      <c r="X20" s="30">
        <f t="shared" si="7"/>
        <v>22887309.22763285</v>
      </c>
      <c r="Y20" s="30">
        <f t="shared" si="7"/>
        <v>23573931.104461834</v>
      </c>
      <c r="Z20" s="30">
        <f t="shared" si="7"/>
        <v>24281150.037595689</v>
      </c>
      <c r="AA20" s="30">
        <f t="shared" si="7"/>
        <v>25009571.538723558</v>
      </c>
      <c r="AB20" s="30">
        <f t="shared" si="7"/>
        <v>25759907.684885263</v>
      </c>
    </row>
    <row r="21" spans="1:28" x14ac:dyDescent="0.3">
      <c r="A21" s="22" t="s">
        <v>194</v>
      </c>
      <c r="B21" s="22" t="s">
        <v>195</v>
      </c>
      <c r="C21" s="22">
        <f>840*1.25</f>
        <v>1050</v>
      </c>
      <c r="G21" s="26" t="s">
        <v>196</v>
      </c>
      <c r="H21" s="27"/>
      <c r="I21" s="27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</row>
    <row r="22" spans="1:28" x14ac:dyDescent="0.3">
      <c r="A22" s="22" t="s">
        <v>197</v>
      </c>
      <c r="B22" s="22" t="s">
        <v>195</v>
      </c>
      <c r="C22" s="22">
        <v>75</v>
      </c>
      <c r="G22" s="29" t="s">
        <v>198</v>
      </c>
      <c r="H22" s="30">
        <v>0</v>
      </c>
      <c r="I22" s="30" t="e">
        <f>(1-$C$9)*$I$8/$C$3</f>
        <v>#REF!</v>
      </c>
      <c r="J22" s="30" t="e">
        <f t="shared" ref="J22:AB22" si="8">(1-$C$9)*$I$8/$C$3</f>
        <v>#REF!</v>
      </c>
      <c r="K22" s="30" t="e">
        <f t="shared" si="8"/>
        <v>#REF!</v>
      </c>
      <c r="L22" s="30" t="e">
        <f t="shared" si="8"/>
        <v>#REF!</v>
      </c>
      <c r="M22" s="30" t="e">
        <f t="shared" si="8"/>
        <v>#REF!</v>
      </c>
      <c r="N22" s="30" t="e">
        <f t="shared" si="8"/>
        <v>#REF!</v>
      </c>
      <c r="O22" s="30" t="e">
        <f t="shared" si="8"/>
        <v>#REF!</v>
      </c>
      <c r="P22" s="30" t="e">
        <f t="shared" si="8"/>
        <v>#REF!</v>
      </c>
      <c r="Q22" s="30" t="e">
        <f t="shared" si="8"/>
        <v>#REF!</v>
      </c>
      <c r="R22" s="30" t="e">
        <f t="shared" si="8"/>
        <v>#REF!</v>
      </c>
      <c r="S22" s="30" t="e">
        <f t="shared" si="8"/>
        <v>#REF!</v>
      </c>
      <c r="T22" s="30" t="e">
        <f t="shared" si="8"/>
        <v>#REF!</v>
      </c>
      <c r="U22" s="30" t="e">
        <f t="shared" si="8"/>
        <v>#REF!</v>
      </c>
      <c r="V22" s="30" t="e">
        <f t="shared" si="8"/>
        <v>#REF!</v>
      </c>
      <c r="W22" s="30" t="e">
        <f t="shared" si="8"/>
        <v>#REF!</v>
      </c>
      <c r="X22" s="30" t="e">
        <f t="shared" si="8"/>
        <v>#REF!</v>
      </c>
      <c r="Y22" s="30" t="e">
        <f t="shared" si="8"/>
        <v>#REF!</v>
      </c>
      <c r="Z22" s="30" t="e">
        <f t="shared" si="8"/>
        <v>#REF!</v>
      </c>
      <c r="AA22" s="30" t="e">
        <f t="shared" si="8"/>
        <v>#REF!</v>
      </c>
      <c r="AB22" s="30" t="e">
        <f t="shared" si="8"/>
        <v>#REF!</v>
      </c>
    </row>
    <row r="23" spans="1:28" x14ac:dyDescent="0.3">
      <c r="A23" s="22" t="s">
        <v>199</v>
      </c>
      <c r="B23" s="22" t="s">
        <v>200</v>
      </c>
      <c r="C23" s="31">
        <v>19104.3</v>
      </c>
      <c r="G23" s="29" t="s">
        <v>201</v>
      </c>
      <c r="H23" s="30">
        <v>0</v>
      </c>
      <c r="I23" s="30" t="e">
        <f t="shared" ref="I23:AB23" si="9">I20-I22</f>
        <v>#REF!</v>
      </c>
      <c r="J23" s="30" t="e">
        <f t="shared" si="9"/>
        <v>#REF!</v>
      </c>
      <c r="K23" s="30" t="e">
        <f t="shared" si="9"/>
        <v>#REF!</v>
      </c>
      <c r="L23" s="30" t="e">
        <f t="shared" si="9"/>
        <v>#REF!</v>
      </c>
      <c r="M23" s="30" t="e">
        <f t="shared" si="9"/>
        <v>#REF!</v>
      </c>
      <c r="N23" s="30" t="e">
        <f t="shared" si="9"/>
        <v>#REF!</v>
      </c>
      <c r="O23" s="30" t="e">
        <f t="shared" si="9"/>
        <v>#REF!</v>
      </c>
      <c r="P23" s="30" t="e">
        <f t="shared" si="9"/>
        <v>#REF!</v>
      </c>
      <c r="Q23" s="30" t="e">
        <f t="shared" si="9"/>
        <v>#REF!</v>
      </c>
      <c r="R23" s="30" t="e">
        <f t="shared" si="9"/>
        <v>#REF!</v>
      </c>
      <c r="S23" s="30" t="e">
        <f t="shared" si="9"/>
        <v>#REF!</v>
      </c>
      <c r="T23" s="30" t="e">
        <f t="shared" si="9"/>
        <v>#REF!</v>
      </c>
      <c r="U23" s="30" t="e">
        <f t="shared" si="9"/>
        <v>#REF!</v>
      </c>
      <c r="V23" s="30" t="e">
        <f t="shared" si="9"/>
        <v>#REF!</v>
      </c>
      <c r="W23" s="30" t="e">
        <f t="shared" si="9"/>
        <v>#REF!</v>
      </c>
      <c r="X23" s="30" t="e">
        <f t="shared" si="9"/>
        <v>#REF!</v>
      </c>
      <c r="Y23" s="30" t="e">
        <f t="shared" si="9"/>
        <v>#REF!</v>
      </c>
      <c r="Z23" s="30" t="e">
        <f t="shared" si="9"/>
        <v>#REF!</v>
      </c>
      <c r="AA23" s="30" t="e">
        <f t="shared" si="9"/>
        <v>#REF!</v>
      </c>
      <c r="AB23" s="30" t="e">
        <f t="shared" si="9"/>
        <v>#REF!</v>
      </c>
    </row>
    <row r="24" spans="1:28" x14ac:dyDescent="0.3">
      <c r="A24" s="22" t="s">
        <v>202</v>
      </c>
      <c r="B24" s="22" t="s">
        <v>200</v>
      </c>
      <c r="C24" s="31">
        <v>5275.67</v>
      </c>
      <c r="G24" s="29" t="s">
        <v>203</v>
      </c>
      <c r="H24" s="30">
        <f>H23*$C$8</f>
        <v>0</v>
      </c>
      <c r="I24" s="30" t="e">
        <f t="shared" ref="I24:AB24" si="10">IF(I23&gt;0,I23*$C$8,0)</f>
        <v>#REF!</v>
      </c>
      <c r="J24" s="30" t="e">
        <f t="shared" si="10"/>
        <v>#REF!</v>
      </c>
      <c r="K24" s="30" t="e">
        <f t="shared" si="10"/>
        <v>#REF!</v>
      </c>
      <c r="L24" s="30" t="e">
        <f t="shared" si="10"/>
        <v>#REF!</v>
      </c>
      <c r="M24" s="30" t="e">
        <f t="shared" si="10"/>
        <v>#REF!</v>
      </c>
      <c r="N24" s="30" t="e">
        <f t="shared" si="10"/>
        <v>#REF!</v>
      </c>
      <c r="O24" s="30" t="e">
        <f t="shared" si="10"/>
        <v>#REF!</v>
      </c>
      <c r="P24" s="30" t="e">
        <f t="shared" si="10"/>
        <v>#REF!</v>
      </c>
      <c r="Q24" s="30" t="e">
        <f t="shared" si="10"/>
        <v>#REF!</v>
      </c>
      <c r="R24" s="30" t="e">
        <f t="shared" si="10"/>
        <v>#REF!</v>
      </c>
      <c r="S24" s="30" t="e">
        <f t="shared" si="10"/>
        <v>#REF!</v>
      </c>
      <c r="T24" s="30" t="e">
        <f t="shared" si="10"/>
        <v>#REF!</v>
      </c>
      <c r="U24" s="30" t="e">
        <f t="shared" si="10"/>
        <v>#REF!</v>
      </c>
      <c r="V24" s="30" t="e">
        <f t="shared" si="10"/>
        <v>#REF!</v>
      </c>
      <c r="W24" s="30" t="e">
        <f t="shared" si="10"/>
        <v>#REF!</v>
      </c>
      <c r="X24" s="30" t="e">
        <f t="shared" si="10"/>
        <v>#REF!</v>
      </c>
      <c r="Y24" s="30" t="e">
        <f t="shared" si="10"/>
        <v>#REF!</v>
      </c>
      <c r="Z24" s="30" t="e">
        <f t="shared" si="10"/>
        <v>#REF!</v>
      </c>
      <c r="AA24" s="30" t="e">
        <f t="shared" si="10"/>
        <v>#REF!</v>
      </c>
      <c r="AB24" s="30" t="e">
        <f t="shared" si="10"/>
        <v>#REF!</v>
      </c>
    </row>
    <row r="25" spans="1:28" x14ac:dyDescent="0.3">
      <c r="A25" s="22" t="s">
        <v>204</v>
      </c>
      <c r="B25" s="22" t="s">
        <v>205</v>
      </c>
      <c r="C25" s="31">
        <f>C21*C23+C22*C24</f>
        <v>20455190.25</v>
      </c>
      <c r="G25" s="26" t="s">
        <v>206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</row>
    <row r="26" spans="1:28" x14ac:dyDescent="0.3">
      <c r="G26" s="29" t="s">
        <v>207</v>
      </c>
      <c r="H26" s="30">
        <v>0</v>
      </c>
      <c r="I26" s="30" t="e">
        <f>-I10</f>
        <v>#REF!</v>
      </c>
      <c r="J26" s="30" t="e">
        <f>J20-J24</f>
        <v>#REF!</v>
      </c>
      <c r="K26" s="30" t="e">
        <f t="shared" ref="K26:AB26" si="11">K20-K24</f>
        <v>#REF!</v>
      </c>
      <c r="L26" s="30" t="e">
        <f t="shared" si="11"/>
        <v>#REF!</v>
      </c>
      <c r="M26" s="30" t="e">
        <f t="shared" si="11"/>
        <v>#REF!</v>
      </c>
      <c r="N26" s="30" t="e">
        <f t="shared" si="11"/>
        <v>#REF!</v>
      </c>
      <c r="O26" s="30" t="e">
        <f t="shared" si="11"/>
        <v>#REF!</v>
      </c>
      <c r="P26" s="30" t="e">
        <f t="shared" si="11"/>
        <v>#REF!</v>
      </c>
      <c r="Q26" s="30" t="e">
        <f t="shared" si="11"/>
        <v>#REF!</v>
      </c>
      <c r="R26" s="30" t="e">
        <f t="shared" si="11"/>
        <v>#REF!</v>
      </c>
      <c r="S26" s="30" t="e">
        <f t="shared" si="11"/>
        <v>#REF!</v>
      </c>
      <c r="T26" s="30" t="e">
        <f t="shared" si="11"/>
        <v>#REF!</v>
      </c>
      <c r="U26" s="30" t="e">
        <f t="shared" si="11"/>
        <v>#REF!</v>
      </c>
      <c r="V26" s="30" t="e">
        <f t="shared" si="11"/>
        <v>#REF!</v>
      </c>
      <c r="W26" s="30" t="e">
        <f t="shared" si="11"/>
        <v>#REF!</v>
      </c>
      <c r="X26" s="30" t="e">
        <f t="shared" si="11"/>
        <v>#REF!</v>
      </c>
      <c r="Y26" s="30" t="e">
        <f t="shared" si="11"/>
        <v>#REF!</v>
      </c>
      <c r="Z26" s="30" t="e">
        <f t="shared" si="11"/>
        <v>#REF!</v>
      </c>
      <c r="AA26" s="30" t="e">
        <f t="shared" si="11"/>
        <v>#REF!</v>
      </c>
      <c r="AB26" s="30" t="e">
        <f t="shared" si="11"/>
        <v>#REF!</v>
      </c>
    </row>
    <row r="27" spans="1:28" x14ac:dyDescent="0.3">
      <c r="G27" s="29" t="s">
        <v>208</v>
      </c>
      <c r="H27" s="30">
        <v>0</v>
      </c>
      <c r="I27" s="30" t="e">
        <f>SUM($I$26:I26)</f>
        <v>#REF!</v>
      </c>
      <c r="J27" s="30" t="e">
        <f>SUM($I$26:J26)</f>
        <v>#REF!</v>
      </c>
      <c r="K27" s="30" t="e">
        <f>SUM($I$26:K26)</f>
        <v>#REF!</v>
      </c>
      <c r="L27" s="30" t="e">
        <f>SUM($I$26:L26)</f>
        <v>#REF!</v>
      </c>
      <c r="M27" s="30" t="e">
        <f>SUM($I$26:M26)</f>
        <v>#REF!</v>
      </c>
      <c r="N27" s="30" t="e">
        <f>SUM($I$26:N26)</f>
        <v>#REF!</v>
      </c>
      <c r="O27" s="30" t="e">
        <f>SUM($I$26:O26)</f>
        <v>#REF!</v>
      </c>
      <c r="P27" s="30" t="e">
        <f>SUM($I$26:P26)</f>
        <v>#REF!</v>
      </c>
      <c r="Q27" s="30" t="e">
        <f>SUM($I$26:Q26)</f>
        <v>#REF!</v>
      </c>
      <c r="R27" s="30" t="e">
        <f>SUM($I$26:R26)</f>
        <v>#REF!</v>
      </c>
      <c r="S27" s="30" t="e">
        <f>SUM($I$26:S26)</f>
        <v>#REF!</v>
      </c>
      <c r="T27" s="30" t="e">
        <f>SUM($I$26:T26)</f>
        <v>#REF!</v>
      </c>
      <c r="U27" s="30" t="e">
        <f>SUM($I$26:U26)</f>
        <v>#REF!</v>
      </c>
      <c r="V27" s="30" t="e">
        <f>SUM($I$26:V26)</f>
        <v>#REF!</v>
      </c>
      <c r="W27" s="30" t="e">
        <f>SUM($I$26:W26)</f>
        <v>#REF!</v>
      </c>
      <c r="X27" s="30" t="e">
        <f>SUM($I$26:X26)</f>
        <v>#REF!</v>
      </c>
      <c r="Y27" s="30" t="e">
        <f>SUM($I$26:Y26)</f>
        <v>#REF!</v>
      </c>
      <c r="Z27" s="30" t="e">
        <f>SUM($I$26:Z26)</f>
        <v>#REF!</v>
      </c>
      <c r="AA27" s="30" t="e">
        <f>SUM($I$26:AA26)</f>
        <v>#REF!</v>
      </c>
      <c r="AB27" s="30" t="e">
        <f>SUM($I$26:AB26)</f>
        <v>#REF!</v>
      </c>
    </row>
    <row r="28" spans="1:28" x14ac:dyDescent="0.3">
      <c r="G28" s="32" t="s">
        <v>209</v>
      </c>
      <c r="H28" s="33">
        <f>PV($C$4,H6,0,-1)</f>
        <v>1</v>
      </c>
      <c r="I28" s="33">
        <f t="shared" ref="I28:AB28" si="12">PV($C$4,I6,0,-1)</f>
        <v>0.92592592592592582</v>
      </c>
      <c r="J28" s="33">
        <f t="shared" si="12"/>
        <v>0.85733882030178321</v>
      </c>
      <c r="K28" s="33">
        <f t="shared" si="12"/>
        <v>0.79383224102016958</v>
      </c>
      <c r="L28" s="33">
        <f t="shared" si="12"/>
        <v>0.73502985279645328</v>
      </c>
      <c r="M28" s="33">
        <f t="shared" si="12"/>
        <v>0.68058319703375303</v>
      </c>
      <c r="N28" s="33">
        <f t="shared" si="12"/>
        <v>0.63016962688310452</v>
      </c>
      <c r="O28" s="33">
        <f t="shared" si="12"/>
        <v>0.58349039526213387</v>
      </c>
      <c r="P28" s="33">
        <f t="shared" si="12"/>
        <v>0.54026888450197574</v>
      </c>
      <c r="Q28" s="33">
        <f t="shared" si="12"/>
        <v>0.50024896713145905</v>
      </c>
      <c r="R28" s="33">
        <f t="shared" si="12"/>
        <v>0.46319348808468425</v>
      </c>
      <c r="S28" s="33">
        <f t="shared" si="12"/>
        <v>0.42888285933767062</v>
      </c>
      <c r="T28" s="33">
        <f t="shared" si="12"/>
        <v>0.39711375864599124</v>
      </c>
      <c r="U28" s="33">
        <f t="shared" si="12"/>
        <v>0.36769792467221413</v>
      </c>
      <c r="V28" s="33">
        <f t="shared" si="12"/>
        <v>0.34046104136316119</v>
      </c>
      <c r="W28" s="33">
        <f t="shared" si="12"/>
        <v>0.31524170496588994</v>
      </c>
      <c r="X28" s="33">
        <f t="shared" si="12"/>
        <v>0.29189046756100923</v>
      </c>
      <c r="Y28" s="33">
        <f t="shared" si="12"/>
        <v>0.27026895144537894</v>
      </c>
      <c r="Z28" s="33">
        <f t="shared" si="12"/>
        <v>0.25024902911609154</v>
      </c>
      <c r="AA28" s="33">
        <f t="shared" si="12"/>
        <v>0.23171206399638106</v>
      </c>
      <c r="AB28" s="33">
        <f t="shared" si="12"/>
        <v>0.21454820740405653</v>
      </c>
    </row>
    <row r="29" spans="1:28" x14ac:dyDescent="0.3">
      <c r="G29" s="29" t="s">
        <v>210</v>
      </c>
      <c r="H29" s="30">
        <v>0</v>
      </c>
      <c r="I29" s="30" t="e">
        <f>I26*H28</f>
        <v>#REF!</v>
      </c>
      <c r="J29" s="30" t="e">
        <f t="shared" ref="J29:AB29" si="13">J26*J28</f>
        <v>#REF!</v>
      </c>
      <c r="K29" s="30" t="e">
        <f t="shared" si="13"/>
        <v>#REF!</v>
      </c>
      <c r="L29" s="30" t="e">
        <f t="shared" si="13"/>
        <v>#REF!</v>
      </c>
      <c r="M29" s="30" t="e">
        <f t="shared" si="13"/>
        <v>#REF!</v>
      </c>
      <c r="N29" s="30" t="e">
        <f t="shared" si="13"/>
        <v>#REF!</v>
      </c>
      <c r="O29" s="30" t="e">
        <f t="shared" si="13"/>
        <v>#REF!</v>
      </c>
      <c r="P29" s="30" t="e">
        <f t="shared" si="13"/>
        <v>#REF!</v>
      </c>
      <c r="Q29" s="30" t="e">
        <f t="shared" si="13"/>
        <v>#REF!</v>
      </c>
      <c r="R29" s="30" t="e">
        <f t="shared" si="13"/>
        <v>#REF!</v>
      </c>
      <c r="S29" s="30" t="e">
        <f t="shared" si="13"/>
        <v>#REF!</v>
      </c>
      <c r="T29" s="30" t="e">
        <f t="shared" si="13"/>
        <v>#REF!</v>
      </c>
      <c r="U29" s="30" t="e">
        <f t="shared" si="13"/>
        <v>#REF!</v>
      </c>
      <c r="V29" s="30" t="e">
        <f t="shared" si="13"/>
        <v>#REF!</v>
      </c>
      <c r="W29" s="30" t="e">
        <f t="shared" si="13"/>
        <v>#REF!</v>
      </c>
      <c r="X29" s="30" t="e">
        <f t="shared" si="13"/>
        <v>#REF!</v>
      </c>
      <c r="Y29" s="30" t="e">
        <f t="shared" si="13"/>
        <v>#REF!</v>
      </c>
      <c r="Z29" s="30" t="e">
        <f t="shared" si="13"/>
        <v>#REF!</v>
      </c>
      <c r="AA29" s="30" t="e">
        <f t="shared" si="13"/>
        <v>#REF!</v>
      </c>
      <c r="AB29" s="30" t="e">
        <f t="shared" si="13"/>
        <v>#REF!</v>
      </c>
    </row>
    <row r="30" spans="1:28" x14ac:dyDescent="0.3">
      <c r="A30" s="87" t="s">
        <v>211</v>
      </c>
      <c r="B30" s="87"/>
      <c r="C30" s="87"/>
      <c r="G30" s="29" t="s">
        <v>212</v>
      </c>
      <c r="H30" s="30">
        <v>0</v>
      </c>
      <c r="I30" s="30" t="e">
        <f>SUM($I$29:I29)</f>
        <v>#REF!</v>
      </c>
      <c r="J30" s="30" t="e">
        <f>SUM($I$29:J29)</f>
        <v>#REF!</v>
      </c>
      <c r="K30" s="30" t="e">
        <f>SUM($I$29:K29)</f>
        <v>#REF!</v>
      </c>
      <c r="L30" s="30" t="e">
        <f>SUM($I$29:L29)</f>
        <v>#REF!</v>
      </c>
      <c r="M30" s="30" t="e">
        <f>SUM($I$29:M29)</f>
        <v>#REF!</v>
      </c>
      <c r="N30" s="30" t="e">
        <f>SUM($I$29:N29)</f>
        <v>#REF!</v>
      </c>
      <c r="O30" s="30" t="e">
        <f>SUM($I$29:O29)</f>
        <v>#REF!</v>
      </c>
      <c r="P30" s="30" t="e">
        <f>SUM($I$29:P29)</f>
        <v>#REF!</v>
      </c>
      <c r="Q30" s="30" t="e">
        <f>SUM($I$29:Q29)</f>
        <v>#REF!</v>
      </c>
      <c r="R30" s="30" t="e">
        <f>SUM($I$29:R29)</f>
        <v>#REF!</v>
      </c>
      <c r="S30" s="30" t="e">
        <f>SUM($I$29:S29)</f>
        <v>#REF!</v>
      </c>
      <c r="T30" s="30" t="e">
        <f>SUM($I$29:T29)</f>
        <v>#REF!</v>
      </c>
      <c r="U30" s="30" t="e">
        <f>SUM($I$29:U29)</f>
        <v>#REF!</v>
      </c>
      <c r="V30" s="30" t="e">
        <f>SUM($I$29:V29)</f>
        <v>#REF!</v>
      </c>
      <c r="W30" s="30" t="e">
        <f>SUM($I$29:W29)</f>
        <v>#REF!</v>
      </c>
      <c r="X30" s="30" t="e">
        <f>SUM($I$29:X29)</f>
        <v>#REF!</v>
      </c>
      <c r="Y30" s="30" t="e">
        <f>SUM($I$29:Y29)</f>
        <v>#REF!</v>
      </c>
      <c r="Z30" s="30" t="e">
        <f>SUM($I$29:Z29)</f>
        <v>#REF!</v>
      </c>
      <c r="AA30" s="30" t="e">
        <f>SUM($I$29:AA29)</f>
        <v>#REF!</v>
      </c>
      <c r="AB30" s="30" t="e">
        <f>SUM($I$29:AB29)</f>
        <v>#REF!</v>
      </c>
    </row>
    <row r="31" spans="1:28" x14ac:dyDescent="0.3">
      <c r="A31" s="34" t="s">
        <v>158</v>
      </c>
      <c r="B31" s="34" t="s">
        <v>159</v>
      </c>
      <c r="C31" s="34" t="s">
        <v>160</v>
      </c>
      <c r="G31" s="26" t="s">
        <v>213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</row>
    <row r="32" spans="1:28" x14ac:dyDescent="0.3">
      <c r="A32" s="35" t="s">
        <v>214</v>
      </c>
      <c r="B32" s="35" t="s">
        <v>215</v>
      </c>
      <c r="C32" s="36" t="e" cm="1">
        <f t="array" ref="C32">TRANSPOSE(Equipment!#REF!)</f>
        <v>#REF!</v>
      </c>
      <c r="G32" s="29" t="s">
        <v>216</v>
      </c>
      <c r="H32" s="30" t="e">
        <f>NPV($C$4,I26:AB26)</f>
        <v>#REF!</v>
      </c>
    </row>
    <row r="33" spans="1:8" x14ac:dyDescent="0.3">
      <c r="A33" s="22" t="s">
        <v>217</v>
      </c>
      <c r="B33" s="22" t="s">
        <v>205</v>
      </c>
      <c r="C33" s="31"/>
      <c r="G33" s="29" t="s">
        <v>218</v>
      </c>
      <c r="H33" s="30" t="e">
        <f>H32*PMT($C$4,$C$3,-1)</f>
        <v>#REF!</v>
      </c>
    </row>
    <row r="34" spans="1:8" x14ac:dyDescent="0.3">
      <c r="A34" s="35" t="s">
        <v>219</v>
      </c>
      <c r="B34" s="35" t="s">
        <v>205</v>
      </c>
      <c r="C34" s="36"/>
      <c r="G34" s="29" t="s">
        <v>220</v>
      </c>
      <c r="H34" s="33" t="e">
        <f>IRR(I26:AB26)</f>
        <v>#VALUE!</v>
      </c>
    </row>
    <row r="35" spans="1:8" x14ac:dyDescent="0.3">
      <c r="G35" s="29" t="s">
        <v>221</v>
      </c>
      <c r="H35" s="37" t="e">
        <f>H60</f>
        <v>#N/A</v>
      </c>
    </row>
    <row r="36" spans="1:8" x14ac:dyDescent="0.3">
      <c r="H36" s="30"/>
    </row>
    <row r="38" spans="1:8" x14ac:dyDescent="0.3">
      <c r="A38" s="21" t="s">
        <v>222</v>
      </c>
    </row>
    <row r="39" spans="1:8" x14ac:dyDescent="0.3">
      <c r="A39" s="34" t="s">
        <v>158</v>
      </c>
      <c r="B39" s="34" t="s">
        <v>159</v>
      </c>
      <c r="C39" s="34" t="s">
        <v>160</v>
      </c>
      <c r="H39" s="38"/>
    </row>
    <row r="40" spans="1:8" x14ac:dyDescent="0.3">
      <c r="A40" s="21" t="s">
        <v>223</v>
      </c>
      <c r="B40" s="21" t="s">
        <v>224</v>
      </c>
    </row>
    <row r="53" spans="1:28" x14ac:dyDescent="0.3">
      <c r="A53" s="89" t="s">
        <v>213</v>
      </c>
      <c r="B53" s="90"/>
      <c r="C53" s="91"/>
    </row>
    <row r="54" spans="1:28" x14ac:dyDescent="0.3">
      <c r="A54" s="34" t="s">
        <v>158</v>
      </c>
      <c r="B54" s="34" t="s">
        <v>159</v>
      </c>
      <c r="C54" s="34" t="s">
        <v>160</v>
      </c>
      <c r="G54" s="26" t="s">
        <v>225</v>
      </c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</row>
    <row r="55" spans="1:28" x14ac:dyDescent="0.3">
      <c r="A55" s="22" t="s">
        <v>226</v>
      </c>
      <c r="B55" s="22" t="s">
        <v>227</v>
      </c>
      <c r="C55" s="39" t="e">
        <f>H32*0.000001</f>
        <v>#REF!</v>
      </c>
      <c r="G55" s="29" t="s">
        <v>228</v>
      </c>
      <c r="H55" s="21">
        <v>0</v>
      </c>
      <c r="I55" s="21">
        <f>H55+1</f>
        <v>1</v>
      </c>
      <c r="J55" s="21">
        <f t="shared" ref="J55:AB55" si="14">I55+1</f>
        <v>2</v>
      </c>
      <c r="K55" s="21">
        <f t="shared" si="14"/>
        <v>3</v>
      </c>
      <c r="L55" s="21">
        <f t="shared" si="14"/>
        <v>4</v>
      </c>
      <c r="M55" s="21">
        <f t="shared" si="14"/>
        <v>5</v>
      </c>
      <c r="N55" s="21">
        <f t="shared" si="14"/>
        <v>6</v>
      </c>
      <c r="O55" s="21">
        <f t="shared" si="14"/>
        <v>7</v>
      </c>
      <c r="P55" s="21">
        <f t="shared" si="14"/>
        <v>8</v>
      </c>
      <c r="Q55" s="21">
        <f t="shared" si="14"/>
        <v>9</v>
      </c>
      <c r="R55" s="21">
        <f t="shared" si="14"/>
        <v>10</v>
      </c>
      <c r="S55" s="21">
        <f t="shared" si="14"/>
        <v>11</v>
      </c>
      <c r="T55" s="21">
        <f t="shared" si="14"/>
        <v>12</v>
      </c>
      <c r="U55" s="21">
        <f t="shared" si="14"/>
        <v>13</v>
      </c>
      <c r="V55" s="21">
        <f t="shared" si="14"/>
        <v>14</v>
      </c>
      <c r="W55" s="21">
        <f t="shared" si="14"/>
        <v>15</v>
      </c>
      <c r="X55" s="21">
        <f t="shared" si="14"/>
        <v>16</v>
      </c>
      <c r="Y55" s="21">
        <f t="shared" si="14"/>
        <v>17</v>
      </c>
      <c r="Z55" s="21">
        <f t="shared" si="14"/>
        <v>18</v>
      </c>
      <c r="AA55" s="21">
        <f t="shared" si="14"/>
        <v>19</v>
      </c>
      <c r="AB55" s="21">
        <f t="shared" si="14"/>
        <v>20</v>
      </c>
    </row>
    <row r="56" spans="1:28" x14ac:dyDescent="0.3">
      <c r="A56" s="22" t="s">
        <v>229</v>
      </c>
      <c r="B56" s="22" t="s">
        <v>227</v>
      </c>
      <c r="C56" s="23" t="e">
        <f>H33*0.000001</f>
        <v>#REF!</v>
      </c>
      <c r="G56" s="29" t="s">
        <v>212</v>
      </c>
      <c r="H56" s="21">
        <v>0</v>
      </c>
      <c r="I56" s="30" t="e">
        <f>I30</f>
        <v>#REF!</v>
      </c>
      <c r="J56" s="30" t="e">
        <f t="shared" ref="J56:AB56" si="15">J30</f>
        <v>#REF!</v>
      </c>
      <c r="K56" s="30" t="e">
        <f t="shared" si="15"/>
        <v>#REF!</v>
      </c>
      <c r="L56" s="30" t="e">
        <f t="shared" si="15"/>
        <v>#REF!</v>
      </c>
      <c r="M56" s="30" t="e">
        <f t="shared" si="15"/>
        <v>#REF!</v>
      </c>
      <c r="N56" s="30" t="e">
        <f t="shared" si="15"/>
        <v>#REF!</v>
      </c>
      <c r="O56" s="30" t="e">
        <f t="shared" si="15"/>
        <v>#REF!</v>
      </c>
      <c r="P56" s="30" t="e">
        <f t="shared" si="15"/>
        <v>#REF!</v>
      </c>
      <c r="Q56" s="30" t="e">
        <f t="shared" si="15"/>
        <v>#REF!</v>
      </c>
      <c r="R56" s="30" t="e">
        <f t="shared" si="15"/>
        <v>#REF!</v>
      </c>
      <c r="S56" s="30" t="e">
        <f t="shared" si="15"/>
        <v>#REF!</v>
      </c>
      <c r="T56" s="30" t="e">
        <f t="shared" si="15"/>
        <v>#REF!</v>
      </c>
      <c r="U56" s="30" t="e">
        <f t="shared" si="15"/>
        <v>#REF!</v>
      </c>
      <c r="V56" s="30" t="e">
        <f t="shared" si="15"/>
        <v>#REF!</v>
      </c>
      <c r="W56" s="30" t="e">
        <f t="shared" si="15"/>
        <v>#REF!</v>
      </c>
      <c r="X56" s="30" t="e">
        <f t="shared" si="15"/>
        <v>#REF!</v>
      </c>
      <c r="Y56" s="30" t="e">
        <f t="shared" si="15"/>
        <v>#REF!</v>
      </c>
      <c r="Z56" s="30" t="e">
        <f t="shared" si="15"/>
        <v>#REF!</v>
      </c>
      <c r="AA56" s="30" t="e">
        <f t="shared" si="15"/>
        <v>#REF!</v>
      </c>
      <c r="AB56" s="30" t="e">
        <f t="shared" si="15"/>
        <v>#REF!</v>
      </c>
    </row>
    <row r="57" spans="1:28" x14ac:dyDescent="0.3">
      <c r="A57" s="22" t="s">
        <v>230</v>
      </c>
      <c r="B57" s="22" t="s">
        <v>231</v>
      </c>
      <c r="C57" s="40" t="e">
        <f>H34</f>
        <v>#VALUE!</v>
      </c>
      <c r="G57" s="29" t="s">
        <v>232</v>
      </c>
      <c r="H57" s="21">
        <v>0</v>
      </c>
      <c r="I57" s="30" t="e">
        <f>I56*H56</f>
        <v>#REF!</v>
      </c>
      <c r="J57" s="30" t="e">
        <f t="shared" ref="J57:AB57" si="16">J56*I56</f>
        <v>#REF!</v>
      </c>
      <c r="K57" s="30" t="e">
        <f t="shared" si="16"/>
        <v>#REF!</v>
      </c>
      <c r="L57" s="30" t="e">
        <f t="shared" si="16"/>
        <v>#REF!</v>
      </c>
      <c r="M57" s="30" t="e">
        <f t="shared" si="16"/>
        <v>#REF!</v>
      </c>
      <c r="N57" s="30" t="e">
        <f t="shared" si="16"/>
        <v>#REF!</v>
      </c>
      <c r="O57" s="30" t="e">
        <f t="shared" si="16"/>
        <v>#REF!</v>
      </c>
      <c r="P57" s="30" t="e">
        <f t="shared" si="16"/>
        <v>#REF!</v>
      </c>
      <c r="Q57" s="30" t="e">
        <f t="shared" si="16"/>
        <v>#REF!</v>
      </c>
      <c r="R57" s="30" t="e">
        <f t="shared" si="16"/>
        <v>#REF!</v>
      </c>
      <c r="S57" s="30" t="e">
        <f t="shared" si="16"/>
        <v>#REF!</v>
      </c>
      <c r="T57" s="30" t="e">
        <f t="shared" si="16"/>
        <v>#REF!</v>
      </c>
      <c r="U57" s="30" t="e">
        <f t="shared" si="16"/>
        <v>#REF!</v>
      </c>
      <c r="V57" s="30" t="e">
        <f t="shared" si="16"/>
        <v>#REF!</v>
      </c>
      <c r="W57" s="30" t="e">
        <f t="shared" si="16"/>
        <v>#REF!</v>
      </c>
      <c r="X57" s="30" t="e">
        <f t="shared" si="16"/>
        <v>#REF!</v>
      </c>
      <c r="Y57" s="30" t="e">
        <f t="shared" si="16"/>
        <v>#REF!</v>
      </c>
      <c r="Z57" s="30" t="e">
        <f t="shared" si="16"/>
        <v>#REF!</v>
      </c>
      <c r="AA57" s="30" t="e">
        <f t="shared" si="16"/>
        <v>#REF!</v>
      </c>
      <c r="AB57" s="30" t="e">
        <f t="shared" si="16"/>
        <v>#REF!</v>
      </c>
    </row>
    <row r="58" spans="1:28" x14ac:dyDescent="0.3">
      <c r="A58" s="22" t="s">
        <v>233</v>
      </c>
      <c r="B58" s="22" t="s">
        <v>234</v>
      </c>
      <c r="C58" s="23" t="e">
        <f>H35</f>
        <v>#N/A</v>
      </c>
      <c r="G58" s="29" t="s">
        <v>235</v>
      </c>
      <c r="H58" s="21">
        <v>0</v>
      </c>
      <c r="I58" s="21" t="e">
        <f>IF(I57&lt;0,1,0)</f>
        <v>#REF!</v>
      </c>
      <c r="J58" s="21" t="e">
        <f t="shared" ref="J58:AB58" si="17">IF(J57&lt;0,1,0)</f>
        <v>#REF!</v>
      </c>
      <c r="K58" s="21" t="e">
        <f t="shared" si="17"/>
        <v>#REF!</v>
      </c>
      <c r="L58" s="21" t="e">
        <f t="shared" si="17"/>
        <v>#REF!</v>
      </c>
      <c r="M58" s="21" t="e">
        <f t="shared" si="17"/>
        <v>#REF!</v>
      </c>
      <c r="N58" s="21" t="e">
        <f t="shared" si="17"/>
        <v>#REF!</v>
      </c>
      <c r="O58" s="21" t="e">
        <f t="shared" si="17"/>
        <v>#REF!</v>
      </c>
      <c r="P58" s="21" t="e">
        <f t="shared" si="17"/>
        <v>#REF!</v>
      </c>
      <c r="Q58" s="21" t="e">
        <f t="shared" si="17"/>
        <v>#REF!</v>
      </c>
      <c r="R58" s="21" t="e">
        <f t="shared" si="17"/>
        <v>#REF!</v>
      </c>
      <c r="S58" s="21" t="e">
        <f t="shared" si="17"/>
        <v>#REF!</v>
      </c>
      <c r="T58" s="21" t="e">
        <f t="shared" si="17"/>
        <v>#REF!</v>
      </c>
      <c r="U58" s="21" t="e">
        <f t="shared" si="17"/>
        <v>#REF!</v>
      </c>
      <c r="V58" s="21" t="e">
        <f t="shared" si="17"/>
        <v>#REF!</v>
      </c>
      <c r="W58" s="21" t="e">
        <f t="shared" si="17"/>
        <v>#REF!</v>
      </c>
      <c r="X58" s="21" t="e">
        <f t="shared" si="17"/>
        <v>#REF!</v>
      </c>
      <c r="Y58" s="21" t="e">
        <f t="shared" si="17"/>
        <v>#REF!</v>
      </c>
      <c r="Z58" s="21" t="e">
        <f t="shared" si="17"/>
        <v>#REF!</v>
      </c>
      <c r="AA58" s="21" t="e">
        <f t="shared" si="17"/>
        <v>#REF!</v>
      </c>
      <c r="AB58" s="21" t="e">
        <f t="shared" si="17"/>
        <v>#REF!</v>
      </c>
    </row>
    <row r="59" spans="1:28" x14ac:dyDescent="0.3">
      <c r="G59" s="29" t="s">
        <v>236</v>
      </c>
      <c r="H59" s="21" t="e">
        <f>_xlfn.XMATCH(1,I58:AB58)</f>
        <v>#N/A</v>
      </c>
    </row>
    <row r="60" spans="1:28" x14ac:dyDescent="0.3">
      <c r="G60" s="29" t="s">
        <v>237</v>
      </c>
      <c r="H60" s="21" t="e" cm="1">
        <f t="array" ref="H60">H59-1+ABS(INDEX(I56:AB56,H59))/(INDEX(I56:AB56,H59+1)-INDEX(I56:AB56,H59))</f>
        <v>#N/A</v>
      </c>
    </row>
    <row r="62" spans="1:28" x14ac:dyDescent="0.3">
      <c r="A62" s="87" t="s">
        <v>238</v>
      </c>
      <c r="B62" s="87"/>
      <c r="C62" s="87"/>
    </row>
    <row r="63" spans="1:28" x14ac:dyDescent="0.3">
      <c r="A63" s="55" t="s">
        <v>158</v>
      </c>
      <c r="B63" s="56" t="s">
        <v>159</v>
      </c>
      <c r="C63" s="57" t="s">
        <v>160</v>
      </c>
    </row>
    <row r="64" spans="1:28" x14ac:dyDescent="0.3">
      <c r="A64" s="44" t="s">
        <v>239</v>
      </c>
      <c r="B64" s="22" t="s">
        <v>227</v>
      </c>
      <c r="C64" s="53" t="e">
        <f>I8*0.000001</f>
        <v>#REF!</v>
      </c>
    </row>
    <row r="65" spans="1:3" x14ac:dyDescent="0.3">
      <c r="A65" s="44" t="s">
        <v>144</v>
      </c>
      <c r="B65" s="22" t="s">
        <v>240</v>
      </c>
      <c r="C65" s="53">
        <f>(2771330+C34)*0.000001</f>
        <v>2.7713299999999998</v>
      </c>
    </row>
    <row r="66" spans="1:3" x14ac:dyDescent="0.3">
      <c r="A66" s="44" t="s">
        <v>241</v>
      </c>
      <c r="B66" s="22" t="s">
        <v>240</v>
      </c>
      <c r="C66" s="54">
        <f>(1737860+C33)*0.000001</f>
        <v>1.73786</v>
      </c>
    </row>
    <row r="67" spans="1:3" x14ac:dyDescent="0.3">
      <c r="A67" s="44" t="s">
        <v>242</v>
      </c>
      <c r="B67" s="22" t="s">
        <v>240</v>
      </c>
      <c r="C67" s="54">
        <f>C68-(C66+C65)</f>
        <v>2.0420999999999996</v>
      </c>
    </row>
    <row r="68" spans="1:3" x14ac:dyDescent="0.3">
      <c r="A68" s="47" t="s">
        <v>189</v>
      </c>
      <c r="B68" s="48" t="s">
        <v>240</v>
      </c>
      <c r="C68" s="58">
        <f>J17*0.000001</f>
        <v>6.5512899999999998</v>
      </c>
    </row>
  </sheetData>
  <mergeCells count="5">
    <mergeCell ref="A1:C1"/>
    <mergeCell ref="A19:C19"/>
    <mergeCell ref="A30:C30"/>
    <mergeCell ref="A62:C62"/>
    <mergeCell ref="A53:C53"/>
  </mergeCells>
  <pageMargins left="0.7" right="0.7" top="0.75" bottom="0.75" header="0.3" footer="0.3"/>
  <pageSetup orientation="portrait" horizontalDpi="300" verticalDpi="300" r:id="rId1"/>
  <drawing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5A80-B8EF-4910-8927-1516E34A32CD}">
  <sheetPr codeName="ShData"/>
  <dimension ref="B2:O21"/>
  <sheetViews>
    <sheetView topLeftCell="C1" zoomScale="120" zoomScaleNormal="120" workbookViewId="0">
      <selection activeCell="F36" sqref="F36"/>
    </sheetView>
  </sheetViews>
  <sheetFormatPr defaultColWidth="8.88671875" defaultRowHeight="13.8" x14ac:dyDescent="0.3"/>
  <cols>
    <col min="1" max="1" width="8.88671875" style="21"/>
    <col min="2" max="2" width="9" style="21" bestFit="1" customWidth="1"/>
    <col min="3" max="3" width="50.6640625" style="21" customWidth="1"/>
    <col min="4" max="4" width="10.5546875" style="21" customWidth="1"/>
    <col min="5" max="5" width="10.6640625" style="21" customWidth="1"/>
    <col min="6" max="6" width="9" style="21" bestFit="1" customWidth="1"/>
    <col min="7" max="7" width="8.88671875" style="21"/>
    <col min="8" max="8" width="9" style="21" bestFit="1" customWidth="1"/>
    <col min="9" max="9" width="8.88671875" style="21"/>
    <col min="10" max="11" width="11.5546875" style="21" bestFit="1" customWidth="1"/>
    <col min="12" max="14" width="11" style="21" bestFit="1" customWidth="1"/>
    <col min="15" max="15" width="11.5546875" style="21" bestFit="1" customWidth="1"/>
    <col min="16" max="16384" width="8.88671875" style="21"/>
  </cols>
  <sheetData>
    <row r="2" spans="2:15" x14ac:dyDescent="0.3">
      <c r="C2" s="50" t="s">
        <v>243</v>
      </c>
      <c r="D2" s="22">
        <f>COUNT(B7:B16)</f>
        <v>5</v>
      </c>
    </row>
    <row r="5" spans="2:15" x14ac:dyDescent="0.3">
      <c r="D5" s="21" t="s">
        <v>244</v>
      </c>
    </row>
    <row r="6" spans="2:15" x14ac:dyDescent="0.3">
      <c r="B6" s="41" t="s">
        <v>245</v>
      </c>
      <c r="C6" s="42" t="s">
        <v>246</v>
      </c>
      <c r="D6" s="42" t="s">
        <v>247</v>
      </c>
      <c r="E6" s="42" t="s">
        <v>248</v>
      </c>
      <c r="F6" s="43" t="s">
        <v>249</v>
      </c>
    </row>
    <row r="7" spans="2:15" x14ac:dyDescent="0.3">
      <c r="B7" s="44">
        <v>1</v>
      </c>
      <c r="C7" s="22" t="s">
        <v>171</v>
      </c>
      <c r="D7" s="22">
        <v>0.5</v>
      </c>
      <c r="E7" s="22">
        <v>0.5</v>
      </c>
      <c r="F7" s="45">
        <v>5</v>
      </c>
      <c r="H7" s="46" t="s">
        <v>250</v>
      </c>
      <c r="I7" s="46"/>
      <c r="J7" s="46"/>
      <c r="K7" s="46"/>
      <c r="L7" s="46"/>
      <c r="M7" s="46"/>
      <c r="N7" s="46"/>
      <c r="O7" s="46"/>
    </row>
    <row r="8" spans="2:15" x14ac:dyDescent="0.3">
      <c r="B8" s="44">
        <f>IF(C8&lt;&gt;"",B7+1,"")</f>
        <v>2</v>
      </c>
      <c r="C8" s="22" t="s">
        <v>178</v>
      </c>
      <c r="D8" s="22">
        <v>0.5</v>
      </c>
      <c r="E8" s="22">
        <v>0.5</v>
      </c>
      <c r="F8" s="45">
        <v>5</v>
      </c>
      <c r="H8" s="21">
        <v>1</v>
      </c>
      <c r="I8" s="21" t="s">
        <v>251</v>
      </c>
      <c r="J8" s="21">
        <v>-0.5</v>
      </c>
      <c r="K8" s="21">
        <v>-0.30000000000000004</v>
      </c>
      <c r="L8" s="21">
        <v>-9.9999999999999978E-2</v>
      </c>
      <c r="M8" s="21">
        <v>0.10000000000000009</v>
      </c>
      <c r="N8" s="21">
        <v>0.30000000000000004</v>
      </c>
      <c r="O8" s="21">
        <v>0.5</v>
      </c>
    </row>
    <row r="9" spans="2:15" x14ac:dyDescent="0.3">
      <c r="B9" s="44">
        <f t="shared" ref="B9:B21" si="0">IF(C9&lt;&gt;"",B8+1,"")</f>
        <v>3</v>
      </c>
      <c r="C9" s="22" t="s">
        <v>184</v>
      </c>
      <c r="D9" s="22">
        <v>0.5</v>
      </c>
      <c r="E9" s="22">
        <v>0.5</v>
      </c>
      <c r="F9" s="45">
        <v>5</v>
      </c>
      <c r="I9" s="21" t="s">
        <v>216</v>
      </c>
      <c r="J9" s="21">
        <v>15407192.1995</v>
      </c>
      <c r="K9" s="21">
        <v>13314466.5868</v>
      </c>
      <c r="L9" s="21">
        <v>11221740.974199999</v>
      </c>
      <c r="M9" s="21">
        <v>9129015.3615000006</v>
      </c>
      <c r="N9" s="21">
        <v>7036289.7488000002</v>
      </c>
      <c r="O9" s="21">
        <v>4943564.1360999998</v>
      </c>
    </row>
    <row r="10" spans="2:15" x14ac:dyDescent="0.3">
      <c r="B10" s="44">
        <f t="shared" si="0"/>
        <v>4</v>
      </c>
      <c r="C10" s="22" t="s">
        <v>186</v>
      </c>
      <c r="D10" s="22">
        <v>0.5</v>
      </c>
      <c r="E10" s="22">
        <v>0.5</v>
      </c>
      <c r="F10" s="45">
        <v>5</v>
      </c>
      <c r="H10" s="21">
        <v>2</v>
      </c>
      <c r="I10" s="21" t="s">
        <v>251</v>
      </c>
      <c r="J10" s="21">
        <v>-0.5</v>
      </c>
      <c r="K10" s="21">
        <v>-0.30000000000000004</v>
      </c>
      <c r="L10" s="21">
        <v>-9.9999999999999978E-2</v>
      </c>
      <c r="M10" s="21">
        <v>0.10000000000000009</v>
      </c>
      <c r="N10" s="21">
        <v>0.30000000000000004</v>
      </c>
      <c r="O10" s="21">
        <v>0.5</v>
      </c>
    </row>
    <row r="11" spans="2:15" x14ac:dyDescent="0.3">
      <c r="B11" s="47">
        <f t="shared" si="0"/>
        <v>5</v>
      </c>
      <c r="C11" s="48" t="s">
        <v>194</v>
      </c>
      <c r="D11" s="48">
        <v>0.5</v>
      </c>
      <c r="E11" s="48">
        <v>0.5</v>
      </c>
      <c r="F11" s="49">
        <v>5</v>
      </c>
      <c r="I11" s="21" t="s">
        <v>216</v>
      </c>
      <c r="J11" s="21">
        <v>-12711680.723300001</v>
      </c>
      <c r="K11" s="21">
        <v>-3428099.3406000002</v>
      </c>
      <c r="L11" s="21">
        <v>5490628.7004000004</v>
      </c>
      <c r="M11" s="21">
        <v>15017850.6274</v>
      </c>
      <c r="N11" s="21">
        <v>25199651.900600001</v>
      </c>
      <c r="O11" s="21">
        <v>36085686.409299999</v>
      </c>
    </row>
    <row r="12" spans="2:15" x14ac:dyDescent="0.3">
      <c r="B12" s="47" t="str">
        <f t="shared" si="0"/>
        <v/>
      </c>
      <c r="C12" s="22"/>
      <c r="D12" s="22"/>
      <c r="E12" s="22"/>
      <c r="F12" s="45"/>
      <c r="H12" s="21">
        <v>3</v>
      </c>
      <c r="I12" s="21" t="s">
        <v>251</v>
      </c>
      <c r="J12" s="21">
        <v>-0.5</v>
      </c>
      <c r="K12" s="21">
        <v>-0.30000000000000004</v>
      </c>
      <c r="L12" s="21">
        <v>-9.9999999999999978E-2</v>
      </c>
      <c r="M12" s="21">
        <v>0.10000000000000009</v>
      </c>
      <c r="N12" s="21">
        <v>0.30000000000000004</v>
      </c>
      <c r="O12" s="21">
        <v>0.5</v>
      </c>
    </row>
    <row r="13" spans="2:15" x14ac:dyDescent="0.3">
      <c r="B13" s="47" t="str">
        <f t="shared" si="0"/>
        <v/>
      </c>
      <c r="C13" s="22"/>
      <c r="D13" s="22"/>
      <c r="E13" s="22"/>
      <c r="F13" s="45"/>
      <c r="I13" s="21" t="s">
        <v>216</v>
      </c>
      <c r="J13" s="21">
        <v>17354133.524099998</v>
      </c>
      <c r="K13" s="21">
        <v>14611238.0451</v>
      </c>
      <c r="L13" s="21">
        <v>11698786.636299999</v>
      </c>
      <c r="M13" s="21">
        <v>8605162.0874000005</v>
      </c>
      <c r="N13" s="21">
        <v>5317935.0785999997</v>
      </c>
      <c r="O13" s="21">
        <v>1823808.4987000001</v>
      </c>
    </row>
    <row r="14" spans="2:15" x14ac:dyDescent="0.3">
      <c r="B14" s="47" t="str">
        <f t="shared" si="0"/>
        <v/>
      </c>
      <c r="C14" s="22"/>
      <c r="D14" s="22"/>
      <c r="E14" s="22"/>
      <c r="F14" s="45"/>
      <c r="H14" s="21">
        <v>4</v>
      </c>
      <c r="I14" s="21" t="s">
        <v>251</v>
      </c>
      <c r="J14" s="21">
        <v>-0.5</v>
      </c>
      <c r="K14" s="21">
        <v>-0.30000000000000004</v>
      </c>
      <c r="L14" s="21">
        <v>-9.9999999999999978E-2</v>
      </c>
      <c r="M14" s="21">
        <v>0.10000000000000009</v>
      </c>
      <c r="N14" s="21">
        <v>0.30000000000000004</v>
      </c>
      <c r="O14" s="21">
        <v>0.5</v>
      </c>
    </row>
    <row r="15" spans="2:15" x14ac:dyDescent="0.3">
      <c r="B15" s="47" t="str">
        <f t="shared" si="0"/>
        <v/>
      </c>
      <c r="C15" s="22"/>
      <c r="D15" s="22"/>
      <c r="E15" s="22"/>
      <c r="F15" s="45"/>
      <c r="I15" s="21" t="s">
        <v>216</v>
      </c>
      <c r="J15" s="21">
        <v>41336463.571999997</v>
      </c>
      <c r="K15" s="21">
        <v>28872029.410300002</v>
      </c>
      <c r="L15" s="21">
        <v>16407595.248600001</v>
      </c>
      <c r="M15" s="21">
        <v>3943161.0869999998</v>
      </c>
      <c r="N15" s="21">
        <v>-8521273.0746999998</v>
      </c>
      <c r="O15" s="21">
        <v>-22700472.773200002</v>
      </c>
    </row>
    <row r="16" spans="2:15" x14ac:dyDescent="0.3">
      <c r="B16" s="47" t="str">
        <f t="shared" si="0"/>
        <v/>
      </c>
      <c r="C16" s="22"/>
      <c r="D16" s="22"/>
      <c r="E16" s="22"/>
      <c r="F16" s="45"/>
      <c r="H16" s="21">
        <v>5</v>
      </c>
      <c r="I16" s="21" t="s">
        <v>251</v>
      </c>
      <c r="J16" s="21">
        <v>-0.5</v>
      </c>
      <c r="K16" s="21">
        <v>-0.30000000000000004</v>
      </c>
      <c r="L16" s="21">
        <v>-9.9999999999999978E-2</v>
      </c>
      <c r="M16" s="21">
        <v>0.10000000000000009</v>
      </c>
      <c r="N16" s="21">
        <v>0.30000000000000004</v>
      </c>
      <c r="O16" s="21">
        <v>0.5</v>
      </c>
    </row>
    <row r="17" spans="2:15" x14ac:dyDescent="0.3">
      <c r="B17" s="47" t="str">
        <f t="shared" si="0"/>
        <v/>
      </c>
      <c r="C17" s="22"/>
      <c r="D17" s="22"/>
      <c r="E17" s="22"/>
      <c r="F17" s="45"/>
      <c r="I17" s="21" t="s">
        <v>216</v>
      </c>
      <c r="J17" s="21">
        <v>-96247227.2711</v>
      </c>
      <c r="K17" s="21">
        <v>-49492733.870200001</v>
      </c>
      <c r="L17" s="21">
        <v>-6632862.2098000003</v>
      </c>
      <c r="M17" s="21">
        <v>26983618.545400001</v>
      </c>
      <c r="N17" s="21">
        <v>60600099.300700001</v>
      </c>
      <c r="O17" s="21">
        <v>94216580.055999994</v>
      </c>
    </row>
    <row r="18" spans="2:15" x14ac:dyDescent="0.3">
      <c r="B18" s="47" t="str">
        <f t="shared" si="0"/>
        <v/>
      </c>
      <c r="C18" s="22"/>
      <c r="D18" s="22"/>
      <c r="E18" s="22"/>
      <c r="F18" s="45"/>
    </row>
    <row r="19" spans="2:15" x14ac:dyDescent="0.3">
      <c r="B19" s="47" t="str">
        <f t="shared" si="0"/>
        <v/>
      </c>
      <c r="C19" s="22"/>
      <c r="D19" s="22"/>
      <c r="E19" s="22"/>
      <c r="F19" s="45"/>
    </row>
    <row r="20" spans="2:15" x14ac:dyDescent="0.3">
      <c r="B20" s="47" t="str">
        <f t="shared" si="0"/>
        <v/>
      </c>
      <c r="C20" s="22"/>
      <c r="D20" s="22"/>
      <c r="E20" s="22"/>
      <c r="F20" s="45"/>
    </row>
    <row r="21" spans="2:15" x14ac:dyDescent="0.3">
      <c r="B21" s="47" t="str">
        <f t="shared" si="0"/>
        <v/>
      </c>
      <c r="C21" s="48"/>
      <c r="D21" s="48"/>
      <c r="E21" s="48"/>
      <c r="F21" s="49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ens_analysis">
                <anchor moveWithCells="1" sizeWithCells="1">
                  <from>
                    <xdr:col>7</xdr:col>
                    <xdr:colOff>342900</xdr:colOff>
                    <xdr:row>0</xdr:row>
                    <xdr:rowOff>160020</xdr:rowOff>
                  </from>
                  <to>
                    <xdr:col>12</xdr:col>
                    <xdr:colOff>190500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7DDE5-0CEA-4294-82F2-07D226E8EE61}">
  <sheetPr codeName="Sheet3"/>
  <dimension ref="A1:F497"/>
  <sheetViews>
    <sheetView workbookViewId="0">
      <selection activeCell="B9" sqref="B9"/>
    </sheetView>
  </sheetViews>
  <sheetFormatPr defaultColWidth="8.88671875" defaultRowHeight="13.8" x14ac:dyDescent="0.3"/>
  <cols>
    <col min="1" max="6" width="20.6640625" style="21" customWidth="1"/>
    <col min="7" max="16384" width="8.88671875" style="21"/>
  </cols>
  <sheetData>
    <row r="1" spans="1:6" x14ac:dyDescent="0.3">
      <c r="A1" s="50" t="s">
        <v>0</v>
      </c>
      <c r="B1" s="50" t="s">
        <v>1</v>
      </c>
      <c r="C1" s="50" t="s">
        <v>2</v>
      </c>
      <c r="D1" s="50" t="s">
        <v>3</v>
      </c>
      <c r="E1" s="50" t="s">
        <v>6</v>
      </c>
      <c r="F1" s="50" t="s">
        <v>7</v>
      </c>
    </row>
    <row r="2" spans="1:6" x14ac:dyDescent="0.3">
      <c r="A2" s="51" t="s">
        <v>252</v>
      </c>
      <c r="B2" s="22">
        <v>239633</v>
      </c>
      <c r="C2" s="52">
        <v>1437795.9</v>
      </c>
      <c r="D2" s="52">
        <f>0.03*C2</f>
        <v>43133.876999999993</v>
      </c>
      <c r="E2" s="60">
        <v>20</v>
      </c>
      <c r="F2" s="22"/>
    </row>
    <row r="3" spans="1:6" x14ac:dyDescent="0.3">
      <c r="A3" s="51" t="s">
        <v>253</v>
      </c>
      <c r="B3" s="22">
        <v>62204</v>
      </c>
      <c r="C3" s="52">
        <v>373224.5</v>
      </c>
      <c r="D3" s="52">
        <f>0.03*C3</f>
        <v>11196.734999999999</v>
      </c>
      <c r="E3" s="22">
        <v>20</v>
      </c>
      <c r="F3" s="22"/>
    </row>
    <row r="4" spans="1:6" x14ac:dyDescent="0.3">
      <c r="A4" s="51"/>
      <c r="B4" s="22"/>
      <c r="C4" s="31"/>
      <c r="D4" s="52"/>
      <c r="E4" s="22"/>
      <c r="F4" s="22"/>
    </row>
    <row r="5" spans="1:6" x14ac:dyDescent="0.3">
      <c r="A5" s="51"/>
      <c r="B5" s="22"/>
      <c r="C5" s="31"/>
      <c r="D5" s="52"/>
      <c r="E5" s="22"/>
      <c r="F5" s="22"/>
    </row>
    <row r="6" spans="1:6" x14ac:dyDescent="0.3">
      <c r="A6" s="51"/>
      <c r="B6" s="22"/>
      <c r="C6" s="31"/>
      <c r="D6" s="52"/>
      <c r="E6" s="22"/>
      <c r="F6" s="22"/>
    </row>
    <row r="7" spans="1:6" x14ac:dyDescent="0.3">
      <c r="A7" s="51"/>
      <c r="B7" s="22"/>
      <c r="C7" s="52"/>
      <c r="D7" s="52"/>
      <c r="E7" s="22"/>
      <c r="F7" s="22"/>
    </row>
    <row r="8" spans="1:6" x14ac:dyDescent="0.3">
      <c r="A8" s="51"/>
      <c r="B8" s="22"/>
      <c r="C8" s="52"/>
      <c r="D8" s="52"/>
      <c r="E8" s="22"/>
      <c r="F8" s="22"/>
    </row>
    <row r="9" spans="1:6" x14ac:dyDescent="0.3">
      <c r="A9" s="51"/>
      <c r="B9" s="22"/>
      <c r="C9" s="52"/>
      <c r="D9" s="52"/>
      <c r="E9" s="22"/>
      <c r="F9" s="22"/>
    </row>
    <row r="10" spans="1:6" x14ac:dyDescent="0.3">
      <c r="A10" s="51"/>
      <c r="B10" s="22"/>
      <c r="C10" s="52"/>
      <c r="D10" s="52"/>
      <c r="E10" s="22"/>
      <c r="F10" s="22"/>
    </row>
    <row r="11" spans="1:6" x14ac:dyDescent="0.3">
      <c r="A11" s="51"/>
      <c r="B11" s="22"/>
      <c r="C11" s="52"/>
      <c r="D11" s="52"/>
      <c r="E11" s="22"/>
      <c r="F11" s="22"/>
    </row>
    <row r="12" spans="1:6" x14ac:dyDescent="0.3">
      <c r="A12" s="51"/>
      <c r="B12" s="22"/>
      <c r="C12" s="52"/>
      <c r="D12" s="52"/>
      <c r="E12" s="22"/>
      <c r="F12" s="22"/>
    </row>
    <row r="13" spans="1:6" x14ac:dyDescent="0.3">
      <c r="A13" s="51"/>
      <c r="B13" s="22"/>
      <c r="C13" s="31"/>
      <c r="D13" s="31"/>
      <c r="E13" s="22"/>
      <c r="F13" s="22"/>
    </row>
    <row r="14" spans="1:6" x14ac:dyDescent="0.3">
      <c r="A14" s="51"/>
      <c r="B14" s="22"/>
      <c r="C14" s="31"/>
      <c r="D14" s="31"/>
      <c r="E14" s="22"/>
      <c r="F14" s="22"/>
    </row>
    <row r="15" spans="1:6" x14ac:dyDescent="0.3">
      <c r="A15" s="51"/>
      <c r="B15" s="22"/>
      <c r="C15" s="31"/>
      <c r="D15" s="31"/>
      <c r="E15" s="22"/>
      <c r="F15" s="22"/>
    </row>
    <row r="16" spans="1:6" x14ac:dyDescent="0.3">
      <c r="A16" s="51"/>
      <c r="B16" s="22"/>
      <c r="C16" s="31"/>
      <c r="D16" s="31"/>
      <c r="E16" s="22"/>
      <c r="F16" s="22"/>
    </row>
    <row r="17" spans="1:6" x14ac:dyDescent="0.3">
      <c r="A17" s="51"/>
      <c r="B17" s="22"/>
      <c r="C17" s="31"/>
      <c r="D17" s="31"/>
      <c r="E17" s="22"/>
      <c r="F17" s="22"/>
    </row>
    <row r="18" spans="1:6" x14ac:dyDescent="0.3">
      <c r="A18" s="51"/>
      <c r="B18" s="22"/>
      <c r="C18" s="31"/>
      <c r="D18" s="31"/>
      <c r="E18" s="22"/>
      <c r="F18" s="22"/>
    </row>
    <row r="19" spans="1:6" x14ac:dyDescent="0.3">
      <c r="A19" s="51"/>
      <c r="B19" s="22"/>
      <c r="C19" s="31"/>
      <c r="D19" s="31"/>
      <c r="E19" s="22"/>
      <c r="F19" s="22"/>
    </row>
    <row r="20" spans="1:6" x14ac:dyDescent="0.3">
      <c r="A20" s="51"/>
      <c r="B20" s="22"/>
      <c r="C20" s="31"/>
      <c r="D20" s="31"/>
      <c r="E20" s="22"/>
      <c r="F20" s="22"/>
    </row>
    <row r="21" spans="1:6" x14ac:dyDescent="0.3">
      <c r="A21" s="51"/>
      <c r="B21" s="22"/>
      <c r="C21" s="31"/>
      <c r="D21" s="31"/>
      <c r="E21" s="22"/>
      <c r="F21" s="22"/>
    </row>
    <row r="22" spans="1:6" x14ac:dyDescent="0.3">
      <c r="A22" s="51"/>
      <c r="B22" s="22"/>
      <c r="C22" s="31"/>
      <c r="D22" s="31"/>
      <c r="E22" s="22"/>
      <c r="F22" s="22"/>
    </row>
    <row r="23" spans="1:6" x14ac:dyDescent="0.3">
      <c r="A23" s="51"/>
      <c r="B23" s="22"/>
      <c r="C23" s="31"/>
      <c r="D23" s="31"/>
      <c r="E23" s="22"/>
      <c r="F23" s="22"/>
    </row>
    <row r="24" spans="1:6" x14ac:dyDescent="0.3">
      <c r="A24" s="51"/>
      <c r="B24" s="22"/>
      <c r="C24" s="31"/>
      <c r="D24" s="31"/>
      <c r="E24" s="22"/>
      <c r="F24" s="22"/>
    </row>
    <row r="25" spans="1:6" x14ac:dyDescent="0.3">
      <c r="A25" s="51"/>
      <c r="B25" s="22"/>
      <c r="C25" s="31"/>
      <c r="D25" s="31"/>
      <c r="E25" s="22"/>
      <c r="F25" s="22"/>
    </row>
    <row r="26" spans="1:6" x14ac:dyDescent="0.3">
      <c r="A26" s="51"/>
      <c r="B26" s="22"/>
      <c r="C26" s="31"/>
      <c r="D26" s="31"/>
      <c r="E26" s="22"/>
      <c r="F26" s="22"/>
    </row>
    <row r="27" spans="1:6" x14ac:dyDescent="0.3">
      <c r="A27" s="51"/>
      <c r="B27" s="22"/>
      <c r="C27" s="31"/>
      <c r="D27" s="31"/>
      <c r="E27" s="22"/>
      <c r="F27" s="22"/>
    </row>
    <row r="28" spans="1:6" x14ac:dyDescent="0.3">
      <c r="A28" s="51"/>
      <c r="B28" s="22"/>
      <c r="C28" s="31"/>
      <c r="D28" s="31"/>
      <c r="E28" s="22"/>
      <c r="F28" s="22"/>
    </row>
    <row r="29" spans="1:6" x14ac:dyDescent="0.3">
      <c r="A29" s="51"/>
      <c r="B29" s="22"/>
      <c r="C29" s="31"/>
      <c r="D29" s="31"/>
      <c r="E29" s="22"/>
      <c r="F29" s="22"/>
    </row>
    <row r="30" spans="1:6" x14ac:dyDescent="0.3">
      <c r="A30" s="51"/>
      <c r="B30" s="22"/>
      <c r="C30" s="31"/>
      <c r="D30" s="31"/>
      <c r="E30" s="22"/>
      <c r="F30" s="22"/>
    </row>
    <row r="31" spans="1:6" x14ac:dyDescent="0.3">
      <c r="A31" s="51"/>
      <c r="B31" s="22"/>
      <c r="C31" s="31"/>
      <c r="D31" s="31"/>
      <c r="E31" s="22"/>
      <c r="F31" s="22"/>
    </row>
    <row r="32" spans="1:6" x14ac:dyDescent="0.3">
      <c r="A32" s="51"/>
      <c r="B32" s="22"/>
      <c r="C32" s="31"/>
      <c r="D32" s="31"/>
      <c r="E32" s="22"/>
      <c r="F32" s="22"/>
    </row>
    <row r="33" spans="1:6" x14ac:dyDescent="0.3">
      <c r="A33" s="51"/>
      <c r="B33" s="22"/>
      <c r="C33" s="31"/>
      <c r="D33" s="31"/>
      <c r="E33" s="22"/>
      <c r="F33" s="22"/>
    </row>
    <row r="34" spans="1:6" x14ac:dyDescent="0.3">
      <c r="A34" s="51"/>
      <c r="B34" s="22"/>
      <c r="C34" s="31"/>
      <c r="D34" s="31"/>
      <c r="E34" s="22"/>
      <c r="F34" s="22"/>
    </row>
    <row r="35" spans="1:6" x14ac:dyDescent="0.3">
      <c r="A35" s="51"/>
      <c r="B35" s="22"/>
      <c r="C35" s="31"/>
      <c r="D35" s="31"/>
      <c r="E35" s="22"/>
      <c r="F35" s="22"/>
    </row>
    <row r="36" spans="1:6" x14ac:dyDescent="0.3">
      <c r="A36" s="51"/>
      <c r="B36" s="22"/>
      <c r="C36" s="31"/>
      <c r="D36" s="31"/>
      <c r="E36" s="22"/>
      <c r="F36" s="22"/>
    </row>
    <row r="37" spans="1:6" x14ac:dyDescent="0.3">
      <c r="A37" s="51"/>
      <c r="B37" s="22"/>
      <c r="C37" s="31"/>
      <c r="D37" s="31"/>
      <c r="E37" s="22"/>
      <c r="F37" s="22"/>
    </row>
    <row r="38" spans="1:6" x14ac:dyDescent="0.3">
      <c r="A38" s="51"/>
      <c r="B38" s="22"/>
      <c r="C38" s="31"/>
      <c r="D38" s="31"/>
      <c r="E38" s="22"/>
      <c r="F38" s="22"/>
    </row>
    <row r="39" spans="1:6" x14ac:dyDescent="0.3">
      <c r="A39" s="51"/>
      <c r="B39" s="22"/>
      <c r="C39" s="31"/>
      <c r="D39" s="31"/>
      <c r="E39" s="22"/>
      <c r="F39" s="22"/>
    </row>
    <row r="40" spans="1:6" x14ac:dyDescent="0.3">
      <c r="A40" s="51"/>
      <c r="B40" s="22"/>
      <c r="C40" s="31"/>
      <c r="D40" s="31"/>
      <c r="E40" s="22"/>
      <c r="F40" s="22"/>
    </row>
    <row r="41" spans="1:6" x14ac:dyDescent="0.3">
      <c r="A41" s="51"/>
      <c r="B41" s="22"/>
      <c r="C41" s="31"/>
      <c r="D41" s="31"/>
      <c r="E41" s="22"/>
      <c r="F41" s="22"/>
    </row>
    <row r="42" spans="1:6" x14ac:dyDescent="0.3">
      <c r="A42" s="51"/>
      <c r="B42" s="22"/>
      <c r="C42" s="31"/>
      <c r="D42" s="31"/>
      <c r="E42" s="22"/>
      <c r="F42" s="22"/>
    </row>
    <row r="43" spans="1:6" x14ac:dyDescent="0.3">
      <c r="A43" s="51"/>
      <c r="B43" s="22"/>
      <c r="C43" s="31"/>
      <c r="D43" s="31"/>
      <c r="E43" s="22"/>
      <c r="F43" s="22"/>
    </row>
    <row r="44" spans="1:6" x14ac:dyDescent="0.3">
      <c r="A44" s="51"/>
      <c r="B44" s="22"/>
      <c r="C44" s="31"/>
      <c r="D44" s="31"/>
      <c r="E44" s="22"/>
      <c r="F44" s="22"/>
    </row>
    <row r="45" spans="1:6" x14ac:dyDescent="0.3">
      <c r="A45" s="51"/>
      <c r="B45" s="22"/>
      <c r="C45" s="31"/>
      <c r="D45" s="31"/>
      <c r="E45" s="22"/>
      <c r="F45" s="22"/>
    </row>
    <row r="46" spans="1:6" x14ac:dyDescent="0.3">
      <c r="A46" s="51"/>
      <c r="B46" s="22"/>
      <c r="C46" s="31"/>
      <c r="D46" s="31"/>
      <c r="E46" s="22"/>
      <c r="F46" s="22"/>
    </row>
    <row r="47" spans="1:6" x14ac:dyDescent="0.3">
      <c r="A47" s="51"/>
      <c r="B47" s="22"/>
      <c r="C47" s="31"/>
      <c r="D47" s="31"/>
      <c r="E47" s="22"/>
      <c r="F47" s="22"/>
    </row>
    <row r="48" spans="1:6" x14ac:dyDescent="0.3">
      <c r="A48" s="51"/>
      <c r="B48" s="22"/>
      <c r="C48" s="31"/>
      <c r="D48" s="31"/>
      <c r="E48" s="22"/>
      <c r="F48" s="22"/>
    </row>
    <row r="49" spans="1:6" x14ac:dyDescent="0.3">
      <c r="A49" s="51"/>
      <c r="B49" s="22"/>
      <c r="C49" s="31"/>
      <c r="D49" s="31"/>
      <c r="E49" s="22"/>
      <c r="F49" s="22"/>
    </row>
    <row r="50" spans="1:6" x14ac:dyDescent="0.3">
      <c r="A50" s="51"/>
      <c r="B50" s="22"/>
      <c r="C50" s="31"/>
      <c r="D50" s="31"/>
      <c r="E50" s="22"/>
      <c r="F50" s="22"/>
    </row>
    <row r="51" spans="1:6" x14ac:dyDescent="0.3">
      <c r="A51" s="51"/>
      <c r="B51" s="22"/>
      <c r="C51" s="31"/>
      <c r="D51" s="31"/>
      <c r="E51" s="22"/>
      <c r="F51" s="22"/>
    </row>
    <row r="52" spans="1:6" x14ac:dyDescent="0.3">
      <c r="A52" s="51"/>
      <c r="B52" s="22"/>
      <c r="C52" s="31"/>
      <c r="D52" s="31"/>
      <c r="E52" s="22"/>
      <c r="F52" s="22"/>
    </row>
    <row r="53" spans="1:6" x14ac:dyDescent="0.3">
      <c r="A53" s="51"/>
      <c r="B53" s="22"/>
      <c r="C53" s="31"/>
      <c r="D53" s="31"/>
      <c r="E53" s="22"/>
      <c r="F53" s="22"/>
    </row>
    <row r="54" spans="1:6" x14ac:dyDescent="0.3">
      <c r="A54" s="51"/>
      <c r="B54" s="22"/>
      <c r="C54" s="31"/>
      <c r="D54" s="31"/>
      <c r="E54" s="22"/>
      <c r="F54" s="22"/>
    </row>
    <row r="55" spans="1:6" x14ac:dyDescent="0.3">
      <c r="A55" s="51"/>
      <c r="B55" s="22"/>
      <c r="C55" s="31"/>
      <c r="D55" s="31"/>
      <c r="E55" s="22"/>
      <c r="F55" s="22"/>
    </row>
    <row r="56" spans="1:6" x14ac:dyDescent="0.3">
      <c r="A56" s="51"/>
      <c r="B56" s="22"/>
      <c r="C56" s="31"/>
      <c r="D56" s="31"/>
      <c r="E56" s="22"/>
      <c r="F56" s="22"/>
    </row>
    <row r="57" spans="1:6" x14ac:dyDescent="0.3">
      <c r="A57" s="51"/>
      <c r="B57" s="22"/>
      <c r="C57" s="31"/>
      <c r="D57" s="31"/>
      <c r="E57" s="22"/>
      <c r="F57" s="22"/>
    </row>
    <row r="58" spans="1:6" x14ac:dyDescent="0.3">
      <c r="A58" s="51"/>
      <c r="B58" s="22"/>
      <c r="C58" s="31"/>
      <c r="D58" s="31"/>
      <c r="E58" s="22"/>
      <c r="F58" s="22"/>
    </row>
    <row r="59" spans="1:6" x14ac:dyDescent="0.3">
      <c r="A59" s="51"/>
      <c r="B59" s="22"/>
      <c r="C59" s="31"/>
      <c r="D59" s="31"/>
      <c r="E59" s="22"/>
      <c r="F59" s="22"/>
    </row>
    <row r="60" spans="1:6" x14ac:dyDescent="0.3">
      <c r="A60" s="51"/>
      <c r="B60" s="22"/>
      <c r="C60" s="31"/>
      <c r="D60" s="31"/>
      <c r="E60" s="22"/>
      <c r="F60" s="22"/>
    </row>
    <row r="61" spans="1:6" x14ac:dyDescent="0.3">
      <c r="A61" s="51"/>
      <c r="B61" s="22"/>
      <c r="C61" s="31"/>
      <c r="D61" s="31"/>
      <c r="E61" s="22"/>
      <c r="F61" s="22"/>
    </row>
    <row r="62" spans="1:6" x14ac:dyDescent="0.3">
      <c r="A62" s="51"/>
      <c r="B62" s="22"/>
      <c r="C62" s="31"/>
      <c r="D62" s="31"/>
      <c r="E62" s="22"/>
      <c r="F62" s="22"/>
    </row>
    <row r="63" spans="1:6" x14ac:dyDescent="0.3">
      <c r="A63" s="51"/>
      <c r="B63" s="22"/>
      <c r="C63" s="31"/>
      <c r="D63" s="31"/>
      <c r="E63" s="22"/>
      <c r="F63" s="22"/>
    </row>
    <row r="64" spans="1:6" x14ac:dyDescent="0.3">
      <c r="A64" s="51"/>
      <c r="B64" s="22"/>
      <c r="C64" s="31"/>
      <c r="D64" s="31"/>
      <c r="E64" s="22"/>
      <c r="F64" s="22"/>
    </row>
    <row r="65" spans="1:6" x14ac:dyDescent="0.3">
      <c r="A65" s="51"/>
      <c r="B65" s="22"/>
      <c r="C65" s="31"/>
      <c r="D65" s="31"/>
      <c r="E65" s="22"/>
      <c r="F65" s="22"/>
    </row>
    <row r="66" spans="1:6" x14ac:dyDescent="0.3">
      <c r="A66" s="51"/>
      <c r="B66" s="22"/>
      <c r="C66" s="31"/>
      <c r="D66" s="31"/>
      <c r="E66" s="22"/>
      <c r="F66" s="22"/>
    </row>
    <row r="67" spans="1:6" x14ac:dyDescent="0.3">
      <c r="A67" s="51"/>
      <c r="B67" s="22"/>
      <c r="C67" s="31"/>
      <c r="D67" s="31"/>
      <c r="E67" s="22"/>
      <c r="F67" s="22"/>
    </row>
    <row r="68" spans="1:6" x14ac:dyDescent="0.3">
      <c r="A68" s="51"/>
      <c r="B68" s="22"/>
      <c r="C68" s="31"/>
      <c r="D68" s="31"/>
      <c r="E68" s="22"/>
      <c r="F68" s="22"/>
    </row>
    <row r="69" spans="1:6" x14ac:dyDescent="0.3">
      <c r="A69" s="51"/>
      <c r="B69" s="22"/>
      <c r="C69" s="31"/>
      <c r="D69" s="31"/>
      <c r="E69" s="22"/>
      <c r="F69" s="22"/>
    </row>
    <row r="70" spans="1:6" x14ac:dyDescent="0.3">
      <c r="A70" s="51"/>
      <c r="B70" s="22"/>
      <c r="C70" s="31"/>
      <c r="D70" s="31"/>
      <c r="E70" s="22"/>
      <c r="F70" s="22"/>
    </row>
    <row r="71" spans="1:6" x14ac:dyDescent="0.3">
      <c r="A71" s="51"/>
      <c r="B71" s="22"/>
      <c r="C71" s="31"/>
      <c r="D71" s="31"/>
      <c r="E71" s="22"/>
      <c r="F71" s="22"/>
    </row>
    <row r="72" spans="1:6" x14ac:dyDescent="0.3">
      <c r="A72" s="51"/>
      <c r="B72" s="22"/>
      <c r="C72" s="31"/>
      <c r="D72" s="31"/>
      <c r="E72" s="22"/>
      <c r="F72" s="22"/>
    </row>
    <row r="73" spans="1:6" x14ac:dyDescent="0.3">
      <c r="A73" s="51"/>
      <c r="B73" s="22"/>
      <c r="C73" s="31"/>
      <c r="D73" s="31"/>
      <c r="E73" s="22"/>
      <c r="F73" s="22"/>
    </row>
    <row r="74" spans="1:6" x14ac:dyDescent="0.3">
      <c r="A74" s="51"/>
      <c r="B74" s="22"/>
      <c r="C74" s="31"/>
      <c r="D74" s="31"/>
      <c r="E74" s="22"/>
      <c r="F74" s="22"/>
    </row>
    <row r="75" spans="1:6" x14ac:dyDescent="0.3">
      <c r="A75" s="51"/>
      <c r="B75" s="22"/>
      <c r="C75" s="31"/>
      <c r="D75" s="31"/>
      <c r="E75" s="22"/>
      <c r="F75" s="22"/>
    </row>
    <row r="76" spans="1:6" x14ac:dyDescent="0.3">
      <c r="A76" s="51"/>
      <c r="B76" s="22"/>
      <c r="C76" s="31"/>
      <c r="D76" s="31"/>
      <c r="E76" s="22"/>
      <c r="F76" s="22"/>
    </row>
    <row r="77" spans="1:6" x14ac:dyDescent="0.3">
      <c r="A77" s="51"/>
      <c r="B77" s="22"/>
      <c r="C77" s="31"/>
      <c r="D77" s="31"/>
      <c r="E77" s="22"/>
      <c r="F77" s="22"/>
    </row>
    <row r="78" spans="1:6" x14ac:dyDescent="0.3">
      <c r="A78" s="51"/>
      <c r="B78" s="22"/>
      <c r="C78" s="31"/>
      <c r="D78" s="31"/>
      <c r="E78" s="22"/>
      <c r="F78" s="22"/>
    </row>
    <row r="79" spans="1:6" x14ac:dyDescent="0.3">
      <c r="A79" s="51"/>
      <c r="B79" s="22"/>
      <c r="C79" s="31"/>
      <c r="D79" s="31"/>
      <c r="E79" s="22"/>
      <c r="F79" s="22"/>
    </row>
    <row r="80" spans="1:6" x14ac:dyDescent="0.3">
      <c r="A80" s="51"/>
      <c r="B80" s="22"/>
      <c r="C80" s="31"/>
      <c r="D80" s="31"/>
      <c r="E80" s="22"/>
      <c r="F80" s="22"/>
    </row>
    <row r="81" spans="1:6" x14ac:dyDescent="0.3">
      <c r="A81" s="51"/>
      <c r="B81" s="22"/>
      <c r="C81" s="31"/>
      <c r="D81" s="31"/>
      <c r="E81" s="22"/>
      <c r="F81" s="22"/>
    </row>
    <row r="82" spans="1:6" x14ac:dyDescent="0.3">
      <c r="A82" s="51"/>
      <c r="B82" s="22"/>
      <c r="C82" s="31"/>
      <c r="D82" s="31"/>
      <c r="E82" s="22"/>
      <c r="F82" s="22"/>
    </row>
    <row r="83" spans="1:6" x14ac:dyDescent="0.3">
      <c r="A83" s="51"/>
      <c r="B83" s="22"/>
      <c r="C83" s="31"/>
      <c r="D83" s="31"/>
      <c r="E83" s="22"/>
      <c r="F83" s="22"/>
    </row>
    <row r="84" spans="1:6" x14ac:dyDescent="0.3">
      <c r="A84" s="51"/>
      <c r="B84" s="22"/>
      <c r="C84" s="31"/>
      <c r="D84" s="31"/>
      <c r="E84" s="22"/>
      <c r="F84" s="22"/>
    </row>
    <row r="85" spans="1:6" x14ac:dyDescent="0.3">
      <c r="A85" s="51"/>
      <c r="B85" s="22"/>
      <c r="C85" s="31"/>
      <c r="D85" s="31"/>
      <c r="E85" s="22"/>
      <c r="F85" s="22"/>
    </row>
    <row r="86" spans="1:6" x14ac:dyDescent="0.3">
      <c r="A86" s="51"/>
      <c r="B86" s="22"/>
      <c r="C86" s="31"/>
      <c r="D86" s="31"/>
      <c r="E86" s="22"/>
      <c r="F86" s="22"/>
    </row>
    <row r="87" spans="1:6" x14ac:dyDescent="0.3">
      <c r="A87" s="51"/>
      <c r="B87" s="22"/>
      <c r="C87" s="31"/>
      <c r="D87" s="31"/>
      <c r="E87" s="22"/>
      <c r="F87" s="22"/>
    </row>
    <row r="88" spans="1:6" x14ac:dyDescent="0.3">
      <c r="A88" s="51"/>
      <c r="B88" s="22"/>
      <c r="C88" s="31"/>
      <c r="D88" s="31"/>
      <c r="E88" s="22"/>
      <c r="F88" s="22"/>
    </row>
    <row r="89" spans="1:6" x14ac:dyDescent="0.3">
      <c r="A89" s="51"/>
      <c r="B89" s="22"/>
      <c r="C89" s="31"/>
      <c r="D89" s="31"/>
      <c r="E89" s="22"/>
      <c r="F89" s="22"/>
    </row>
    <row r="90" spans="1:6" x14ac:dyDescent="0.3">
      <c r="A90" s="51"/>
      <c r="B90" s="22"/>
      <c r="C90" s="31"/>
      <c r="D90" s="31"/>
      <c r="E90" s="22"/>
      <c r="F90" s="22"/>
    </row>
    <row r="91" spans="1:6" x14ac:dyDescent="0.3">
      <c r="A91" s="51"/>
      <c r="B91" s="22"/>
      <c r="C91" s="31"/>
      <c r="D91" s="31"/>
      <c r="E91" s="22"/>
      <c r="F91" s="22"/>
    </row>
    <row r="92" spans="1:6" x14ac:dyDescent="0.3">
      <c r="A92" s="51"/>
      <c r="B92" s="22"/>
      <c r="C92" s="31"/>
      <c r="D92" s="31"/>
      <c r="E92" s="22"/>
      <c r="F92" s="22"/>
    </row>
    <row r="93" spans="1:6" x14ac:dyDescent="0.3">
      <c r="A93" s="51"/>
      <c r="B93" s="22"/>
      <c r="C93" s="31"/>
      <c r="D93" s="31"/>
      <c r="E93" s="22"/>
      <c r="F93" s="22"/>
    </row>
    <row r="94" spans="1:6" x14ac:dyDescent="0.3">
      <c r="A94" s="51"/>
      <c r="B94" s="22"/>
      <c r="C94" s="31"/>
      <c r="D94" s="31"/>
      <c r="E94" s="22"/>
      <c r="F94" s="22"/>
    </row>
    <row r="95" spans="1:6" x14ac:dyDescent="0.3">
      <c r="A95" s="51"/>
      <c r="B95" s="22"/>
      <c r="C95" s="31"/>
      <c r="D95" s="31"/>
      <c r="E95" s="22"/>
      <c r="F95" s="22"/>
    </row>
    <row r="96" spans="1:6" x14ac:dyDescent="0.3">
      <c r="A96" s="51"/>
      <c r="B96" s="22"/>
      <c r="C96" s="31"/>
      <c r="D96" s="31"/>
      <c r="E96" s="22"/>
      <c r="F96" s="22"/>
    </row>
    <row r="97" spans="1:6" x14ac:dyDescent="0.3">
      <c r="A97" s="51"/>
      <c r="B97" s="22"/>
      <c r="C97" s="31"/>
      <c r="D97" s="31"/>
      <c r="E97" s="22"/>
      <c r="F97" s="22"/>
    </row>
    <row r="98" spans="1:6" x14ac:dyDescent="0.3">
      <c r="A98" s="51"/>
      <c r="B98" s="22"/>
      <c r="C98" s="31"/>
      <c r="D98" s="31"/>
      <c r="E98" s="22"/>
      <c r="F98" s="22"/>
    </row>
    <row r="99" spans="1:6" x14ac:dyDescent="0.3">
      <c r="A99" s="51"/>
      <c r="B99" s="22"/>
      <c r="C99" s="31"/>
      <c r="D99" s="31"/>
      <c r="E99" s="22"/>
      <c r="F99" s="22"/>
    </row>
    <row r="100" spans="1:6" x14ac:dyDescent="0.3">
      <c r="A100" s="51"/>
      <c r="B100" s="22"/>
      <c r="C100" s="31"/>
      <c r="D100" s="31"/>
      <c r="E100" s="22"/>
      <c r="F100" s="22"/>
    </row>
    <row r="101" spans="1:6" x14ac:dyDescent="0.3">
      <c r="A101" s="51"/>
      <c r="B101" s="22"/>
      <c r="C101" s="31"/>
      <c r="D101" s="31"/>
      <c r="E101" s="22"/>
      <c r="F101" s="22"/>
    </row>
    <row r="102" spans="1:6" x14ac:dyDescent="0.3">
      <c r="A102" s="51"/>
      <c r="B102" s="22"/>
      <c r="C102" s="31"/>
      <c r="D102" s="31"/>
      <c r="E102" s="22"/>
      <c r="F102" s="22"/>
    </row>
    <row r="103" spans="1:6" x14ac:dyDescent="0.3">
      <c r="A103" s="51"/>
      <c r="B103" s="22"/>
      <c r="C103" s="31"/>
      <c r="D103" s="31"/>
      <c r="E103" s="22"/>
      <c r="F103" s="22"/>
    </row>
    <row r="104" spans="1:6" x14ac:dyDescent="0.3">
      <c r="A104" s="51"/>
      <c r="B104" s="22"/>
      <c r="C104" s="31"/>
      <c r="D104" s="31"/>
      <c r="E104" s="22"/>
      <c r="F104" s="22"/>
    </row>
    <row r="105" spans="1:6" x14ac:dyDescent="0.3">
      <c r="A105" s="51"/>
      <c r="B105" s="22"/>
      <c r="C105" s="31"/>
      <c r="D105" s="31"/>
      <c r="E105" s="22"/>
      <c r="F105" s="22"/>
    </row>
    <row r="106" spans="1:6" x14ac:dyDescent="0.3">
      <c r="A106" s="51"/>
      <c r="B106" s="22"/>
      <c r="C106" s="31"/>
      <c r="D106" s="31"/>
      <c r="E106" s="22"/>
      <c r="F106" s="22"/>
    </row>
    <row r="107" spans="1:6" x14ac:dyDescent="0.3">
      <c r="A107" s="51"/>
      <c r="B107" s="22"/>
      <c r="C107" s="31"/>
      <c r="D107" s="31"/>
      <c r="E107" s="22"/>
      <c r="F107" s="22"/>
    </row>
    <row r="108" spans="1:6" x14ac:dyDescent="0.3">
      <c r="A108" s="51"/>
      <c r="B108" s="22"/>
      <c r="C108" s="31"/>
      <c r="D108" s="31"/>
      <c r="E108" s="22"/>
      <c r="F108" s="22"/>
    </row>
    <row r="109" spans="1:6" x14ac:dyDescent="0.3">
      <c r="A109" s="51"/>
      <c r="B109" s="22"/>
      <c r="C109" s="31"/>
      <c r="D109" s="31"/>
      <c r="E109" s="22"/>
      <c r="F109" s="22"/>
    </row>
    <row r="110" spans="1:6" x14ac:dyDescent="0.3">
      <c r="A110" s="51"/>
      <c r="B110" s="22"/>
      <c r="C110" s="31"/>
      <c r="D110" s="31"/>
      <c r="E110" s="22"/>
      <c r="F110" s="22"/>
    </row>
    <row r="111" spans="1:6" x14ac:dyDescent="0.3">
      <c r="A111" s="51"/>
      <c r="B111" s="22"/>
      <c r="C111" s="31"/>
      <c r="D111" s="31"/>
      <c r="E111" s="22"/>
      <c r="F111" s="22"/>
    </row>
    <row r="112" spans="1:6" x14ac:dyDescent="0.3">
      <c r="A112" s="51"/>
      <c r="B112" s="22"/>
      <c r="C112" s="31"/>
      <c r="D112" s="31"/>
      <c r="E112" s="22"/>
      <c r="F112" s="22"/>
    </row>
    <row r="113" spans="1:6" x14ac:dyDescent="0.3">
      <c r="A113" s="51"/>
      <c r="B113" s="22"/>
      <c r="C113" s="31"/>
      <c r="D113" s="31"/>
      <c r="E113" s="22"/>
      <c r="F113" s="22"/>
    </row>
    <row r="114" spans="1:6" x14ac:dyDescent="0.3">
      <c r="A114" s="51"/>
      <c r="B114" s="22"/>
      <c r="C114" s="31"/>
      <c r="D114" s="31"/>
      <c r="E114" s="22"/>
      <c r="F114" s="22"/>
    </row>
    <row r="115" spans="1:6" x14ac:dyDescent="0.3">
      <c r="A115" s="51"/>
      <c r="B115" s="22"/>
      <c r="C115" s="31"/>
      <c r="D115" s="31"/>
      <c r="E115" s="22"/>
      <c r="F115" s="22"/>
    </row>
    <row r="116" spans="1:6" x14ac:dyDescent="0.3">
      <c r="A116" s="51"/>
      <c r="B116" s="22"/>
      <c r="C116" s="31"/>
      <c r="D116" s="31"/>
      <c r="E116" s="22"/>
      <c r="F116" s="22"/>
    </row>
    <row r="117" spans="1:6" x14ac:dyDescent="0.3">
      <c r="A117" s="51"/>
      <c r="B117" s="22"/>
      <c r="C117" s="31"/>
      <c r="D117" s="31"/>
      <c r="E117" s="22"/>
      <c r="F117" s="22"/>
    </row>
    <row r="118" spans="1:6" x14ac:dyDescent="0.3">
      <c r="A118" s="51"/>
      <c r="B118" s="22"/>
      <c r="C118" s="31"/>
      <c r="D118" s="31"/>
      <c r="E118" s="22"/>
      <c r="F118" s="22"/>
    </row>
    <row r="119" spans="1:6" x14ac:dyDescent="0.3">
      <c r="A119" s="51"/>
      <c r="B119" s="22"/>
      <c r="C119" s="31"/>
      <c r="D119" s="31"/>
      <c r="E119" s="22"/>
      <c r="F119" s="22"/>
    </row>
    <row r="120" spans="1:6" x14ac:dyDescent="0.3">
      <c r="A120" s="51"/>
      <c r="B120" s="22"/>
      <c r="C120" s="31"/>
      <c r="D120" s="31"/>
      <c r="E120" s="22"/>
      <c r="F120" s="22"/>
    </row>
    <row r="121" spans="1:6" x14ac:dyDescent="0.3">
      <c r="A121" s="51"/>
      <c r="B121" s="22"/>
      <c r="C121" s="31"/>
      <c r="D121" s="31"/>
      <c r="E121" s="22"/>
      <c r="F121" s="22"/>
    </row>
    <row r="122" spans="1:6" x14ac:dyDescent="0.3">
      <c r="A122" s="51"/>
      <c r="B122" s="22"/>
      <c r="C122" s="31"/>
      <c r="D122" s="31"/>
      <c r="E122" s="22"/>
      <c r="F122" s="22"/>
    </row>
    <row r="123" spans="1:6" x14ac:dyDescent="0.3">
      <c r="A123" s="51"/>
      <c r="B123" s="22"/>
      <c r="C123" s="31"/>
      <c r="D123" s="31"/>
      <c r="E123" s="22"/>
      <c r="F123" s="22"/>
    </row>
    <row r="124" spans="1:6" x14ac:dyDescent="0.3">
      <c r="A124" s="51"/>
      <c r="B124" s="22"/>
      <c r="C124" s="31"/>
      <c r="D124" s="31"/>
      <c r="E124" s="22"/>
      <c r="F124" s="22"/>
    </row>
    <row r="125" spans="1:6" x14ac:dyDescent="0.3">
      <c r="A125" s="51"/>
      <c r="B125" s="22"/>
      <c r="C125" s="31"/>
      <c r="D125" s="31"/>
      <c r="E125" s="22"/>
      <c r="F125" s="22"/>
    </row>
    <row r="126" spans="1:6" x14ac:dyDescent="0.3">
      <c r="A126" s="51"/>
      <c r="B126" s="22"/>
      <c r="C126" s="31"/>
      <c r="D126" s="31"/>
      <c r="E126" s="22"/>
      <c r="F126" s="22"/>
    </row>
    <row r="127" spans="1:6" x14ac:dyDescent="0.3">
      <c r="A127" s="51"/>
      <c r="B127" s="22"/>
      <c r="C127" s="31"/>
      <c r="D127" s="31"/>
      <c r="E127" s="22"/>
      <c r="F127" s="22"/>
    </row>
    <row r="128" spans="1:6" x14ac:dyDescent="0.3">
      <c r="A128" s="51"/>
      <c r="B128" s="22"/>
      <c r="C128" s="31"/>
      <c r="D128" s="31"/>
      <c r="E128" s="22"/>
      <c r="F128" s="22"/>
    </row>
    <row r="129" spans="1:6" x14ac:dyDescent="0.3">
      <c r="A129" s="51"/>
      <c r="B129" s="22"/>
      <c r="C129" s="31"/>
      <c r="D129" s="31"/>
      <c r="E129" s="22"/>
      <c r="F129" s="22"/>
    </row>
    <row r="130" spans="1:6" x14ac:dyDescent="0.3">
      <c r="A130" s="51"/>
      <c r="B130" s="22"/>
      <c r="C130" s="31"/>
      <c r="D130" s="31"/>
      <c r="E130" s="22"/>
      <c r="F130" s="22"/>
    </row>
    <row r="131" spans="1:6" x14ac:dyDescent="0.3">
      <c r="A131" s="51"/>
      <c r="B131" s="22"/>
      <c r="C131" s="31"/>
      <c r="D131" s="31"/>
      <c r="E131" s="22"/>
      <c r="F131" s="22"/>
    </row>
    <row r="132" spans="1:6" x14ac:dyDescent="0.3">
      <c r="A132" s="51"/>
      <c r="B132" s="22"/>
      <c r="C132" s="31"/>
      <c r="D132" s="31"/>
      <c r="E132" s="22"/>
      <c r="F132" s="22"/>
    </row>
    <row r="133" spans="1:6" x14ac:dyDescent="0.3">
      <c r="A133" s="51"/>
      <c r="B133" s="22"/>
      <c r="C133" s="31"/>
      <c r="D133" s="31"/>
      <c r="E133" s="22"/>
      <c r="F133" s="22"/>
    </row>
    <row r="134" spans="1:6" x14ac:dyDescent="0.3">
      <c r="A134" s="51"/>
      <c r="B134" s="22"/>
      <c r="C134" s="31"/>
      <c r="D134" s="31"/>
      <c r="E134" s="22"/>
      <c r="F134" s="22"/>
    </row>
    <row r="135" spans="1:6" x14ac:dyDescent="0.3">
      <c r="A135" s="51"/>
      <c r="B135" s="22"/>
      <c r="C135" s="31"/>
      <c r="D135" s="31"/>
      <c r="E135" s="22"/>
      <c r="F135" s="22"/>
    </row>
    <row r="136" spans="1:6" x14ac:dyDescent="0.3">
      <c r="A136" s="51"/>
      <c r="B136" s="22"/>
      <c r="C136" s="31"/>
      <c r="D136" s="31"/>
      <c r="E136" s="22"/>
      <c r="F136" s="22"/>
    </row>
    <row r="137" spans="1:6" x14ac:dyDescent="0.3">
      <c r="A137" s="51"/>
      <c r="B137" s="22"/>
      <c r="C137" s="31"/>
      <c r="D137" s="31"/>
      <c r="E137" s="22"/>
      <c r="F137" s="22"/>
    </row>
    <row r="138" spans="1:6" x14ac:dyDescent="0.3">
      <c r="A138" s="51"/>
      <c r="B138" s="22"/>
      <c r="C138" s="31"/>
      <c r="D138" s="31"/>
      <c r="E138" s="22"/>
      <c r="F138" s="22"/>
    </row>
    <row r="139" spans="1:6" x14ac:dyDescent="0.3">
      <c r="A139" s="51"/>
      <c r="B139" s="22"/>
      <c r="C139" s="31"/>
      <c r="D139" s="31"/>
      <c r="E139" s="22"/>
      <c r="F139" s="22"/>
    </row>
    <row r="140" spans="1:6" x14ac:dyDescent="0.3">
      <c r="A140" s="51"/>
      <c r="B140" s="22"/>
      <c r="C140" s="31"/>
      <c r="D140" s="31"/>
      <c r="E140" s="22"/>
      <c r="F140" s="22"/>
    </row>
    <row r="141" spans="1:6" x14ac:dyDescent="0.3">
      <c r="A141" s="51"/>
      <c r="B141" s="22"/>
      <c r="C141" s="31"/>
      <c r="D141" s="31"/>
      <c r="E141" s="22"/>
      <c r="F141" s="22"/>
    </row>
    <row r="142" spans="1:6" x14ac:dyDescent="0.3">
      <c r="A142" s="51"/>
      <c r="B142" s="22"/>
      <c r="C142" s="31"/>
      <c r="D142" s="31"/>
      <c r="E142" s="22"/>
      <c r="F142" s="22"/>
    </row>
    <row r="143" spans="1:6" x14ac:dyDescent="0.3">
      <c r="A143" s="51"/>
      <c r="B143" s="22"/>
      <c r="C143" s="31"/>
      <c r="D143" s="31"/>
      <c r="E143" s="22"/>
      <c r="F143" s="22"/>
    </row>
    <row r="144" spans="1:6" x14ac:dyDescent="0.3">
      <c r="A144" s="51"/>
      <c r="B144" s="22"/>
      <c r="C144" s="31"/>
      <c r="D144" s="31"/>
      <c r="E144" s="22"/>
      <c r="F144" s="22"/>
    </row>
    <row r="145" spans="1:6" x14ac:dyDescent="0.3">
      <c r="A145" s="51"/>
      <c r="B145" s="22"/>
      <c r="C145" s="31"/>
      <c r="D145" s="31"/>
      <c r="E145" s="22"/>
      <c r="F145" s="22"/>
    </row>
    <row r="146" spans="1:6" x14ac:dyDescent="0.3">
      <c r="A146" s="51"/>
      <c r="B146" s="22"/>
      <c r="C146" s="31"/>
      <c r="D146" s="31"/>
      <c r="E146" s="22"/>
      <c r="F146" s="22"/>
    </row>
    <row r="147" spans="1:6" x14ac:dyDescent="0.3">
      <c r="A147" s="51"/>
      <c r="B147" s="22"/>
      <c r="C147" s="31"/>
      <c r="D147" s="31"/>
      <c r="E147" s="22"/>
      <c r="F147" s="22"/>
    </row>
    <row r="148" spans="1:6" x14ac:dyDescent="0.3">
      <c r="A148" s="51"/>
      <c r="B148" s="22"/>
      <c r="C148" s="31"/>
      <c r="D148" s="31"/>
      <c r="E148" s="22"/>
      <c r="F148" s="22"/>
    </row>
    <row r="149" spans="1:6" x14ac:dyDescent="0.3">
      <c r="A149" s="51"/>
      <c r="B149" s="22"/>
      <c r="C149" s="31"/>
      <c r="D149" s="31"/>
      <c r="E149" s="22"/>
      <c r="F149" s="22"/>
    </row>
    <row r="150" spans="1:6" x14ac:dyDescent="0.3">
      <c r="A150" s="51"/>
      <c r="B150" s="22"/>
      <c r="C150" s="31"/>
      <c r="D150" s="31"/>
      <c r="E150" s="22"/>
      <c r="F150" s="22"/>
    </row>
    <row r="151" spans="1:6" x14ac:dyDescent="0.3">
      <c r="A151" s="51"/>
      <c r="B151" s="22"/>
      <c r="C151" s="31"/>
      <c r="D151" s="31"/>
      <c r="E151" s="22"/>
      <c r="F151" s="22"/>
    </row>
    <row r="152" spans="1:6" x14ac:dyDescent="0.3">
      <c r="A152" s="51"/>
      <c r="B152" s="22"/>
      <c r="C152" s="31"/>
      <c r="D152" s="31"/>
      <c r="E152" s="22"/>
      <c r="F152" s="22"/>
    </row>
    <row r="153" spans="1:6" x14ac:dyDescent="0.3">
      <c r="A153" s="51"/>
      <c r="B153" s="22"/>
      <c r="C153" s="31"/>
      <c r="D153" s="31"/>
      <c r="E153" s="22"/>
      <c r="F153" s="22"/>
    </row>
    <row r="154" spans="1:6" x14ac:dyDescent="0.3">
      <c r="A154" s="51"/>
      <c r="B154" s="22"/>
      <c r="C154" s="31"/>
      <c r="D154" s="31"/>
      <c r="E154" s="22"/>
      <c r="F154" s="22"/>
    </row>
    <row r="155" spans="1:6" x14ac:dyDescent="0.3">
      <c r="A155" s="51"/>
      <c r="B155" s="22"/>
      <c r="C155" s="31"/>
      <c r="D155" s="31"/>
      <c r="E155" s="22"/>
      <c r="F155" s="22"/>
    </row>
    <row r="156" spans="1:6" x14ac:dyDescent="0.3">
      <c r="A156" s="51"/>
      <c r="B156" s="22"/>
      <c r="C156" s="31"/>
      <c r="D156" s="31"/>
      <c r="E156" s="22"/>
      <c r="F156" s="22"/>
    </row>
    <row r="157" spans="1:6" x14ac:dyDescent="0.3">
      <c r="A157" s="51"/>
      <c r="B157" s="22"/>
      <c r="C157" s="31"/>
      <c r="D157" s="31"/>
      <c r="E157" s="22"/>
      <c r="F157" s="22"/>
    </row>
    <row r="158" spans="1:6" x14ac:dyDescent="0.3">
      <c r="A158" s="51"/>
      <c r="B158" s="22"/>
      <c r="C158" s="31"/>
      <c r="D158" s="31"/>
      <c r="E158" s="22"/>
      <c r="F158" s="22"/>
    </row>
    <row r="159" spans="1:6" x14ac:dyDescent="0.3">
      <c r="A159" s="51"/>
      <c r="B159" s="22"/>
      <c r="C159" s="31"/>
      <c r="D159" s="31"/>
      <c r="E159" s="22"/>
      <c r="F159" s="22"/>
    </row>
    <row r="160" spans="1:6" x14ac:dyDescent="0.3">
      <c r="A160" s="51"/>
      <c r="B160" s="22"/>
      <c r="C160" s="31"/>
      <c r="D160" s="31"/>
      <c r="E160" s="22"/>
      <c r="F160" s="22"/>
    </row>
    <row r="161" spans="1:6" x14ac:dyDescent="0.3">
      <c r="A161" s="51"/>
      <c r="B161" s="22"/>
      <c r="C161" s="31"/>
      <c r="D161" s="31"/>
      <c r="E161" s="22"/>
      <c r="F161" s="22"/>
    </row>
    <row r="162" spans="1:6" x14ac:dyDescent="0.3">
      <c r="A162" s="51"/>
      <c r="B162" s="22"/>
      <c r="C162" s="31"/>
      <c r="D162" s="31"/>
      <c r="E162" s="22"/>
      <c r="F162" s="22"/>
    </row>
    <row r="163" spans="1:6" x14ac:dyDescent="0.3">
      <c r="A163" s="51"/>
      <c r="B163" s="22"/>
      <c r="C163" s="31"/>
      <c r="D163" s="31"/>
      <c r="E163" s="22"/>
      <c r="F163" s="22"/>
    </row>
    <row r="164" spans="1:6" x14ac:dyDescent="0.3">
      <c r="A164" s="51"/>
      <c r="B164" s="22"/>
      <c r="C164" s="31"/>
      <c r="D164" s="31"/>
      <c r="E164" s="22"/>
      <c r="F164" s="22"/>
    </row>
    <row r="165" spans="1:6" x14ac:dyDescent="0.3">
      <c r="A165" s="51"/>
      <c r="B165" s="22"/>
      <c r="C165" s="31"/>
      <c r="D165" s="31"/>
      <c r="E165" s="22"/>
      <c r="F165" s="22"/>
    </row>
    <row r="166" spans="1:6" x14ac:dyDescent="0.3">
      <c r="A166" s="51"/>
      <c r="B166" s="22"/>
      <c r="C166" s="31"/>
      <c r="D166" s="31"/>
      <c r="E166" s="22"/>
      <c r="F166" s="22"/>
    </row>
    <row r="167" spans="1:6" x14ac:dyDescent="0.3">
      <c r="A167" s="51"/>
      <c r="B167" s="22"/>
      <c r="C167" s="31"/>
      <c r="D167" s="31"/>
      <c r="E167" s="22"/>
      <c r="F167" s="22"/>
    </row>
    <row r="168" spans="1:6" x14ac:dyDescent="0.3">
      <c r="A168" s="51"/>
      <c r="B168" s="22"/>
      <c r="C168" s="31"/>
      <c r="D168" s="31"/>
      <c r="E168" s="22"/>
      <c r="F168" s="22"/>
    </row>
    <row r="169" spans="1:6" x14ac:dyDescent="0.3">
      <c r="A169" s="51"/>
      <c r="B169" s="22"/>
      <c r="C169" s="31"/>
      <c r="D169" s="31"/>
      <c r="E169" s="22"/>
      <c r="F169" s="22"/>
    </row>
    <row r="170" spans="1:6" x14ac:dyDescent="0.3">
      <c r="A170" s="51"/>
      <c r="B170" s="22"/>
      <c r="C170" s="31"/>
      <c r="D170" s="31"/>
      <c r="E170" s="22"/>
      <c r="F170" s="22"/>
    </row>
    <row r="171" spans="1:6" x14ac:dyDescent="0.3">
      <c r="A171" s="51"/>
      <c r="B171" s="22"/>
      <c r="C171" s="31"/>
      <c r="D171" s="31"/>
      <c r="E171" s="22"/>
      <c r="F171" s="22"/>
    </row>
    <row r="172" spans="1:6" x14ac:dyDescent="0.3">
      <c r="A172" s="51"/>
      <c r="B172" s="22"/>
      <c r="C172" s="31"/>
      <c r="D172" s="31"/>
      <c r="E172" s="22"/>
      <c r="F172" s="22"/>
    </row>
    <row r="173" spans="1:6" x14ac:dyDescent="0.3">
      <c r="A173" s="51"/>
      <c r="B173" s="22"/>
      <c r="C173" s="31"/>
      <c r="D173" s="31"/>
      <c r="E173" s="22"/>
      <c r="F173" s="22"/>
    </row>
    <row r="174" spans="1:6" x14ac:dyDescent="0.3">
      <c r="A174" s="51"/>
      <c r="B174" s="22"/>
      <c r="C174" s="31"/>
      <c r="D174" s="31"/>
      <c r="E174" s="22"/>
      <c r="F174" s="22"/>
    </row>
    <row r="175" spans="1:6" x14ac:dyDescent="0.3">
      <c r="A175" s="51"/>
      <c r="B175" s="22"/>
      <c r="C175" s="31"/>
      <c r="D175" s="31"/>
      <c r="E175" s="22"/>
      <c r="F175" s="22"/>
    </row>
    <row r="176" spans="1:6" x14ac:dyDescent="0.3">
      <c r="A176" s="51"/>
      <c r="B176" s="22"/>
      <c r="C176" s="31"/>
      <c r="D176" s="31"/>
      <c r="E176" s="22"/>
      <c r="F176" s="22"/>
    </row>
    <row r="177" spans="1:6" x14ac:dyDescent="0.3">
      <c r="A177" s="51"/>
      <c r="B177" s="22"/>
      <c r="C177" s="31"/>
      <c r="D177" s="31"/>
      <c r="E177" s="22"/>
      <c r="F177" s="22"/>
    </row>
    <row r="178" spans="1:6" x14ac:dyDescent="0.3">
      <c r="A178" s="51"/>
      <c r="B178" s="22"/>
      <c r="C178" s="31"/>
      <c r="D178" s="31"/>
      <c r="E178" s="22"/>
      <c r="F178" s="22"/>
    </row>
    <row r="179" spans="1:6" x14ac:dyDescent="0.3">
      <c r="A179" s="51"/>
      <c r="B179" s="22"/>
      <c r="C179" s="31"/>
      <c r="D179" s="31"/>
      <c r="E179" s="22"/>
      <c r="F179" s="22"/>
    </row>
    <row r="180" spans="1:6" x14ac:dyDescent="0.3">
      <c r="A180" s="51"/>
      <c r="B180" s="22"/>
      <c r="C180" s="31"/>
      <c r="D180" s="31"/>
      <c r="E180" s="22"/>
      <c r="F180" s="22"/>
    </row>
    <row r="181" spans="1:6" x14ac:dyDescent="0.3">
      <c r="A181" s="51"/>
      <c r="B181" s="22"/>
      <c r="C181" s="31"/>
      <c r="D181" s="31"/>
      <c r="E181" s="22"/>
      <c r="F181" s="22"/>
    </row>
    <row r="182" spans="1:6" x14ac:dyDescent="0.3">
      <c r="A182" s="51"/>
      <c r="B182" s="22"/>
      <c r="C182" s="31"/>
      <c r="D182" s="31"/>
      <c r="E182" s="22"/>
      <c r="F182" s="22"/>
    </row>
    <row r="183" spans="1:6" x14ac:dyDescent="0.3">
      <c r="A183" s="51"/>
      <c r="B183" s="22"/>
      <c r="C183" s="31"/>
      <c r="D183" s="31"/>
      <c r="E183" s="22"/>
      <c r="F183" s="22"/>
    </row>
    <row r="184" spans="1:6" x14ac:dyDescent="0.3">
      <c r="A184" s="51"/>
      <c r="B184" s="22"/>
      <c r="C184" s="31"/>
      <c r="D184" s="31"/>
      <c r="E184" s="22"/>
      <c r="F184" s="22"/>
    </row>
    <row r="185" spans="1:6" x14ac:dyDescent="0.3">
      <c r="A185" s="51"/>
      <c r="B185" s="22"/>
      <c r="C185" s="31"/>
      <c r="D185" s="31"/>
      <c r="E185" s="22"/>
      <c r="F185" s="22"/>
    </row>
    <row r="186" spans="1:6" x14ac:dyDescent="0.3">
      <c r="A186" s="51"/>
      <c r="B186" s="22"/>
      <c r="C186" s="31"/>
      <c r="D186" s="31"/>
      <c r="E186" s="22"/>
      <c r="F186" s="22"/>
    </row>
    <row r="187" spans="1:6" x14ac:dyDescent="0.3">
      <c r="A187" s="51"/>
      <c r="B187" s="22"/>
      <c r="C187" s="31"/>
      <c r="D187" s="31"/>
      <c r="E187" s="22"/>
      <c r="F187" s="22"/>
    </row>
    <row r="188" spans="1:6" x14ac:dyDescent="0.3">
      <c r="A188" s="51"/>
      <c r="B188" s="22"/>
      <c r="C188" s="31"/>
      <c r="D188" s="31"/>
      <c r="E188" s="22"/>
      <c r="F188" s="22"/>
    </row>
    <row r="189" spans="1:6" x14ac:dyDescent="0.3">
      <c r="A189" s="51"/>
      <c r="B189" s="22"/>
      <c r="C189" s="31"/>
      <c r="D189" s="31"/>
      <c r="E189" s="22"/>
      <c r="F189" s="22"/>
    </row>
    <row r="190" spans="1:6" x14ac:dyDescent="0.3">
      <c r="A190" s="51"/>
      <c r="B190" s="22"/>
      <c r="C190" s="31"/>
      <c r="D190" s="31"/>
      <c r="E190" s="22"/>
      <c r="F190" s="22"/>
    </row>
    <row r="191" spans="1:6" x14ac:dyDescent="0.3">
      <c r="A191" s="51"/>
      <c r="B191" s="22"/>
      <c r="C191" s="31"/>
      <c r="D191" s="31"/>
      <c r="E191" s="22"/>
      <c r="F191" s="22"/>
    </row>
    <row r="192" spans="1:6" x14ac:dyDescent="0.3">
      <c r="A192" s="51"/>
      <c r="B192" s="22"/>
      <c r="C192" s="31"/>
      <c r="D192" s="31"/>
      <c r="E192" s="22"/>
      <c r="F192" s="22"/>
    </row>
    <row r="193" spans="1:6" x14ac:dyDescent="0.3">
      <c r="A193" s="51"/>
      <c r="B193" s="22"/>
      <c r="C193" s="31"/>
      <c r="D193" s="31"/>
      <c r="E193" s="22"/>
      <c r="F193" s="22"/>
    </row>
    <row r="194" spans="1:6" x14ac:dyDescent="0.3">
      <c r="A194" s="51"/>
      <c r="B194" s="22"/>
      <c r="C194" s="31"/>
      <c r="D194" s="31"/>
      <c r="E194" s="22"/>
      <c r="F194" s="22"/>
    </row>
    <row r="195" spans="1:6" x14ac:dyDescent="0.3">
      <c r="A195" s="51"/>
      <c r="B195" s="22"/>
      <c r="C195" s="31"/>
      <c r="D195" s="31"/>
      <c r="E195" s="22"/>
      <c r="F195" s="22"/>
    </row>
    <row r="196" spans="1:6" x14ac:dyDescent="0.3">
      <c r="A196" s="51"/>
      <c r="B196" s="22"/>
      <c r="C196" s="31"/>
      <c r="D196" s="31"/>
      <c r="E196" s="22"/>
      <c r="F196" s="22"/>
    </row>
    <row r="197" spans="1:6" x14ac:dyDescent="0.3">
      <c r="A197" s="51"/>
      <c r="B197" s="22"/>
      <c r="C197" s="31"/>
      <c r="D197" s="31"/>
      <c r="E197" s="22"/>
      <c r="F197" s="22"/>
    </row>
    <row r="198" spans="1:6" x14ac:dyDescent="0.3">
      <c r="A198" s="51"/>
      <c r="B198" s="22"/>
      <c r="C198" s="31"/>
      <c r="D198" s="31"/>
      <c r="E198" s="22"/>
      <c r="F198" s="22"/>
    </row>
    <row r="199" spans="1:6" x14ac:dyDescent="0.3">
      <c r="A199" s="51"/>
      <c r="B199" s="22"/>
      <c r="C199" s="31"/>
      <c r="D199" s="31"/>
      <c r="E199" s="22"/>
      <c r="F199" s="22"/>
    </row>
    <row r="200" spans="1:6" x14ac:dyDescent="0.3">
      <c r="A200" s="51"/>
      <c r="B200" s="22"/>
      <c r="C200" s="31"/>
      <c r="D200" s="31"/>
      <c r="E200" s="22"/>
      <c r="F200" s="22"/>
    </row>
    <row r="201" spans="1:6" x14ac:dyDescent="0.3">
      <c r="A201" s="51"/>
      <c r="B201" s="22"/>
      <c r="C201" s="31"/>
      <c r="D201" s="31"/>
      <c r="E201" s="22"/>
      <c r="F201" s="22"/>
    </row>
    <row r="202" spans="1:6" x14ac:dyDescent="0.3">
      <c r="A202" s="51"/>
      <c r="B202" s="22"/>
      <c r="C202" s="31"/>
      <c r="D202" s="31"/>
      <c r="E202" s="22"/>
      <c r="F202" s="22"/>
    </row>
    <row r="203" spans="1:6" x14ac:dyDescent="0.3">
      <c r="A203" s="51"/>
      <c r="B203" s="22"/>
      <c r="C203" s="31"/>
      <c r="D203" s="31"/>
      <c r="E203" s="22"/>
      <c r="F203" s="22"/>
    </row>
    <row r="204" spans="1:6" x14ac:dyDescent="0.3">
      <c r="A204" s="51"/>
      <c r="B204" s="22"/>
      <c r="C204" s="31"/>
      <c r="D204" s="31"/>
      <c r="E204" s="22"/>
      <c r="F204" s="22"/>
    </row>
    <row r="205" spans="1:6" x14ac:dyDescent="0.3">
      <c r="A205" s="51"/>
      <c r="B205" s="22"/>
      <c r="C205" s="31"/>
      <c r="D205" s="31"/>
      <c r="E205" s="22"/>
      <c r="F205" s="22"/>
    </row>
    <row r="206" spans="1:6" x14ac:dyDescent="0.3">
      <c r="A206" s="51"/>
      <c r="B206" s="22"/>
      <c r="C206" s="31"/>
      <c r="D206" s="31"/>
      <c r="E206" s="22"/>
      <c r="F206" s="22"/>
    </row>
    <row r="207" spans="1:6" x14ac:dyDescent="0.3">
      <c r="A207" s="51"/>
      <c r="B207" s="22"/>
      <c r="C207" s="31"/>
      <c r="D207" s="31"/>
      <c r="E207" s="22"/>
      <c r="F207" s="22"/>
    </row>
    <row r="208" spans="1:6" x14ac:dyDescent="0.3">
      <c r="A208" s="51"/>
      <c r="B208" s="22"/>
      <c r="C208" s="31"/>
      <c r="D208" s="31"/>
      <c r="E208" s="22"/>
      <c r="F208" s="22"/>
    </row>
    <row r="209" spans="1:6" x14ac:dyDescent="0.3">
      <c r="A209" s="51"/>
      <c r="B209" s="22"/>
      <c r="C209" s="31"/>
      <c r="D209" s="31"/>
      <c r="E209" s="22"/>
      <c r="F209" s="22"/>
    </row>
    <row r="210" spans="1:6" x14ac:dyDescent="0.3">
      <c r="A210" s="51"/>
      <c r="B210" s="22"/>
      <c r="C210" s="31"/>
      <c r="D210" s="31"/>
      <c r="E210" s="22"/>
      <c r="F210" s="22"/>
    </row>
    <row r="211" spans="1:6" x14ac:dyDescent="0.3">
      <c r="A211" s="51"/>
      <c r="B211" s="22"/>
      <c r="C211" s="31"/>
      <c r="D211" s="31"/>
      <c r="E211" s="22"/>
      <c r="F211" s="22"/>
    </row>
    <row r="212" spans="1:6" x14ac:dyDescent="0.3">
      <c r="A212" s="51"/>
      <c r="B212" s="22"/>
      <c r="C212" s="31"/>
      <c r="D212" s="31"/>
      <c r="E212" s="22"/>
      <c r="F212" s="22"/>
    </row>
    <row r="213" spans="1:6" x14ac:dyDescent="0.3">
      <c r="A213" s="51"/>
      <c r="B213" s="22"/>
      <c r="C213" s="31"/>
      <c r="D213" s="31"/>
      <c r="E213" s="22"/>
      <c r="F213" s="22"/>
    </row>
    <row r="214" spans="1:6" x14ac:dyDescent="0.3">
      <c r="A214" s="51"/>
      <c r="B214" s="22"/>
      <c r="C214" s="31"/>
      <c r="D214" s="31"/>
      <c r="E214" s="22"/>
      <c r="F214" s="22"/>
    </row>
    <row r="215" spans="1:6" x14ac:dyDescent="0.3">
      <c r="A215" s="51"/>
      <c r="B215" s="22"/>
      <c r="C215" s="31"/>
      <c r="D215" s="31"/>
      <c r="E215" s="22"/>
      <c r="F215" s="22"/>
    </row>
    <row r="216" spans="1:6" x14ac:dyDescent="0.3">
      <c r="A216" s="51"/>
      <c r="B216" s="22"/>
      <c r="C216" s="31"/>
      <c r="D216" s="31"/>
      <c r="E216" s="22"/>
      <c r="F216" s="22"/>
    </row>
    <row r="217" spans="1:6" x14ac:dyDescent="0.3">
      <c r="A217" s="51"/>
      <c r="B217" s="22"/>
      <c r="C217" s="31"/>
      <c r="D217" s="31"/>
      <c r="E217" s="22"/>
      <c r="F217" s="22"/>
    </row>
    <row r="218" spans="1:6" x14ac:dyDescent="0.3">
      <c r="A218" s="51"/>
      <c r="B218" s="22"/>
      <c r="C218" s="31"/>
      <c r="D218" s="31"/>
      <c r="E218" s="22"/>
      <c r="F218" s="22"/>
    </row>
    <row r="219" spans="1:6" x14ac:dyDescent="0.3">
      <c r="A219" s="51"/>
      <c r="B219" s="22"/>
      <c r="C219" s="31"/>
      <c r="D219" s="31"/>
      <c r="E219" s="22"/>
      <c r="F219" s="22"/>
    </row>
    <row r="220" spans="1:6" x14ac:dyDescent="0.3">
      <c r="A220" s="51"/>
      <c r="B220" s="22"/>
      <c r="C220" s="31"/>
      <c r="D220" s="31"/>
      <c r="E220" s="22"/>
      <c r="F220" s="22"/>
    </row>
    <row r="221" spans="1:6" x14ac:dyDescent="0.3">
      <c r="A221" s="51"/>
      <c r="B221" s="22"/>
      <c r="C221" s="31"/>
      <c r="D221" s="31"/>
      <c r="E221" s="22"/>
      <c r="F221" s="22"/>
    </row>
    <row r="222" spans="1:6" x14ac:dyDescent="0.3">
      <c r="A222" s="51"/>
      <c r="B222" s="22"/>
      <c r="C222" s="31"/>
      <c r="D222" s="31"/>
      <c r="E222" s="22"/>
      <c r="F222" s="22"/>
    </row>
    <row r="223" spans="1:6" x14ac:dyDescent="0.3">
      <c r="A223" s="51"/>
      <c r="B223" s="22"/>
      <c r="C223" s="31"/>
      <c r="D223" s="31"/>
      <c r="E223" s="22"/>
      <c r="F223" s="22"/>
    </row>
    <row r="224" spans="1:6" x14ac:dyDescent="0.3">
      <c r="A224" s="51"/>
      <c r="B224" s="22"/>
      <c r="C224" s="31"/>
      <c r="D224" s="31"/>
      <c r="E224" s="22"/>
      <c r="F224" s="22"/>
    </row>
    <row r="225" spans="1:6" x14ac:dyDescent="0.3">
      <c r="A225" s="51"/>
      <c r="B225" s="22"/>
      <c r="C225" s="31"/>
      <c r="D225" s="31"/>
      <c r="E225" s="22"/>
      <c r="F225" s="22"/>
    </row>
    <row r="226" spans="1:6" x14ac:dyDescent="0.3">
      <c r="A226" s="51"/>
      <c r="B226" s="22"/>
      <c r="C226" s="31"/>
      <c r="D226" s="31"/>
      <c r="E226" s="22"/>
      <c r="F226" s="22"/>
    </row>
    <row r="227" spans="1:6" x14ac:dyDescent="0.3">
      <c r="A227" s="51"/>
      <c r="B227" s="22"/>
      <c r="C227" s="31"/>
      <c r="D227" s="31"/>
      <c r="E227" s="22"/>
      <c r="F227" s="22"/>
    </row>
    <row r="228" spans="1:6" x14ac:dyDescent="0.3">
      <c r="A228" s="51"/>
      <c r="B228" s="22"/>
      <c r="C228" s="31"/>
      <c r="D228" s="31"/>
      <c r="E228" s="22"/>
      <c r="F228" s="22"/>
    </row>
    <row r="229" spans="1:6" x14ac:dyDescent="0.3">
      <c r="A229" s="51"/>
      <c r="B229" s="22"/>
      <c r="C229" s="31"/>
      <c r="D229" s="31"/>
      <c r="E229" s="22"/>
      <c r="F229" s="22"/>
    </row>
    <row r="230" spans="1:6" x14ac:dyDescent="0.3">
      <c r="A230" s="51"/>
      <c r="B230" s="22"/>
      <c r="C230" s="31"/>
      <c r="D230" s="31"/>
      <c r="E230" s="22"/>
      <c r="F230" s="22"/>
    </row>
    <row r="231" spans="1:6" x14ac:dyDescent="0.3">
      <c r="A231" s="51"/>
      <c r="B231" s="22"/>
      <c r="C231" s="31"/>
      <c r="D231" s="31"/>
      <c r="E231" s="22"/>
      <c r="F231" s="22"/>
    </row>
    <row r="232" spans="1:6" x14ac:dyDescent="0.3">
      <c r="A232" s="51"/>
      <c r="B232" s="22"/>
      <c r="C232" s="31"/>
      <c r="D232" s="31"/>
      <c r="E232" s="22"/>
      <c r="F232" s="22"/>
    </row>
    <row r="233" spans="1:6" x14ac:dyDescent="0.3">
      <c r="A233" s="51"/>
      <c r="B233" s="22"/>
      <c r="C233" s="31"/>
      <c r="D233" s="31"/>
      <c r="E233" s="22"/>
      <c r="F233" s="22"/>
    </row>
    <row r="234" spans="1:6" x14ac:dyDescent="0.3">
      <c r="A234" s="51"/>
      <c r="B234" s="22"/>
      <c r="C234" s="31"/>
      <c r="D234" s="31"/>
      <c r="E234" s="22"/>
      <c r="F234" s="22"/>
    </row>
    <row r="235" spans="1:6" x14ac:dyDescent="0.3">
      <c r="A235" s="51"/>
      <c r="B235" s="22"/>
      <c r="C235" s="31"/>
      <c r="D235" s="31"/>
      <c r="E235" s="22"/>
      <c r="F235" s="22"/>
    </row>
    <row r="236" spans="1:6" x14ac:dyDescent="0.3">
      <c r="A236" s="51"/>
      <c r="B236" s="22"/>
      <c r="C236" s="31"/>
      <c r="D236" s="31"/>
      <c r="E236" s="22"/>
      <c r="F236" s="22"/>
    </row>
    <row r="237" spans="1:6" x14ac:dyDescent="0.3">
      <c r="A237" s="51"/>
      <c r="B237" s="22"/>
      <c r="C237" s="31"/>
      <c r="D237" s="31"/>
      <c r="E237" s="22"/>
      <c r="F237" s="22"/>
    </row>
    <row r="238" spans="1:6" x14ac:dyDescent="0.3">
      <c r="A238" s="51"/>
      <c r="B238" s="22"/>
      <c r="C238" s="31"/>
      <c r="D238" s="31"/>
      <c r="E238" s="22"/>
      <c r="F238" s="22"/>
    </row>
    <row r="239" spans="1:6" x14ac:dyDescent="0.3">
      <c r="A239" s="51"/>
      <c r="B239" s="22"/>
      <c r="C239" s="31"/>
      <c r="D239" s="31"/>
      <c r="E239" s="22"/>
      <c r="F239" s="22"/>
    </row>
    <row r="240" spans="1:6" x14ac:dyDescent="0.3">
      <c r="A240" s="51"/>
      <c r="B240" s="22"/>
      <c r="C240" s="31"/>
      <c r="D240" s="31"/>
      <c r="E240" s="22"/>
      <c r="F240" s="22"/>
    </row>
    <row r="241" spans="1:6" x14ac:dyDescent="0.3">
      <c r="A241" s="51"/>
      <c r="B241" s="22"/>
      <c r="C241" s="31"/>
      <c r="D241" s="31"/>
      <c r="E241" s="22"/>
      <c r="F241" s="22"/>
    </row>
    <row r="242" spans="1:6" x14ac:dyDescent="0.3">
      <c r="A242" s="51"/>
      <c r="B242" s="22"/>
      <c r="C242" s="31"/>
      <c r="D242" s="31"/>
      <c r="E242" s="22"/>
      <c r="F242" s="22"/>
    </row>
    <row r="243" spans="1:6" x14ac:dyDescent="0.3">
      <c r="A243" s="51"/>
      <c r="B243" s="22"/>
      <c r="C243" s="31"/>
      <c r="D243" s="31"/>
      <c r="E243" s="22"/>
      <c r="F243" s="22"/>
    </row>
    <row r="244" spans="1:6" x14ac:dyDescent="0.3">
      <c r="A244" s="51"/>
      <c r="B244" s="22"/>
      <c r="C244" s="31"/>
      <c r="D244" s="31"/>
      <c r="E244" s="22"/>
      <c r="F244" s="22"/>
    </row>
    <row r="245" spans="1:6" x14ac:dyDescent="0.3">
      <c r="A245" s="51"/>
      <c r="B245" s="22"/>
      <c r="C245" s="31"/>
      <c r="D245" s="31"/>
      <c r="E245" s="22"/>
      <c r="F245" s="22"/>
    </row>
    <row r="246" spans="1:6" x14ac:dyDescent="0.3">
      <c r="A246" s="51"/>
      <c r="B246" s="22"/>
      <c r="C246" s="31"/>
      <c r="D246" s="31"/>
      <c r="E246" s="22"/>
      <c r="F246" s="22"/>
    </row>
    <row r="247" spans="1:6" x14ac:dyDescent="0.3">
      <c r="A247" s="51"/>
      <c r="B247" s="22"/>
      <c r="C247" s="31"/>
      <c r="D247" s="31"/>
      <c r="E247" s="22"/>
      <c r="F247" s="22"/>
    </row>
    <row r="248" spans="1:6" x14ac:dyDescent="0.3">
      <c r="A248" s="51"/>
      <c r="B248" s="22"/>
      <c r="C248" s="31"/>
      <c r="D248" s="31"/>
      <c r="E248" s="22"/>
      <c r="F248" s="22"/>
    </row>
    <row r="249" spans="1:6" x14ac:dyDescent="0.3">
      <c r="A249" s="51"/>
      <c r="B249" s="22"/>
      <c r="C249" s="31"/>
      <c r="D249" s="31"/>
      <c r="E249" s="22"/>
      <c r="F249" s="22"/>
    </row>
    <row r="250" spans="1:6" x14ac:dyDescent="0.3">
      <c r="A250" s="51"/>
      <c r="B250" s="22"/>
      <c r="C250" s="31"/>
      <c r="D250" s="31"/>
      <c r="E250" s="22"/>
      <c r="F250" s="22"/>
    </row>
    <row r="251" spans="1:6" x14ac:dyDescent="0.3">
      <c r="A251" s="51"/>
      <c r="B251" s="22"/>
      <c r="C251" s="31"/>
      <c r="D251" s="31"/>
      <c r="E251" s="22"/>
      <c r="F251" s="22"/>
    </row>
    <row r="252" spans="1:6" x14ac:dyDescent="0.3">
      <c r="A252" s="51"/>
      <c r="B252" s="22"/>
      <c r="C252" s="31"/>
      <c r="D252" s="31"/>
      <c r="E252" s="22"/>
      <c r="F252" s="22"/>
    </row>
    <row r="253" spans="1:6" x14ac:dyDescent="0.3">
      <c r="A253" s="51"/>
      <c r="B253" s="22"/>
      <c r="C253" s="31"/>
      <c r="D253" s="31"/>
      <c r="E253" s="22"/>
      <c r="F253" s="22"/>
    </row>
    <row r="254" spans="1:6" x14ac:dyDescent="0.3">
      <c r="A254" s="51"/>
      <c r="B254" s="22"/>
      <c r="C254" s="31"/>
      <c r="D254" s="31"/>
      <c r="E254" s="22"/>
      <c r="F254" s="22"/>
    </row>
    <row r="255" spans="1:6" x14ac:dyDescent="0.3">
      <c r="A255" s="51"/>
      <c r="B255" s="22"/>
      <c r="C255" s="31"/>
      <c r="D255" s="31"/>
      <c r="E255" s="22"/>
      <c r="F255" s="22"/>
    </row>
    <row r="256" spans="1:6" x14ac:dyDescent="0.3">
      <c r="A256" s="51"/>
      <c r="B256" s="22"/>
      <c r="C256" s="31"/>
      <c r="D256" s="31"/>
      <c r="E256" s="22"/>
      <c r="F256" s="22"/>
    </row>
    <row r="257" spans="1:6" x14ac:dyDescent="0.3">
      <c r="A257" s="51"/>
      <c r="B257" s="22"/>
      <c r="C257" s="31"/>
      <c r="D257" s="31"/>
      <c r="E257" s="22"/>
      <c r="F257" s="22"/>
    </row>
    <row r="258" spans="1:6" x14ac:dyDescent="0.3">
      <c r="A258" s="51"/>
      <c r="B258" s="22"/>
      <c r="C258" s="31"/>
      <c r="D258" s="31"/>
      <c r="E258" s="22"/>
      <c r="F258" s="22"/>
    </row>
    <row r="259" spans="1:6" x14ac:dyDescent="0.3">
      <c r="A259" s="51"/>
      <c r="B259" s="22"/>
      <c r="C259" s="31"/>
      <c r="D259" s="31"/>
      <c r="E259" s="22"/>
      <c r="F259" s="22"/>
    </row>
    <row r="260" spans="1:6" x14ac:dyDescent="0.3">
      <c r="A260" s="51"/>
      <c r="B260" s="22"/>
      <c r="C260" s="31"/>
      <c r="D260" s="31"/>
      <c r="E260" s="22"/>
      <c r="F260" s="22"/>
    </row>
    <row r="261" spans="1:6" x14ac:dyDescent="0.3">
      <c r="A261" s="51"/>
      <c r="B261" s="22"/>
      <c r="C261" s="31"/>
      <c r="D261" s="31"/>
      <c r="E261" s="22"/>
      <c r="F261" s="22"/>
    </row>
    <row r="262" spans="1:6" x14ac:dyDescent="0.3">
      <c r="A262" s="51"/>
      <c r="B262" s="22"/>
      <c r="C262" s="31"/>
      <c r="D262" s="31"/>
      <c r="E262" s="22"/>
      <c r="F262" s="22"/>
    </row>
    <row r="263" spans="1:6" x14ac:dyDescent="0.3">
      <c r="A263" s="51"/>
      <c r="B263" s="22"/>
      <c r="C263" s="31"/>
      <c r="D263" s="31"/>
      <c r="E263" s="22"/>
      <c r="F263" s="22"/>
    </row>
    <row r="264" spans="1:6" x14ac:dyDescent="0.3">
      <c r="A264" s="51"/>
      <c r="B264" s="22"/>
      <c r="C264" s="31"/>
      <c r="D264" s="31"/>
      <c r="E264" s="22"/>
      <c r="F264" s="22"/>
    </row>
    <row r="265" spans="1:6" x14ac:dyDescent="0.3">
      <c r="A265" s="51"/>
      <c r="B265" s="22"/>
      <c r="C265" s="31"/>
      <c r="D265" s="31"/>
      <c r="E265" s="22"/>
      <c r="F265" s="22"/>
    </row>
    <row r="266" spans="1:6" x14ac:dyDescent="0.3">
      <c r="A266" s="51"/>
      <c r="B266" s="22"/>
      <c r="C266" s="31"/>
      <c r="D266" s="31"/>
      <c r="E266" s="22"/>
      <c r="F266" s="22"/>
    </row>
    <row r="267" spans="1:6" x14ac:dyDescent="0.3">
      <c r="A267" s="51"/>
      <c r="B267" s="22"/>
      <c r="C267" s="31"/>
      <c r="D267" s="31"/>
      <c r="E267" s="22"/>
      <c r="F267" s="22"/>
    </row>
    <row r="268" spans="1:6" x14ac:dyDescent="0.3">
      <c r="A268" s="51"/>
      <c r="B268" s="22"/>
      <c r="C268" s="31"/>
      <c r="D268" s="31"/>
      <c r="E268" s="22"/>
      <c r="F268" s="22"/>
    </row>
    <row r="269" spans="1:6" x14ac:dyDescent="0.3">
      <c r="A269" s="51"/>
      <c r="B269" s="22"/>
      <c r="C269" s="31"/>
      <c r="D269" s="31"/>
      <c r="E269" s="22"/>
      <c r="F269" s="22"/>
    </row>
    <row r="270" spans="1:6" x14ac:dyDescent="0.3">
      <c r="A270" s="51"/>
      <c r="B270" s="22"/>
      <c r="C270" s="31"/>
      <c r="D270" s="31"/>
      <c r="E270" s="22"/>
      <c r="F270" s="22"/>
    </row>
    <row r="271" spans="1:6" x14ac:dyDescent="0.3">
      <c r="A271" s="51"/>
      <c r="B271" s="22"/>
      <c r="C271" s="31"/>
      <c r="D271" s="31"/>
      <c r="E271" s="22"/>
      <c r="F271" s="22"/>
    </row>
    <row r="272" spans="1:6" x14ac:dyDescent="0.3">
      <c r="A272" s="51"/>
      <c r="B272" s="22"/>
      <c r="C272" s="31"/>
      <c r="D272" s="31"/>
      <c r="E272" s="22"/>
      <c r="F272" s="22"/>
    </row>
    <row r="273" spans="1:6" x14ac:dyDescent="0.3">
      <c r="A273" s="51"/>
      <c r="B273" s="22"/>
      <c r="C273" s="31"/>
      <c r="D273" s="31"/>
      <c r="E273" s="22"/>
      <c r="F273" s="22"/>
    </row>
    <row r="274" spans="1:6" x14ac:dyDescent="0.3">
      <c r="A274" s="51"/>
      <c r="B274" s="22"/>
      <c r="C274" s="31"/>
      <c r="D274" s="31"/>
      <c r="E274" s="22"/>
      <c r="F274" s="22"/>
    </row>
    <row r="275" spans="1:6" x14ac:dyDescent="0.3">
      <c r="A275" s="51"/>
      <c r="B275" s="22"/>
      <c r="C275" s="31"/>
      <c r="D275" s="31"/>
      <c r="E275" s="22"/>
      <c r="F275" s="22"/>
    </row>
    <row r="276" spans="1:6" x14ac:dyDescent="0.3">
      <c r="A276" s="51"/>
      <c r="B276" s="22"/>
      <c r="C276" s="31"/>
      <c r="D276" s="31"/>
      <c r="E276" s="22"/>
      <c r="F276" s="22"/>
    </row>
    <row r="277" spans="1:6" x14ac:dyDescent="0.3">
      <c r="A277" s="51"/>
      <c r="B277" s="22"/>
      <c r="C277" s="31"/>
      <c r="D277" s="31"/>
      <c r="E277" s="22"/>
      <c r="F277" s="22"/>
    </row>
    <row r="278" spans="1:6" x14ac:dyDescent="0.3">
      <c r="A278" s="51"/>
      <c r="B278" s="22"/>
      <c r="C278" s="31"/>
      <c r="D278" s="31"/>
      <c r="E278" s="22"/>
      <c r="F278" s="22"/>
    </row>
    <row r="279" spans="1:6" x14ac:dyDescent="0.3">
      <c r="A279" s="51"/>
      <c r="B279" s="22"/>
      <c r="C279" s="31"/>
      <c r="D279" s="31"/>
      <c r="E279" s="22"/>
      <c r="F279" s="22"/>
    </row>
    <row r="280" spans="1:6" x14ac:dyDescent="0.3">
      <c r="A280" s="51"/>
      <c r="B280" s="22"/>
      <c r="C280" s="31"/>
      <c r="D280" s="31"/>
      <c r="E280" s="22"/>
      <c r="F280" s="22"/>
    </row>
    <row r="281" spans="1:6" x14ac:dyDescent="0.3">
      <c r="A281" s="51"/>
      <c r="B281" s="22"/>
      <c r="C281" s="31"/>
      <c r="D281" s="31"/>
      <c r="E281" s="22"/>
      <c r="F281" s="22"/>
    </row>
    <row r="282" spans="1:6" x14ac:dyDescent="0.3">
      <c r="A282" s="51"/>
      <c r="B282" s="22"/>
      <c r="C282" s="31"/>
      <c r="D282" s="31"/>
      <c r="E282" s="22"/>
      <c r="F282" s="22"/>
    </row>
    <row r="283" spans="1:6" x14ac:dyDescent="0.3">
      <c r="A283" s="51"/>
      <c r="B283" s="22"/>
      <c r="C283" s="31"/>
      <c r="D283" s="31"/>
      <c r="E283" s="22"/>
      <c r="F283" s="22"/>
    </row>
    <row r="284" spans="1:6" x14ac:dyDescent="0.3">
      <c r="A284" s="51"/>
      <c r="B284" s="22"/>
      <c r="C284" s="31"/>
      <c r="D284" s="31"/>
      <c r="E284" s="22"/>
      <c r="F284" s="22"/>
    </row>
    <row r="285" spans="1:6" x14ac:dyDescent="0.3">
      <c r="A285" s="51"/>
      <c r="B285" s="22"/>
      <c r="C285" s="31"/>
      <c r="D285" s="31"/>
      <c r="E285" s="22"/>
      <c r="F285" s="22"/>
    </row>
    <row r="286" spans="1:6" x14ac:dyDescent="0.3">
      <c r="A286" s="51"/>
      <c r="B286" s="22"/>
      <c r="C286" s="31"/>
      <c r="D286" s="31"/>
      <c r="E286" s="22"/>
      <c r="F286" s="22"/>
    </row>
    <row r="287" spans="1:6" x14ac:dyDescent="0.3">
      <c r="A287" s="51"/>
      <c r="B287" s="22"/>
      <c r="C287" s="31"/>
      <c r="D287" s="31"/>
      <c r="E287" s="22"/>
      <c r="F287" s="22"/>
    </row>
    <row r="288" spans="1:6" x14ac:dyDescent="0.3">
      <c r="A288" s="51"/>
      <c r="B288" s="22"/>
      <c r="C288" s="31"/>
      <c r="D288" s="31"/>
      <c r="E288" s="22"/>
      <c r="F288" s="22"/>
    </row>
    <row r="289" spans="1:6" x14ac:dyDescent="0.3">
      <c r="A289" s="51"/>
      <c r="B289" s="22"/>
      <c r="C289" s="31"/>
      <c r="D289" s="31"/>
      <c r="E289" s="22"/>
      <c r="F289" s="22"/>
    </row>
    <row r="290" spans="1:6" x14ac:dyDescent="0.3">
      <c r="A290" s="51"/>
      <c r="B290" s="22"/>
      <c r="C290" s="31"/>
      <c r="D290" s="31"/>
      <c r="E290" s="22"/>
      <c r="F290" s="22"/>
    </row>
    <row r="291" spans="1:6" x14ac:dyDescent="0.3">
      <c r="A291" s="51"/>
      <c r="B291" s="22"/>
      <c r="C291" s="31"/>
      <c r="D291" s="31"/>
      <c r="E291" s="22"/>
      <c r="F291" s="22"/>
    </row>
    <row r="292" spans="1:6" x14ac:dyDescent="0.3">
      <c r="A292" s="51"/>
      <c r="B292" s="22"/>
      <c r="C292" s="31"/>
      <c r="D292" s="31"/>
      <c r="E292" s="22"/>
      <c r="F292" s="22"/>
    </row>
    <row r="293" spans="1:6" x14ac:dyDescent="0.3">
      <c r="A293" s="51"/>
      <c r="B293" s="22"/>
      <c r="C293" s="31"/>
      <c r="D293" s="31"/>
      <c r="E293" s="22"/>
      <c r="F293" s="22"/>
    </row>
    <row r="294" spans="1:6" x14ac:dyDescent="0.3">
      <c r="A294" s="51"/>
      <c r="B294" s="22"/>
      <c r="C294" s="31"/>
      <c r="D294" s="31"/>
      <c r="E294" s="22"/>
      <c r="F294" s="22"/>
    </row>
    <row r="295" spans="1:6" x14ac:dyDescent="0.3">
      <c r="A295" s="51"/>
      <c r="B295" s="22"/>
      <c r="C295" s="31"/>
      <c r="D295" s="31"/>
      <c r="E295" s="22"/>
      <c r="F295" s="22"/>
    </row>
    <row r="296" spans="1:6" x14ac:dyDescent="0.3">
      <c r="A296" s="51"/>
      <c r="B296" s="22"/>
      <c r="C296" s="31"/>
      <c r="D296" s="31"/>
      <c r="E296" s="22"/>
      <c r="F296" s="22"/>
    </row>
    <row r="297" spans="1:6" x14ac:dyDescent="0.3">
      <c r="A297" s="51"/>
      <c r="B297" s="22"/>
      <c r="C297" s="31"/>
      <c r="D297" s="31"/>
      <c r="E297" s="22"/>
      <c r="F297" s="22"/>
    </row>
    <row r="298" spans="1:6" x14ac:dyDescent="0.3">
      <c r="A298" s="51"/>
      <c r="B298" s="22"/>
      <c r="C298" s="31"/>
      <c r="D298" s="31"/>
      <c r="E298" s="22"/>
      <c r="F298" s="22"/>
    </row>
    <row r="299" spans="1:6" x14ac:dyDescent="0.3">
      <c r="A299" s="51"/>
      <c r="B299" s="22"/>
      <c r="C299" s="31"/>
      <c r="D299" s="31"/>
      <c r="E299" s="22"/>
      <c r="F299" s="22"/>
    </row>
    <row r="300" spans="1:6" x14ac:dyDescent="0.3">
      <c r="A300" s="51"/>
      <c r="B300" s="22"/>
      <c r="C300" s="31"/>
      <c r="D300" s="31"/>
      <c r="E300" s="22"/>
      <c r="F300" s="22"/>
    </row>
    <row r="301" spans="1:6" x14ac:dyDescent="0.3">
      <c r="A301" s="51"/>
      <c r="B301" s="22"/>
      <c r="C301" s="31"/>
      <c r="D301" s="31"/>
      <c r="E301" s="22"/>
      <c r="F301" s="22"/>
    </row>
    <row r="302" spans="1:6" x14ac:dyDescent="0.3">
      <c r="A302" s="51"/>
      <c r="B302" s="22"/>
      <c r="C302" s="31"/>
      <c r="D302" s="31"/>
      <c r="E302" s="22"/>
      <c r="F302" s="22"/>
    </row>
    <row r="303" spans="1:6" x14ac:dyDescent="0.3">
      <c r="A303" s="51"/>
      <c r="B303" s="22"/>
      <c r="C303" s="31"/>
      <c r="D303" s="31"/>
      <c r="E303" s="22"/>
      <c r="F303" s="22"/>
    </row>
    <row r="304" spans="1:6" x14ac:dyDescent="0.3">
      <c r="A304" s="51"/>
      <c r="B304" s="22"/>
      <c r="C304" s="31"/>
      <c r="D304" s="31"/>
      <c r="E304" s="22"/>
      <c r="F304" s="22"/>
    </row>
    <row r="305" spans="1:6" x14ac:dyDescent="0.3">
      <c r="A305" s="51"/>
      <c r="B305" s="22"/>
      <c r="C305" s="31"/>
      <c r="D305" s="31"/>
      <c r="E305" s="22"/>
      <c r="F305" s="22"/>
    </row>
    <row r="306" spans="1:6" x14ac:dyDescent="0.3">
      <c r="A306" s="51"/>
      <c r="B306" s="22"/>
      <c r="C306" s="31"/>
      <c r="D306" s="31"/>
      <c r="E306" s="22"/>
      <c r="F306" s="22"/>
    </row>
    <row r="307" spans="1:6" x14ac:dyDescent="0.3">
      <c r="A307" s="51"/>
      <c r="B307" s="22"/>
      <c r="C307" s="31"/>
      <c r="D307" s="31"/>
      <c r="E307" s="22"/>
      <c r="F307" s="22"/>
    </row>
    <row r="308" spans="1:6" x14ac:dyDescent="0.3">
      <c r="A308" s="51"/>
      <c r="B308" s="22"/>
      <c r="C308" s="31"/>
      <c r="D308" s="31"/>
      <c r="E308" s="22"/>
      <c r="F308" s="22"/>
    </row>
    <row r="309" spans="1:6" x14ac:dyDescent="0.3">
      <c r="A309" s="51"/>
      <c r="B309" s="22"/>
      <c r="C309" s="31"/>
      <c r="D309" s="31"/>
      <c r="E309" s="22"/>
      <c r="F309" s="22"/>
    </row>
    <row r="310" spans="1:6" x14ac:dyDescent="0.3">
      <c r="A310" s="51"/>
      <c r="B310" s="22"/>
      <c r="C310" s="31"/>
      <c r="D310" s="31"/>
      <c r="E310" s="22"/>
      <c r="F310" s="22"/>
    </row>
    <row r="311" spans="1:6" x14ac:dyDescent="0.3">
      <c r="A311" s="51"/>
      <c r="B311" s="22"/>
      <c r="C311" s="31"/>
      <c r="D311" s="31"/>
      <c r="E311" s="22"/>
      <c r="F311" s="22"/>
    </row>
    <row r="312" spans="1:6" x14ac:dyDescent="0.3">
      <c r="A312" s="51"/>
      <c r="B312" s="22"/>
      <c r="C312" s="31"/>
      <c r="D312" s="31"/>
      <c r="E312" s="22"/>
      <c r="F312" s="22"/>
    </row>
    <row r="313" spans="1:6" x14ac:dyDescent="0.3">
      <c r="A313" s="51"/>
      <c r="B313" s="22"/>
      <c r="C313" s="31"/>
      <c r="D313" s="31"/>
      <c r="E313" s="22"/>
      <c r="F313" s="22"/>
    </row>
    <row r="314" spans="1:6" x14ac:dyDescent="0.3">
      <c r="A314" s="51"/>
      <c r="B314" s="22"/>
      <c r="C314" s="31"/>
      <c r="D314" s="31"/>
      <c r="E314" s="22"/>
      <c r="F314" s="22"/>
    </row>
    <row r="315" spans="1:6" x14ac:dyDescent="0.3">
      <c r="A315" s="51"/>
      <c r="B315" s="22"/>
      <c r="C315" s="31"/>
      <c r="D315" s="31"/>
      <c r="E315" s="22"/>
      <c r="F315" s="22"/>
    </row>
    <row r="316" spans="1:6" x14ac:dyDescent="0.3">
      <c r="A316" s="51"/>
      <c r="B316" s="22"/>
      <c r="C316" s="31"/>
      <c r="D316" s="31"/>
      <c r="E316" s="22"/>
      <c r="F316" s="22"/>
    </row>
    <row r="317" spans="1:6" x14ac:dyDescent="0.3">
      <c r="A317" s="51"/>
      <c r="B317" s="22"/>
      <c r="C317" s="31"/>
      <c r="D317" s="31"/>
      <c r="E317" s="22"/>
      <c r="F317" s="22"/>
    </row>
    <row r="318" spans="1:6" x14ac:dyDescent="0.3">
      <c r="A318" s="51"/>
      <c r="B318" s="22"/>
      <c r="C318" s="31"/>
      <c r="D318" s="31"/>
      <c r="E318" s="22"/>
      <c r="F318" s="22"/>
    </row>
    <row r="319" spans="1:6" x14ac:dyDescent="0.3">
      <c r="A319" s="51"/>
      <c r="B319" s="22"/>
      <c r="C319" s="31"/>
      <c r="D319" s="31"/>
      <c r="E319" s="22"/>
      <c r="F319" s="22"/>
    </row>
    <row r="320" spans="1:6" x14ac:dyDescent="0.3">
      <c r="A320" s="51"/>
      <c r="B320" s="22"/>
      <c r="C320" s="31"/>
      <c r="D320" s="31"/>
      <c r="E320" s="22"/>
      <c r="F320" s="22"/>
    </row>
    <row r="321" spans="1:6" x14ac:dyDescent="0.3">
      <c r="A321" s="51"/>
      <c r="B321" s="22"/>
      <c r="C321" s="31"/>
      <c r="D321" s="31"/>
      <c r="E321" s="22"/>
      <c r="F321" s="22"/>
    </row>
    <row r="322" spans="1:6" x14ac:dyDescent="0.3">
      <c r="A322" s="51"/>
      <c r="B322" s="22"/>
      <c r="C322" s="31"/>
      <c r="D322" s="31"/>
      <c r="E322" s="22"/>
      <c r="F322" s="22"/>
    </row>
    <row r="323" spans="1:6" x14ac:dyDescent="0.3">
      <c r="A323" s="51"/>
      <c r="B323" s="22"/>
      <c r="C323" s="31"/>
      <c r="D323" s="31"/>
      <c r="E323" s="22"/>
      <c r="F323" s="22"/>
    </row>
    <row r="324" spans="1:6" x14ac:dyDescent="0.3">
      <c r="A324" s="51"/>
      <c r="B324" s="22"/>
      <c r="C324" s="31"/>
      <c r="D324" s="31"/>
      <c r="E324" s="22"/>
      <c r="F324" s="22"/>
    </row>
    <row r="325" spans="1:6" x14ac:dyDescent="0.3">
      <c r="A325" s="51"/>
      <c r="B325" s="22"/>
      <c r="C325" s="31"/>
      <c r="D325" s="31"/>
      <c r="E325" s="22"/>
      <c r="F325" s="22"/>
    </row>
    <row r="326" spans="1:6" x14ac:dyDescent="0.3">
      <c r="A326" s="51"/>
      <c r="B326" s="22"/>
      <c r="C326" s="31"/>
      <c r="D326" s="31"/>
      <c r="E326" s="22"/>
      <c r="F326" s="22"/>
    </row>
    <row r="327" spans="1:6" x14ac:dyDescent="0.3">
      <c r="A327" s="51"/>
      <c r="B327" s="22"/>
      <c r="C327" s="31"/>
      <c r="D327" s="31"/>
      <c r="E327" s="22"/>
      <c r="F327" s="22"/>
    </row>
    <row r="328" spans="1:6" x14ac:dyDescent="0.3">
      <c r="A328" s="51"/>
      <c r="B328" s="22"/>
      <c r="C328" s="31"/>
      <c r="D328" s="31"/>
      <c r="E328" s="22"/>
      <c r="F328" s="22"/>
    </row>
    <row r="329" spans="1:6" x14ac:dyDescent="0.3">
      <c r="A329" s="51"/>
      <c r="B329" s="22"/>
      <c r="C329" s="31"/>
      <c r="D329" s="31"/>
      <c r="E329" s="22"/>
      <c r="F329" s="22"/>
    </row>
    <row r="330" spans="1:6" x14ac:dyDescent="0.3">
      <c r="A330" s="51"/>
      <c r="B330" s="22"/>
      <c r="C330" s="31"/>
      <c r="D330" s="31"/>
      <c r="E330" s="22"/>
      <c r="F330" s="22"/>
    </row>
    <row r="331" spans="1:6" x14ac:dyDescent="0.3">
      <c r="A331" s="51"/>
      <c r="B331" s="22"/>
      <c r="C331" s="31"/>
      <c r="D331" s="31"/>
      <c r="E331" s="22"/>
      <c r="F331" s="22"/>
    </row>
    <row r="332" spans="1:6" x14ac:dyDescent="0.3">
      <c r="A332" s="51"/>
      <c r="B332" s="22"/>
      <c r="C332" s="31"/>
      <c r="D332" s="31"/>
      <c r="E332" s="22"/>
      <c r="F332" s="22"/>
    </row>
    <row r="333" spans="1:6" x14ac:dyDescent="0.3">
      <c r="A333" s="51"/>
      <c r="B333" s="22"/>
      <c r="C333" s="31"/>
      <c r="D333" s="31"/>
      <c r="E333" s="22"/>
      <c r="F333" s="22"/>
    </row>
    <row r="334" spans="1:6" x14ac:dyDescent="0.3">
      <c r="A334" s="51"/>
      <c r="B334" s="22"/>
      <c r="C334" s="31"/>
      <c r="D334" s="31"/>
      <c r="E334" s="22"/>
      <c r="F334" s="22"/>
    </row>
    <row r="335" spans="1:6" x14ac:dyDescent="0.3">
      <c r="A335" s="51"/>
      <c r="B335" s="22"/>
      <c r="C335" s="31"/>
      <c r="D335" s="31"/>
      <c r="E335" s="22"/>
      <c r="F335" s="22"/>
    </row>
    <row r="336" spans="1:6" x14ac:dyDescent="0.3">
      <c r="A336" s="51"/>
      <c r="B336" s="22"/>
      <c r="C336" s="31"/>
      <c r="D336" s="31"/>
      <c r="E336" s="22"/>
      <c r="F336" s="22"/>
    </row>
    <row r="337" spans="1:6" x14ac:dyDescent="0.3">
      <c r="A337" s="51"/>
      <c r="B337" s="22"/>
      <c r="C337" s="31"/>
      <c r="D337" s="31"/>
      <c r="E337" s="22"/>
      <c r="F337" s="22"/>
    </row>
    <row r="338" spans="1:6" x14ac:dyDescent="0.3">
      <c r="A338" s="51"/>
      <c r="B338" s="22"/>
      <c r="C338" s="31"/>
      <c r="D338" s="31"/>
      <c r="E338" s="22"/>
      <c r="F338" s="22"/>
    </row>
    <row r="339" spans="1:6" x14ac:dyDescent="0.3">
      <c r="A339" s="51"/>
      <c r="B339" s="22"/>
      <c r="C339" s="31"/>
      <c r="D339" s="31"/>
      <c r="E339" s="22"/>
      <c r="F339" s="22"/>
    </row>
    <row r="340" spans="1:6" x14ac:dyDescent="0.3">
      <c r="A340" s="51"/>
      <c r="B340" s="22"/>
      <c r="C340" s="31"/>
      <c r="D340" s="31"/>
      <c r="E340" s="22"/>
      <c r="F340" s="22"/>
    </row>
    <row r="341" spans="1:6" x14ac:dyDescent="0.3">
      <c r="A341" s="51"/>
      <c r="B341" s="22"/>
      <c r="C341" s="31"/>
      <c r="D341" s="31"/>
      <c r="E341" s="22"/>
      <c r="F341" s="22"/>
    </row>
    <row r="342" spans="1:6" x14ac:dyDescent="0.3">
      <c r="A342" s="51"/>
      <c r="B342" s="22"/>
      <c r="C342" s="31"/>
      <c r="D342" s="31"/>
      <c r="E342" s="22"/>
      <c r="F342" s="22"/>
    </row>
    <row r="343" spans="1:6" x14ac:dyDescent="0.3">
      <c r="A343" s="51"/>
      <c r="B343" s="22"/>
      <c r="C343" s="31"/>
      <c r="D343" s="31"/>
      <c r="E343" s="22"/>
      <c r="F343" s="22"/>
    </row>
    <row r="344" spans="1:6" x14ac:dyDescent="0.3">
      <c r="A344" s="51"/>
      <c r="B344" s="22"/>
      <c r="C344" s="31"/>
      <c r="D344" s="31"/>
      <c r="E344" s="22"/>
      <c r="F344" s="22"/>
    </row>
    <row r="345" spans="1:6" x14ac:dyDescent="0.3">
      <c r="A345" s="51"/>
      <c r="B345" s="22"/>
      <c r="C345" s="31"/>
      <c r="D345" s="31"/>
      <c r="E345" s="22"/>
      <c r="F345" s="22"/>
    </row>
    <row r="346" spans="1:6" x14ac:dyDescent="0.3">
      <c r="A346" s="51"/>
      <c r="B346" s="22"/>
      <c r="C346" s="31"/>
      <c r="D346" s="31"/>
      <c r="E346" s="22"/>
      <c r="F346" s="22"/>
    </row>
    <row r="347" spans="1:6" x14ac:dyDescent="0.3">
      <c r="A347" s="51"/>
      <c r="B347" s="22"/>
      <c r="C347" s="31"/>
      <c r="D347" s="31"/>
      <c r="E347" s="22"/>
      <c r="F347" s="22"/>
    </row>
    <row r="348" spans="1:6" x14ac:dyDescent="0.3">
      <c r="A348" s="51"/>
      <c r="B348" s="22"/>
      <c r="C348" s="31"/>
      <c r="D348" s="31"/>
      <c r="E348" s="22"/>
      <c r="F348" s="22"/>
    </row>
    <row r="349" spans="1:6" x14ac:dyDescent="0.3">
      <c r="A349" s="51"/>
      <c r="B349" s="22"/>
      <c r="C349" s="31"/>
      <c r="D349" s="31"/>
      <c r="E349" s="22"/>
      <c r="F349" s="22"/>
    </row>
    <row r="350" spans="1:6" x14ac:dyDescent="0.3">
      <c r="A350" s="51"/>
      <c r="B350" s="22"/>
      <c r="C350" s="31"/>
      <c r="D350" s="31"/>
      <c r="E350" s="22"/>
      <c r="F350" s="22"/>
    </row>
    <row r="351" spans="1:6" x14ac:dyDescent="0.3">
      <c r="A351" s="51"/>
      <c r="B351" s="22"/>
      <c r="C351" s="31"/>
      <c r="D351" s="31"/>
      <c r="E351" s="22"/>
      <c r="F351" s="22"/>
    </row>
    <row r="352" spans="1:6" x14ac:dyDescent="0.3">
      <c r="A352" s="51"/>
      <c r="B352" s="22"/>
      <c r="C352" s="31"/>
      <c r="D352" s="31"/>
      <c r="E352" s="22"/>
      <c r="F352" s="22"/>
    </row>
    <row r="353" spans="1:6" x14ac:dyDescent="0.3">
      <c r="A353" s="51"/>
      <c r="B353" s="22"/>
      <c r="C353" s="31"/>
      <c r="D353" s="31"/>
      <c r="E353" s="22"/>
      <c r="F353" s="22"/>
    </row>
    <row r="354" spans="1:6" x14ac:dyDescent="0.3">
      <c r="A354" s="51"/>
      <c r="B354" s="22"/>
      <c r="C354" s="31"/>
      <c r="D354" s="31"/>
      <c r="E354" s="22"/>
      <c r="F354" s="22"/>
    </row>
    <row r="355" spans="1:6" x14ac:dyDescent="0.3">
      <c r="A355" s="51"/>
      <c r="B355" s="22"/>
      <c r="C355" s="31"/>
      <c r="D355" s="31"/>
      <c r="E355" s="22"/>
      <c r="F355" s="22"/>
    </row>
    <row r="356" spans="1:6" x14ac:dyDescent="0.3">
      <c r="A356" s="51"/>
      <c r="B356" s="22"/>
      <c r="C356" s="31"/>
      <c r="D356" s="31"/>
      <c r="E356" s="22"/>
      <c r="F356" s="22"/>
    </row>
    <row r="357" spans="1:6" x14ac:dyDescent="0.3">
      <c r="A357" s="51"/>
      <c r="B357" s="22"/>
      <c r="C357" s="31"/>
      <c r="D357" s="31"/>
      <c r="E357" s="22"/>
      <c r="F357" s="22"/>
    </row>
    <row r="358" spans="1:6" x14ac:dyDescent="0.3">
      <c r="A358" s="51"/>
      <c r="B358" s="22"/>
      <c r="C358" s="31"/>
      <c r="D358" s="31"/>
      <c r="E358" s="22"/>
      <c r="F358" s="22"/>
    </row>
    <row r="359" spans="1:6" x14ac:dyDescent="0.3">
      <c r="A359" s="51"/>
      <c r="B359" s="22"/>
      <c r="C359" s="31"/>
      <c r="D359" s="31"/>
      <c r="E359" s="22"/>
      <c r="F359" s="22"/>
    </row>
    <row r="360" spans="1:6" x14ac:dyDescent="0.3">
      <c r="A360" s="51"/>
      <c r="B360" s="22"/>
      <c r="C360" s="31"/>
      <c r="D360" s="31"/>
      <c r="E360" s="22"/>
      <c r="F360" s="22"/>
    </row>
    <row r="361" spans="1:6" x14ac:dyDescent="0.3">
      <c r="A361" s="51"/>
      <c r="B361" s="22"/>
      <c r="C361" s="31"/>
      <c r="D361" s="31"/>
      <c r="E361" s="22"/>
      <c r="F361" s="22"/>
    </row>
    <row r="362" spans="1:6" x14ac:dyDescent="0.3">
      <c r="A362" s="51"/>
      <c r="B362" s="22"/>
      <c r="C362" s="31"/>
      <c r="D362" s="31"/>
      <c r="E362" s="22"/>
      <c r="F362" s="22"/>
    </row>
    <row r="363" spans="1:6" x14ac:dyDescent="0.3">
      <c r="A363" s="51"/>
      <c r="B363" s="22"/>
      <c r="C363" s="31"/>
      <c r="D363" s="31"/>
      <c r="E363" s="22"/>
      <c r="F363" s="22"/>
    </row>
    <row r="364" spans="1:6" x14ac:dyDescent="0.3">
      <c r="A364" s="51"/>
      <c r="B364" s="22"/>
      <c r="C364" s="31"/>
      <c r="D364" s="31"/>
      <c r="E364" s="22"/>
      <c r="F364" s="22"/>
    </row>
    <row r="365" spans="1:6" x14ac:dyDescent="0.3">
      <c r="A365" s="51"/>
      <c r="B365" s="22"/>
      <c r="C365" s="31"/>
      <c r="D365" s="31"/>
      <c r="E365" s="22"/>
      <c r="F365" s="22"/>
    </row>
    <row r="366" spans="1:6" x14ac:dyDescent="0.3">
      <c r="A366" s="51"/>
      <c r="B366" s="22"/>
      <c r="C366" s="31"/>
      <c r="D366" s="31"/>
      <c r="E366" s="22"/>
      <c r="F366" s="22"/>
    </row>
    <row r="367" spans="1:6" x14ac:dyDescent="0.3">
      <c r="A367" s="51"/>
      <c r="B367" s="22"/>
      <c r="C367" s="31"/>
      <c r="D367" s="31"/>
      <c r="E367" s="22"/>
      <c r="F367" s="22"/>
    </row>
    <row r="368" spans="1:6" x14ac:dyDescent="0.3">
      <c r="A368" s="51"/>
      <c r="B368" s="22"/>
      <c r="C368" s="31"/>
      <c r="D368" s="31"/>
      <c r="E368" s="22"/>
      <c r="F368" s="22"/>
    </row>
    <row r="369" spans="1:6" x14ac:dyDescent="0.3">
      <c r="A369" s="51"/>
      <c r="B369" s="22"/>
      <c r="C369" s="31"/>
      <c r="D369" s="31"/>
      <c r="E369" s="22"/>
      <c r="F369" s="22"/>
    </row>
    <row r="370" spans="1:6" x14ac:dyDescent="0.3">
      <c r="A370" s="51"/>
      <c r="B370" s="22"/>
      <c r="C370" s="31"/>
      <c r="D370" s="31"/>
      <c r="E370" s="22"/>
      <c r="F370" s="22"/>
    </row>
    <row r="371" spans="1:6" x14ac:dyDescent="0.3">
      <c r="A371" s="51"/>
      <c r="B371" s="22"/>
      <c r="C371" s="31"/>
      <c r="D371" s="31"/>
      <c r="E371" s="22"/>
      <c r="F371" s="22"/>
    </row>
    <row r="372" spans="1:6" x14ac:dyDescent="0.3">
      <c r="A372" s="51"/>
      <c r="B372" s="22"/>
      <c r="C372" s="31"/>
      <c r="D372" s="31"/>
      <c r="E372" s="22"/>
      <c r="F372" s="22"/>
    </row>
    <row r="373" spans="1:6" x14ac:dyDescent="0.3">
      <c r="A373" s="51"/>
      <c r="B373" s="22"/>
      <c r="C373" s="31"/>
      <c r="D373" s="31"/>
      <c r="E373" s="22"/>
      <c r="F373" s="22"/>
    </row>
    <row r="374" spans="1:6" x14ac:dyDescent="0.3">
      <c r="A374" s="51"/>
      <c r="B374" s="22"/>
      <c r="C374" s="31"/>
      <c r="D374" s="31"/>
      <c r="E374" s="22"/>
      <c r="F374" s="22"/>
    </row>
    <row r="375" spans="1:6" x14ac:dyDescent="0.3">
      <c r="A375" s="51"/>
      <c r="B375" s="22"/>
      <c r="C375" s="31"/>
      <c r="D375" s="31"/>
      <c r="E375" s="22"/>
      <c r="F375" s="22"/>
    </row>
    <row r="376" spans="1:6" x14ac:dyDescent="0.3">
      <c r="A376" s="51"/>
      <c r="B376" s="22"/>
      <c r="C376" s="31"/>
      <c r="D376" s="31"/>
      <c r="E376" s="22"/>
      <c r="F376" s="22"/>
    </row>
    <row r="377" spans="1:6" x14ac:dyDescent="0.3">
      <c r="A377" s="51"/>
      <c r="B377" s="22"/>
      <c r="C377" s="31"/>
      <c r="D377" s="31"/>
      <c r="E377" s="22"/>
      <c r="F377" s="22"/>
    </row>
    <row r="378" spans="1:6" x14ac:dyDescent="0.3">
      <c r="A378" s="51"/>
      <c r="B378" s="22"/>
      <c r="C378" s="31"/>
      <c r="D378" s="31"/>
      <c r="E378" s="22"/>
      <c r="F378" s="22"/>
    </row>
    <row r="379" spans="1:6" x14ac:dyDescent="0.3">
      <c r="A379" s="51"/>
      <c r="B379" s="22"/>
      <c r="C379" s="31"/>
      <c r="D379" s="31"/>
      <c r="E379" s="22"/>
      <c r="F379" s="22"/>
    </row>
    <row r="380" spans="1:6" x14ac:dyDescent="0.3">
      <c r="A380" s="51"/>
      <c r="B380" s="22"/>
      <c r="C380" s="31"/>
      <c r="D380" s="31"/>
      <c r="E380" s="22"/>
      <c r="F380" s="22"/>
    </row>
    <row r="381" spans="1:6" x14ac:dyDescent="0.3">
      <c r="A381" s="51"/>
      <c r="B381" s="22"/>
      <c r="C381" s="31"/>
      <c r="D381" s="31"/>
      <c r="E381" s="22"/>
      <c r="F381" s="22"/>
    </row>
    <row r="382" spans="1:6" x14ac:dyDescent="0.3">
      <c r="A382" s="51"/>
      <c r="B382" s="22"/>
      <c r="C382" s="31"/>
      <c r="D382" s="31"/>
      <c r="E382" s="22"/>
      <c r="F382" s="22"/>
    </row>
    <row r="383" spans="1:6" x14ac:dyDescent="0.3">
      <c r="A383" s="51"/>
      <c r="B383" s="22"/>
      <c r="C383" s="31"/>
      <c r="D383" s="31"/>
      <c r="E383" s="22"/>
      <c r="F383" s="22"/>
    </row>
    <row r="384" spans="1:6" x14ac:dyDescent="0.3">
      <c r="A384" s="51"/>
      <c r="B384" s="22"/>
      <c r="C384" s="31"/>
      <c r="D384" s="31"/>
      <c r="E384" s="22"/>
      <c r="F384" s="22"/>
    </row>
    <row r="385" spans="1:6" x14ac:dyDescent="0.3">
      <c r="A385" s="51"/>
      <c r="B385" s="22"/>
      <c r="C385" s="31"/>
      <c r="D385" s="31"/>
      <c r="E385" s="22"/>
      <c r="F385" s="22"/>
    </row>
    <row r="386" spans="1:6" x14ac:dyDescent="0.3">
      <c r="A386" s="51"/>
      <c r="B386" s="22"/>
      <c r="C386" s="31"/>
      <c r="D386" s="31"/>
      <c r="E386" s="22"/>
      <c r="F386" s="22"/>
    </row>
    <row r="387" spans="1:6" x14ac:dyDescent="0.3">
      <c r="A387" s="51"/>
      <c r="B387" s="22"/>
      <c r="C387" s="31"/>
      <c r="D387" s="31"/>
      <c r="E387" s="22"/>
      <c r="F387" s="22"/>
    </row>
    <row r="388" spans="1:6" x14ac:dyDescent="0.3">
      <c r="A388" s="51"/>
      <c r="B388" s="22"/>
      <c r="C388" s="31"/>
      <c r="D388" s="31"/>
      <c r="E388" s="22"/>
      <c r="F388" s="22"/>
    </row>
    <row r="389" spans="1:6" x14ac:dyDescent="0.3">
      <c r="A389" s="51"/>
      <c r="B389" s="22"/>
      <c r="C389" s="31"/>
      <c r="D389" s="31"/>
      <c r="E389" s="22"/>
      <c r="F389" s="22"/>
    </row>
    <row r="390" spans="1:6" x14ac:dyDescent="0.3">
      <c r="A390" s="51"/>
      <c r="B390" s="22"/>
      <c r="C390" s="31"/>
      <c r="D390" s="31"/>
      <c r="E390" s="22"/>
      <c r="F390" s="22"/>
    </row>
    <row r="391" spans="1:6" x14ac:dyDescent="0.3">
      <c r="A391" s="51"/>
      <c r="B391" s="22"/>
      <c r="C391" s="31"/>
      <c r="D391" s="31"/>
      <c r="E391" s="22"/>
      <c r="F391" s="22"/>
    </row>
    <row r="392" spans="1:6" x14ac:dyDescent="0.3">
      <c r="A392" s="51"/>
      <c r="B392" s="22"/>
      <c r="C392" s="31"/>
      <c r="D392" s="31"/>
      <c r="E392" s="22"/>
      <c r="F392" s="22"/>
    </row>
    <row r="393" spans="1:6" x14ac:dyDescent="0.3">
      <c r="A393" s="51"/>
      <c r="B393" s="22"/>
      <c r="C393" s="31"/>
      <c r="D393" s="31"/>
      <c r="E393" s="22"/>
      <c r="F393" s="22"/>
    </row>
    <row r="394" spans="1:6" x14ac:dyDescent="0.3">
      <c r="A394" s="51"/>
      <c r="B394" s="22"/>
      <c r="C394" s="31"/>
      <c r="D394" s="31"/>
      <c r="E394" s="22"/>
      <c r="F394" s="22"/>
    </row>
    <row r="395" spans="1:6" x14ac:dyDescent="0.3">
      <c r="A395" s="51"/>
      <c r="B395" s="22"/>
      <c r="C395" s="31"/>
      <c r="D395" s="31"/>
      <c r="E395" s="22"/>
      <c r="F395" s="22"/>
    </row>
    <row r="396" spans="1:6" x14ac:dyDescent="0.3">
      <c r="A396" s="51"/>
      <c r="B396" s="22"/>
      <c r="C396" s="31"/>
      <c r="D396" s="31"/>
      <c r="E396" s="22"/>
      <c r="F396" s="22"/>
    </row>
    <row r="397" spans="1:6" x14ac:dyDescent="0.3">
      <c r="A397" s="51"/>
      <c r="B397" s="22"/>
      <c r="C397" s="31"/>
      <c r="D397" s="31"/>
      <c r="E397" s="22"/>
      <c r="F397" s="22"/>
    </row>
    <row r="398" spans="1:6" x14ac:dyDescent="0.3">
      <c r="A398" s="51"/>
      <c r="B398" s="22"/>
      <c r="C398" s="31"/>
      <c r="D398" s="31"/>
      <c r="E398" s="22"/>
      <c r="F398" s="22"/>
    </row>
    <row r="399" spans="1:6" x14ac:dyDescent="0.3">
      <c r="A399" s="51"/>
      <c r="B399" s="22"/>
      <c r="C399" s="31"/>
      <c r="D399" s="31"/>
      <c r="E399" s="22"/>
      <c r="F399" s="22"/>
    </row>
    <row r="400" spans="1:6" x14ac:dyDescent="0.3">
      <c r="A400" s="51"/>
      <c r="B400" s="22"/>
      <c r="C400" s="31"/>
      <c r="D400" s="31"/>
      <c r="E400" s="22"/>
      <c r="F400" s="22"/>
    </row>
    <row r="401" spans="1:6" x14ac:dyDescent="0.3">
      <c r="A401" s="51"/>
      <c r="B401" s="22"/>
      <c r="C401" s="31"/>
      <c r="D401" s="31"/>
      <c r="E401" s="22"/>
      <c r="F401" s="22"/>
    </row>
    <row r="402" spans="1:6" x14ac:dyDescent="0.3">
      <c r="A402" s="51"/>
      <c r="B402" s="22"/>
      <c r="C402" s="31"/>
      <c r="D402" s="31"/>
      <c r="E402" s="22"/>
      <c r="F402" s="22"/>
    </row>
    <row r="403" spans="1:6" x14ac:dyDescent="0.3">
      <c r="A403" s="51"/>
      <c r="B403" s="22"/>
      <c r="C403" s="31"/>
      <c r="D403" s="31"/>
      <c r="E403" s="22"/>
      <c r="F403" s="22"/>
    </row>
    <row r="404" spans="1:6" x14ac:dyDescent="0.3">
      <c r="A404" s="51"/>
      <c r="B404" s="22"/>
      <c r="C404" s="31"/>
      <c r="D404" s="31"/>
      <c r="E404" s="22"/>
      <c r="F404" s="22"/>
    </row>
    <row r="405" spans="1:6" x14ac:dyDescent="0.3">
      <c r="A405" s="51"/>
      <c r="B405" s="22"/>
      <c r="C405" s="31"/>
      <c r="D405" s="31"/>
      <c r="E405" s="22"/>
      <c r="F405" s="22"/>
    </row>
    <row r="406" spans="1:6" x14ac:dyDescent="0.3">
      <c r="A406" s="51"/>
      <c r="B406" s="22"/>
      <c r="C406" s="31"/>
      <c r="D406" s="31"/>
      <c r="E406" s="22"/>
      <c r="F406" s="22"/>
    </row>
    <row r="407" spans="1:6" x14ac:dyDescent="0.3">
      <c r="A407" s="51"/>
      <c r="B407" s="22"/>
      <c r="C407" s="31"/>
      <c r="D407" s="31"/>
      <c r="E407" s="22"/>
      <c r="F407" s="22"/>
    </row>
    <row r="408" spans="1:6" x14ac:dyDescent="0.3">
      <c r="A408" s="51"/>
      <c r="B408" s="22"/>
      <c r="C408" s="31"/>
      <c r="D408" s="31"/>
      <c r="E408" s="22"/>
      <c r="F408" s="22"/>
    </row>
    <row r="409" spans="1:6" x14ac:dyDescent="0.3">
      <c r="A409" s="51"/>
      <c r="B409" s="22"/>
      <c r="C409" s="31"/>
      <c r="D409" s="31"/>
      <c r="E409" s="22"/>
      <c r="F409" s="22"/>
    </row>
    <row r="410" spans="1:6" x14ac:dyDescent="0.3">
      <c r="A410" s="51"/>
      <c r="B410" s="22"/>
      <c r="C410" s="31"/>
      <c r="D410" s="31"/>
      <c r="E410" s="22"/>
      <c r="F410" s="22"/>
    </row>
    <row r="411" spans="1:6" x14ac:dyDescent="0.3">
      <c r="A411" s="51"/>
      <c r="B411" s="22"/>
      <c r="C411" s="31"/>
      <c r="D411" s="31"/>
      <c r="E411" s="22"/>
      <c r="F411" s="22"/>
    </row>
    <row r="412" spans="1:6" x14ac:dyDescent="0.3">
      <c r="A412" s="51"/>
      <c r="B412" s="22"/>
      <c r="C412" s="31"/>
      <c r="D412" s="31"/>
      <c r="E412" s="22"/>
      <c r="F412" s="22"/>
    </row>
    <row r="413" spans="1:6" x14ac:dyDescent="0.3">
      <c r="A413" s="51"/>
      <c r="B413" s="22"/>
      <c r="C413" s="31"/>
      <c r="D413" s="31"/>
      <c r="E413" s="22"/>
      <c r="F413" s="22"/>
    </row>
    <row r="414" spans="1:6" x14ac:dyDescent="0.3">
      <c r="A414" s="51"/>
      <c r="B414" s="22"/>
      <c r="C414" s="31"/>
      <c r="D414" s="31"/>
      <c r="E414" s="22"/>
      <c r="F414" s="22"/>
    </row>
    <row r="415" spans="1:6" x14ac:dyDescent="0.3">
      <c r="A415" s="51"/>
      <c r="B415" s="22"/>
      <c r="C415" s="31"/>
      <c r="D415" s="31"/>
      <c r="E415" s="22"/>
      <c r="F415" s="22"/>
    </row>
    <row r="416" spans="1:6" x14ac:dyDescent="0.3">
      <c r="A416" s="51"/>
      <c r="B416" s="22"/>
      <c r="C416" s="31"/>
      <c r="D416" s="31"/>
      <c r="E416" s="22"/>
      <c r="F416" s="22"/>
    </row>
    <row r="417" spans="1:6" x14ac:dyDescent="0.3">
      <c r="A417" s="51"/>
      <c r="B417" s="22"/>
      <c r="C417" s="31"/>
      <c r="D417" s="31"/>
      <c r="E417" s="22"/>
      <c r="F417" s="22"/>
    </row>
    <row r="418" spans="1:6" x14ac:dyDescent="0.3">
      <c r="A418" s="51"/>
      <c r="B418" s="22"/>
      <c r="C418" s="31"/>
      <c r="D418" s="31"/>
      <c r="E418" s="22"/>
      <c r="F418" s="22"/>
    </row>
    <row r="419" spans="1:6" x14ac:dyDescent="0.3">
      <c r="A419" s="51"/>
      <c r="B419" s="22"/>
      <c r="C419" s="31"/>
      <c r="D419" s="31"/>
      <c r="E419" s="22"/>
      <c r="F419" s="22"/>
    </row>
    <row r="420" spans="1:6" x14ac:dyDescent="0.3">
      <c r="A420" s="51"/>
      <c r="B420" s="22"/>
      <c r="C420" s="31"/>
      <c r="D420" s="31"/>
      <c r="E420" s="22"/>
      <c r="F420" s="22"/>
    </row>
    <row r="421" spans="1:6" x14ac:dyDescent="0.3">
      <c r="A421" s="51"/>
      <c r="B421" s="22"/>
      <c r="C421" s="31"/>
      <c r="D421" s="31"/>
      <c r="E421" s="22"/>
      <c r="F421" s="22"/>
    </row>
    <row r="422" spans="1:6" x14ac:dyDescent="0.3">
      <c r="A422" s="51"/>
      <c r="B422" s="22"/>
      <c r="C422" s="31"/>
      <c r="D422" s="31"/>
      <c r="E422" s="22"/>
      <c r="F422" s="22"/>
    </row>
    <row r="423" spans="1:6" x14ac:dyDescent="0.3">
      <c r="A423" s="51"/>
      <c r="B423" s="22"/>
      <c r="C423" s="31"/>
      <c r="D423" s="31"/>
      <c r="E423" s="22"/>
      <c r="F423" s="22"/>
    </row>
    <row r="424" spans="1:6" x14ac:dyDescent="0.3">
      <c r="A424" s="51"/>
      <c r="B424" s="22"/>
      <c r="C424" s="31"/>
      <c r="D424" s="31"/>
      <c r="E424" s="22"/>
      <c r="F424" s="22"/>
    </row>
    <row r="425" spans="1:6" x14ac:dyDescent="0.3">
      <c r="A425" s="51"/>
      <c r="B425" s="22"/>
      <c r="C425" s="31"/>
      <c r="D425" s="31"/>
      <c r="E425" s="22"/>
      <c r="F425" s="22"/>
    </row>
    <row r="426" spans="1:6" x14ac:dyDescent="0.3">
      <c r="A426" s="51"/>
      <c r="B426" s="22"/>
      <c r="C426" s="31"/>
      <c r="D426" s="31"/>
      <c r="E426" s="22"/>
      <c r="F426" s="22"/>
    </row>
    <row r="427" spans="1:6" x14ac:dyDescent="0.3">
      <c r="A427" s="51"/>
      <c r="B427" s="22"/>
      <c r="C427" s="31"/>
      <c r="D427" s="31"/>
      <c r="E427" s="22"/>
      <c r="F427" s="22"/>
    </row>
    <row r="428" spans="1:6" x14ac:dyDescent="0.3">
      <c r="A428" s="51"/>
      <c r="B428" s="22"/>
      <c r="C428" s="31"/>
      <c r="D428" s="31"/>
      <c r="E428" s="22"/>
      <c r="F428" s="22"/>
    </row>
    <row r="429" spans="1:6" x14ac:dyDescent="0.3">
      <c r="A429" s="51"/>
      <c r="B429" s="22"/>
      <c r="C429" s="31"/>
      <c r="D429" s="31"/>
      <c r="E429" s="22"/>
      <c r="F429" s="22"/>
    </row>
    <row r="430" spans="1:6" x14ac:dyDescent="0.3">
      <c r="A430" s="51"/>
      <c r="B430" s="22"/>
      <c r="C430" s="31"/>
      <c r="D430" s="31"/>
      <c r="E430" s="22"/>
      <c r="F430" s="22"/>
    </row>
    <row r="431" spans="1:6" x14ac:dyDescent="0.3">
      <c r="A431" s="51"/>
      <c r="B431" s="22"/>
      <c r="C431" s="31"/>
      <c r="D431" s="31"/>
      <c r="E431" s="22"/>
      <c r="F431" s="22"/>
    </row>
    <row r="432" spans="1:6" x14ac:dyDescent="0.3">
      <c r="A432" s="51"/>
      <c r="B432" s="22"/>
      <c r="C432" s="31"/>
      <c r="D432" s="31"/>
      <c r="E432" s="22"/>
      <c r="F432" s="22"/>
    </row>
    <row r="433" spans="1:6" x14ac:dyDescent="0.3">
      <c r="A433" s="51"/>
      <c r="B433" s="22"/>
      <c r="C433" s="31"/>
      <c r="D433" s="31"/>
      <c r="E433" s="22"/>
      <c r="F433" s="22"/>
    </row>
    <row r="434" spans="1:6" x14ac:dyDescent="0.3">
      <c r="A434" s="51"/>
      <c r="B434" s="22"/>
      <c r="C434" s="31"/>
      <c r="D434" s="31"/>
      <c r="E434" s="22"/>
      <c r="F434" s="22"/>
    </row>
    <row r="435" spans="1:6" x14ac:dyDescent="0.3">
      <c r="A435" s="51"/>
      <c r="B435" s="22"/>
      <c r="C435" s="31"/>
      <c r="D435" s="31"/>
      <c r="E435" s="22"/>
      <c r="F435" s="22"/>
    </row>
    <row r="436" spans="1:6" x14ac:dyDescent="0.3">
      <c r="A436" s="51"/>
      <c r="B436" s="22"/>
      <c r="C436" s="31"/>
      <c r="D436" s="31"/>
      <c r="E436" s="22"/>
      <c r="F436" s="22"/>
    </row>
    <row r="437" spans="1:6" x14ac:dyDescent="0.3">
      <c r="A437" s="51"/>
      <c r="B437" s="22"/>
      <c r="C437" s="31"/>
      <c r="D437" s="31"/>
      <c r="E437" s="22"/>
      <c r="F437" s="22"/>
    </row>
    <row r="438" spans="1:6" x14ac:dyDescent="0.3">
      <c r="A438" s="51"/>
      <c r="B438" s="22"/>
      <c r="C438" s="31"/>
      <c r="D438" s="31"/>
      <c r="E438" s="22"/>
      <c r="F438" s="22"/>
    </row>
    <row r="439" spans="1:6" x14ac:dyDescent="0.3">
      <c r="A439" s="51"/>
      <c r="B439" s="22"/>
      <c r="C439" s="31"/>
      <c r="D439" s="31"/>
      <c r="E439" s="22"/>
      <c r="F439" s="22"/>
    </row>
    <row r="440" spans="1:6" x14ac:dyDescent="0.3">
      <c r="A440" s="51"/>
      <c r="B440" s="22"/>
      <c r="C440" s="31"/>
      <c r="D440" s="31"/>
      <c r="E440" s="22"/>
      <c r="F440" s="22"/>
    </row>
    <row r="441" spans="1:6" x14ac:dyDescent="0.3">
      <c r="A441" s="51"/>
      <c r="B441" s="22"/>
      <c r="C441" s="31"/>
      <c r="D441" s="31"/>
      <c r="E441" s="22"/>
      <c r="F441" s="22"/>
    </row>
    <row r="442" spans="1:6" x14ac:dyDescent="0.3">
      <c r="A442" s="51"/>
      <c r="B442" s="22"/>
      <c r="C442" s="31"/>
      <c r="D442" s="31"/>
      <c r="E442" s="22"/>
      <c r="F442" s="22"/>
    </row>
    <row r="443" spans="1:6" x14ac:dyDescent="0.3">
      <c r="A443" s="51"/>
      <c r="B443" s="22"/>
      <c r="C443" s="31"/>
      <c r="D443" s="31"/>
      <c r="E443" s="22"/>
      <c r="F443" s="22"/>
    </row>
    <row r="444" spans="1:6" x14ac:dyDescent="0.3">
      <c r="A444" s="51"/>
      <c r="B444" s="22"/>
      <c r="C444" s="31"/>
      <c r="D444" s="31"/>
      <c r="E444" s="22"/>
      <c r="F444" s="22"/>
    </row>
    <row r="445" spans="1:6" x14ac:dyDescent="0.3">
      <c r="A445" s="51"/>
      <c r="B445" s="22"/>
      <c r="C445" s="31"/>
      <c r="D445" s="31"/>
      <c r="E445" s="22"/>
      <c r="F445" s="22"/>
    </row>
    <row r="446" spans="1:6" x14ac:dyDescent="0.3">
      <c r="A446" s="51"/>
      <c r="B446" s="22"/>
      <c r="C446" s="31"/>
      <c r="D446" s="31"/>
      <c r="E446" s="22"/>
      <c r="F446" s="22"/>
    </row>
    <row r="447" spans="1:6" x14ac:dyDescent="0.3">
      <c r="A447" s="51"/>
      <c r="B447" s="22"/>
      <c r="C447" s="31"/>
      <c r="D447" s="31"/>
      <c r="E447" s="22"/>
      <c r="F447" s="22"/>
    </row>
    <row r="448" spans="1:6" x14ac:dyDescent="0.3">
      <c r="A448" s="51"/>
      <c r="B448" s="22"/>
      <c r="C448" s="31"/>
      <c r="D448" s="31"/>
      <c r="E448" s="22"/>
      <c r="F448" s="22"/>
    </row>
    <row r="449" spans="1:6" x14ac:dyDescent="0.3">
      <c r="A449" s="51"/>
      <c r="B449" s="22"/>
      <c r="C449" s="31"/>
      <c r="D449" s="31"/>
      <c r="E449" s="22"/>
      <c r="F449" s="22"/>
    </row>
    <row r="450" spans="1:6" x14ac:dyDescent="0.3">
      <c r="A450" s="51"/>
      <c r="B450" s="22"/>
      <c r="C450" s="31"/>
      <c r="D450" s="31"/>
      <c r="E450" s="22"/>
      <c r="F450" s="22"/>
    </row>
    <row r="451" spans="1:6" x14ac:dyDescent="0.3">
      <c r="A451" s="51"/>
      <c r="B451" s="22"/>
      <c r="C451" s="31"/>
      <c r="D451" s="31"/>
      <c r="E451" s="22"/>
      <c r="F451" s="22"/>
    </row>
    <row r="452" spans="1:6" x14ac:dyDescent="0.3">
      <c r="A452" s="51"/>
      <c r="B452" s="22"/>
      <c r="C452" s="31"/>
      <c r="D452" s="31"/>
      <c r="E452" s="22"/>
      <c r="F452" s="22"/>
    </row>
    <row r="453" spans="1:6" x14ac:dyDescent="0.3">
      <c r="A453" s="51"/>
      <c r="B453" s="22"/>
      <c r="C453" s="31"/>
      <c r="D453" s="31"/>
      <c r="E453" s="22"/>
      <c r="F453" s="22"/>
    </row>
    <row r="454" spans="1:6" x14ac:dyDescent="0.3">
      <c r="A454" s="51"/>
      <c r="B454" s="22"/>
      <c r="C454" s="31"/>
      <c r="D454" s="31"/>
      <c r="E454" s="22"/>
      <c r="F454" s="22"/>
    </row>
    <row r="455" spans="1:6" x14ac:dyDescent="0.3">
      <c r="A455" s="51"/>
      <c r="B455" s="22"/>
      <c r="C455" s="31"/>
      <c r="D455" s="31"/>
      <c r="E455" s="22"/>
      <c r="F455" s="22"/>
    </row>
    <row r="456" spans="1:6" x14ac:dyDescent="0.3">
      <c r="A456" s="51"/>
      <c r="B456" s="22"/>
      <c r="C456" s="31"/>
      <c r="D456" s="31"/>
      <c r="E456" s="22"/>
      <c r="F456" s="22"/>
    </row>
    <row r="457" spans="1:6" x14ac:dyDescent="0.3">
      <c r="A457" s="51"/>
      <c r="B457" s="22"/>
      <c r="C457" s="31"/>
      <c r="D457" s="31"/>
      <c r="E457" s="22"/>
      <c r="F457" s="22"/>
    </row>
    <row r="458" spans="1:6" x14ac:dyDescent="0.3">
      <c r="A458" s="51"/>
      <c r="B458" s="22"/>
      <c r="C458" s="31"/>
      <c r="D458" s="31"/>
      <c r="E458" s="22"/>
      <c r="F458" s="22"/>
    </row>
    <row r="459" spans="1:6" x14ac:dyDescent="0.3">
      <c r="A459" s="51"/>
      <c r="B459" s="22"/>
      <c r="C459" s="31"/>
      <c r="D459" s="31"/>
      <c r="E459" s="22"/>
      <c r="F459" s="22"/>
    </row>
    <row r="460" spans="1:6" x14ac:dyDescent="0.3">
      <c r="A460" s="51"/>
      <c r="B460" s="22"/>
      <c r="C460" s="31"/>
      <c r="D460" s="31"/>
      <c r="E460" s="22"/>
      <c r="F460" s="22"/>
    </row>
    <row r="461" spans="1:6" x14ac:dyDescent="0.3">
      <c r="A461" s="51"/>
      <c r="B461" s="22"/>
      <c r="C461" s="31"/>
      <c r="D461" s="31"/>
      <c r="E461" s="22"/>
      <c r="F461" s="22"/>
    </row>
    <row r="462" spans="1:6" x14ac:dyDescent="0.3">
      <c r="A462" s="51"/>
      <c r="B462" s="22"/>
      <c r="C462" s="31"/>
      <c r="D462" s="31"/>
      <c r="E462" s="22"/>
      <c r="F462" s="22"/>
    </row>
    <row r="463" spans="1:6" x14ac:dyDescent="0.3">
      <c r="A463" s="51"/>
      <c r="B463" s="22"/>
      <c r="C463" s="31"/>
      <c r="D463" s="31"/>
      <c r="E463" s="22"/>
      <c r="F463" s="22"/>
    </row>
    <row r="464" spans="1:6" x14ac:dyDescent="0.3">
      <c r="A464" s="51"/>
      <c r="B464" s="22"/>
      <c r="C464" s="31"/>
      <c r="D464" s="31"/>
      <c r="E464" s="22"/>
      <c r="F464" s="22"/>
    </row>
    <row r="465" spans="1:6" x14ac:dyDescent="0.3">
      <c r="A465" s="51"/>
      <c r="B465" s="22"/>
      <c r="C465" s="31"/>
      <c r="D465" s="31"/>
      <c r="E465" s="22"/>
      <c r="F465" s="22"/>
    </row>
    <row r="466" spans="1:6" x14ac:dyDescent="0.3">
      <c r="A466" s="51"/>
      <c r="B466" s="22"/>
      <c r="C466" s="31"/>
      <c r="D466" s="31"/>
      <c r="E466" s="22"/>
      <c r="F466" s="22"/>
    </row>
    <row r="467" spans="1:6" x14ac:dyDescent="0.3">
      <c r="A467" s="51"/>
      <c r="B467" s="22"/>
      <c r="C467" s="31"/>
      <c r="D467" s="31"/>
      <c r="E467" s="22"/>
      <c r="F467" s="22"/>
    </row>
    <row r="468" spans="1:6" x14ac:dyDescent="0.3">
      <c r="A468" s="51"/>
      <c r="B468" s="22"/>
      <c r="C468" s="31"/>
      <c r="D468" s="31"/>
      <c r="E468" s="22"/>
      <c r="F468" s="22"/>
    </row>
    <row r="469" spans="1:6" x14ac:dyDescent="0.3">
      <c r="A469" s="51"/>
      <c r="B469" s="22"/>
      <c r="C469" s="31"/>
      <c r="D469" s="31"/>
      <c r="E469" s="22"/>
      <c r="F469" s="22"/>
    </row>
    <row r="470" spans="1:6" x14ac:dyDescent="0.3">
      <c r="A470" s="51"/>
      <c r="B470" s="22"/>
      <c r="C470" s="31"/>
      <c r="D470" s="31"/>
      <c r="E470" s="22"/>
      <c r="F470" s="22"/>
    </row>
    <row r="471" spans="1:6" x14ac:dyDescent="0.3">
      <c r="A471" s="51"/>
      <c r="B471" s="22"/>
      <c r="C471" s="31"/>
      <c r="D471" s="31"/>
      <c r="E471" s="22"/>
      <c r="F471" s="22"/>
    </row>
    <row r="472" spans="1:6" x14ac:dyDescent="0.3">
      <c r="A472" s="51"/>
      <c r="B472" s="22"/>
      <c r="C472" s="31"/>
      <c r="D472" s="31"/>
      <c r="E472" s="22"/>
      <c r="F472" s="22"/>
    </row>
    <row r="473" spans="1:6" x14ac:dyDescent="0.3">
      <c r="A473" s="51"/>
      <c r="B473" s="22"/>
      <c r="C473" s="31"/>
      <c r="D473" s="31"/>
      <c r="E473" s="22"/>
      <c r="F473" s="22"/>
    </row>
    <row r="474" spans="1:6" x14ac:dyDescent="0.3">
      <c r="A474" s="51"/>
      <c r="B474" s="22"/>
      <c r="C474" s="31"/>
      <c r="D474" s="31"/>
      <c r="E474" s="22"/>
      <c r="F474" s="22"/>
    </row>
    <row r="475" spans="1:6" x14ac:dyDescent="0.3">
      <c r="A475" s="51"/>
      <c r="B475" s="22"/>
      <c r="C475" s="31"/>
      <c r="D475" s="31"/>
      <c r="E475" s="22"/>
      <c r="F475" s="22"/>
    </row>
    <row r="476" spans="1:6" x14ac:dyDescent="0.3">
      <c r="A476" s="51"/>
      <c r="B476" s="22"/>
      <c r="C476" s="31"/>
      <c r="D476" s="31"/>
      <c r="E476" s="22"/>
      <c r="F476" s="22"/>
    </row>
    <row r="477" spans="1:6" x14ac:dyDescent="0.3">
      <c r="A477" s="51"/>
      <c r="B477" s="22"/>
      <c r="C477" s="31"/>
      <c r="D477" s="31"/>
      <c r="E477" s="22"/>
      <c r="F477" s="22"/>
    </row>
    <row r="478" spans="1:6" x14ac:dyDescent="0.3">
      <c r="A478" s="51"/>
      <c r="B478" s="22"/>
      <c r="C478" s="31"/>
      <c r="D478" s="31"/>
      <c r="E478" s="22"/>
      <c r="F478" s="22"/>
    </row>
    <row r="479" spans="1:6" x14ac:dyDescent="0.3">
      <c r="A479" s="51"/>
      <c r="B479" s="22"/>
      <c r="C479" s="31"/>
      <c r="D479" s="31"/>
      <c r="E479" s="22"/>
      <c r="F479" s="22"/>
    </row>
    <row r="480" spans="1:6" x14ac:dyDescent="0.3">
      <c r="A480" s="51"/>
      <c r="B480" s="22"/>
      <c r="C480" s="31"/>
      <c r="D480" s="31"/>
      <c r="E480" s="22"/>
      <c r="F480" s="22"/>
    </row>
    <row r="481" spans="1:6" x14ac:dyDescent="0.3">
      <c r="A481" s="51"/>
      <c r="B481" s="22"/>
      <c r="C481" s="31"/>
      <c r="D481" s="31"/>
      <c r="E481" s="22"/>
      <c r="F481" s="22"/>
    </row>
    <row r="482" spans="1:6" x14ac:dyDescent="0.3">
      <c r="A482" s="51"/>
      <c r="B482" s="22"/>
      <c r="C482" s="31"/>
      <c r="D482" s="31"/>
      <c r="E482" s="22"/>
      <c r="F482" s="22"/>
    </row>
    <row r="483" spans="1:6" x14ac:dyDescent="0.3">
      <c r="A483" s="51"/>
      <c r="B483" s="22"/>
      <c r="C483" s="31"/>
      <c r="D483" s="31"/>
      <c r="E483" s="22"/>
      <c r="F483" s="22"/>
    </row>
    <row r="484" spans="1:6" x14ac:dyDescent="0.3">
      <c r="A484" s="51"/>
      <c r="B484" s="22"/>
      <c r="C484" s="31"/>
      <c r="D484" s="31"/>
      <c r="E484" s="22"/>
      <c r="F484" s="22"/>
    </row>
    <row r="485" spans="1:6" x14ac:dyDescent="0.3">
      <c r="A485" s="51"/>
      <c r="B485" s="22"/>
      <c r="C485" s="31"/>
      <c r="D485" s="31"/>
      <c r="E485" s="22"/>
      <c r="F485" s="22"/>
    </row>
    <row r="486" spans="1:6" x14ac:dyDescent="0.3">
      <c r="A486" s="51"/>
      <c r="B486" s="22"/>
      <c r="C486" s="31"/>
      <c r="D486" s="31"/>
      <c r="E486" s="22"/>
      <c r="F486" s="22"/>
    </row>
    <row r="487" spans="1:6" x14ac:dyDescent="0.3">
      <c r="A487" s="51"/>
      <c r="B487" s="22"/>
      <c r="C487" s="31"/>
      <c r="D487" s="31"/>
      <c r="E487" s="22"/>
      <c r="F487" s="22"/>
    </row>
    <row r="488" spans="1:6" x14ac:dyDescent="0.3">
      <c r="A488" s="51"/>
      <c r="B488" s="22"/>
      <c r="C488" s="31"/>
      <c r="D488" s="31"/>
      <c r="E488" s="22"/>
      <c r="F488" s="22"/>
    </row>
    <row r="489" spans="1:6" x14ac:dyDescent="0.3">
      <c r="A489" s="51"/>
      <c r="B489" s="22"/>
      <c r="C489" s="31"/>
      <c r="D489" s="31"/>
      <c r="E489" s="22"/>
      <c r="F489" s="22"/>
    </row>
    <row r="490" spans="1:6" x14ac:dyDescent="0.3">
      <c r="A490" s="51"/>
      <c r="B490" s="22"/>
      <c r="C490" s="31"/>
      <c r="D490" s="31"/>
      <c r="E490" s="22"/>
      <c r="F490" s="22"/>
    </row>
    <row r="491" spans="1:6" x14ac:dyDescent="0.3">
      <c r="A491" s="51"/>
      <c r="B491" s="22"/>
      <c r="C491" s="31"/>
      <c r="D491" s="31"/>
      <c r="E491" s="22"/>
      <c r="F491" s="22"/>
    </row>
    <row r="492" spans="1:6" x14ac:dyDescent="0.3">
      <c r="A492" s="51"/>
      <c r="B492" s="22"/>
      <c r="C492" s="31"/>
      <c r="D492" s="31"/>
      <c r="E492" s="22"/>
      <c r="F492" s="22"/>
    </row>
    <row r="493" spans="1:6" x14ac:dyDescent="0.3">
      <c r="A493" s="51"/>
      <c r="B493" s="22"/>
      <c r="C493" s="31"/>
      <c r="D493" s="31"/>
      <c r="E493" s="22"/>
      <c r="F493" s="22"/>
    </row>
    <row r="494" spans="1:6" x14ac:dyDescent="0.3">
      <c r="A494" s="51"/>
      <c r="B494" s="22"/>
      <c r="C494" s="31"/>
      <c r="D494" s="31"/>
      <c r="E494" s="22"/>
      <c r="F494" s="22"/>
    </row>
    <row r="495" spans="1:6" x14ac:dyDescent="0.3">
      <c r="A495" s="51"/>
      <c r="B495" s="22"/>
      <c r="C495" s="31"/>
      <c r="D495" s="31"/>
      <c r="E495" s="22"/>
      <c r="F495" s="22"/>
    </row>
    <row r="496" spans="1:6" x14ac:dyDescent="0.3">
      <c r="A496" s="51"/>
      <c r="B496" s="22"/>
      <c r="C496" s="31"/>
      <c r="D496" s="31"/>
      <c r="E496" s="22"/>
      <c r="F496" s="22"/>
    </row>
    <row r="497" s="59" customFormat="1" x14ac:dyDescent="0.3"/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D4398-8DBD-4237-AC4E-957C07BDD6EF}">
  <sheetPr codeName="Sheet5"/>
  <dimension ref="A1:L497"/>
  <sheetViews>
    <sheetView workbookViewId="0">
      <selection activeCell="G18" sqref="G18"/>
    </sheetView>
  </sheetViews>
  <sheetFormatPr defaultRowHeight="14.4" x14ac:dyDescent="0.3"/>
  <cols>
    <col min="1" max="8" width="20.6640625" style="21" customWidth="1"/>
  </cols>
  <sheetData>
    <row r="1" spans="1:12" x14ac:dyDescent="0.3">
      <c r="A1" s="50" t="s">
        <v>0</v>
      </c>
      <c r="B1" s="50" t="s">
        <v>1</v>
      </c>
      <c r="C1" s="50" t="s">
        <v>254</v>
      </c>
      <c r="D1" s="50" t="s">
        <v>255</v>
      </c>
      <c r="E1" s="50" t="s">
        <v>256</v>
      </c>
      <c r="F1" s="50" t="s">
        <v>6</v>
      </c>
      <c r="G1" s="50"/>
      <c r="H1" s="50" t="s">
        <v>7</v>
      </c>
    </row>
    <row r="2" spans="1:12" x14ac:dyDescent="0.3">
      <c r="A2" s="51" t="s">
        <v>257</v>
      </c>
      <c r="B2" s="52">
        <f t="shared" ref="B2:B14" si="0">C2</f>
        <v>720000</v>
      </c>
      <c r="C2" s="52">
        <f t="shared" ref="C2:C10" si="1">E2*D2</f>
        <v>720000</v>
      </c>
      <c r="D2" s="22">
        <v>8000</v>
      </c>
      <c r="E2" s="52">
        <v>90</v>
      </c>
      <c r="F2" s="52">
        <v>10</v>
      </c>
      <c r="G2" s="60"/>
      <c r="H2" s="22"/>
    </row>
    <row r="3" spans="1:12" x14ac:dyDescent="0.3">
      <c r="A3" s="51" t="s">
        <v>258</v>
      </c>
      <c r="B3" s="52">
        <f t="shared" si="0"/>
        <v>37800</v>
      </c>
      <c r="C3" s="52">
        <f t="shared" si="1"/>
        <v>37800</v>
      </c>
      <c r="D3" s="22">
        <v>1400</v>
      </c>
      <c r="E3" s="52">
        <v>27</v>
      </c>
      <c r="F3" s="52">
        <v>10</v>
      </c>
      <c r="G3" s="22"/>
      <c r="H3" s="22"/>
    </row>
    <row r="4" spans="1:12" x14ac:dyDescent="0.3">
      <c r="A4" s="51" t="s">
        <v>259</v>
      </c>
      <c r="B4" s="52">
        <f t="shared" si="0"/>
        <v>6400</v>
      </c>
      <c r="C4" s="52">
        <f t="shared" si="1"/>
        <v>6400</v>
      </c>
      <c r="D4" s="22">
        <v>1600</v>
      </c>
      <c r="E4" s="31">
        <v>4</v>
      </c>
      <c r="F4" s="52">
        <v>10</v>
      </c>
      <c r="G4" s="22"/>
      <c r="H4" s="22"/>
    </row>
    <row r="5" spans="1:12" x14ac:dyDescent="0.3">
      <c r="A5" s="51" t="s">
        <v>260</v>
      </c>
      <c r="B5" s="52">
        <f t="shared" si="0"/>
        <v>31500</v>
      </c>
      <c r="C5" s="52">
        <f t="shared" si="1"/>
        <v>31500</v>
      </c>
      <c r="D5" s="22">
        <v>3500</v>
      </c>
      <c r="E5" s="31">
        <v>9</v>
      </c>
      <c r="F5" s="52">
        <v>10</v>
      </c>
      <c r="G5" s="22"/>
      <c r="H5" s="22"/>
    </row>
    <row r="6" spans="1:12" x14ac:dyDescent="0.3">
      <c r="A6" s="51" t="s">
        <v>261</v>
      </c>
      <c r="B6" s="52">
        <f t="shared" si="0"/>
        <v>0</v>
      </c>
      <c r="C6" s="52">
        <f t="shared" si="1"/>
        <v>0</v>
      </c>
      <c r="D6" s="22">
        <v>1500</v>
      </c>
      <c r="E6" s="31">
        <v>0</v>
      </c>
      <c r="F6" s="52">
        <v>10</v>
      </c>
      <c r="G6" s="22"/>
      <c r="H6" s="22"/>
    </row>
    <row r="7" spans="1:12" x14ac:dyDescent="0.3">
      <c r="A7" s="51" t="s">
        <v>262</v>
      </c>
      <c r="B7" s="52">
        <f t="shared" si="0"/>
        <v>38000</v>
      </c>
      <c r="C7" s="52">
        <f t="shared" si="1"/>
        <v>38000</v>
      </c>
      <c r="D7" s="22">
        <v>1900</v>
      </c>
      <c r="E7" s="52">
        <v>20</v>
      </c>
      <c r="F7" s="52">
        <v>10</v>
      </c>
      <c r="G7" s="22"/>
      <c r="H7" s="22"/>
    </row>
    <row r="8" spans="1:12" x14ac:dyDescent="0.3">
      <c r="A8" s="51" t="s">
        <v>263</v>
      </c>
      <c r="B8" s="52">
        <f t="shared" si="0"/>
        <v>40000</v>
      </c>
      <c r="C8" s="52">
        <f t="shared" si="1"/>
        <v>40000</v>
      </c>
      <c r="D8" s="22">
        <v>20000</v>
      </c>
      <c r="E8" s="52">
        <v>2</v>
      </c>
      <c r="F8" s="52">
        <v>10</v>
      </c>
      <c r="G8" s="22"/>
      <c r="H8" s="22"/>
    </row>
    <row r="9" spans="1:12" x14ac:dyDescent="0.3">
      <c r="A9" s="51" t="s">
        <v>264</v>
      </c>
      <c r="B9" s="52">
        <f t="shared" si="0"/>
        <v>0</v>
      </c>
      <c r="C9" s="52">
        <f t="shared" si="1"/>
        <v>0</v>
      </c>
      <c r="D9" s="22">
        <v>1300</v>
      </c>
      <c r="E9" s="52">
        <v>0</v>
      </c>
      <c r="F9" s="52">
        <v>10</v>
      </c>
      <c r="G9" s="22"/>
      <c r="H9" s="22"/>
    </row>
    <row r="10" spans="1:12" x14ac:dyDescent="0.3">
      <c r="A10" s="51" t="s">
        <v>265</v>
      </c>
      <c r="B10" s="52">
        <f t="shared" si="0"/>
        <v>56000</v>
      </c>
      <c r="C10" s="52">
        <f t="shared" si="1"/>
        <v>56000</v>
      </c>
      <c r="D10" s="22">
        <v>2000</v>
      </c>
      <c r="E10" s="52">
        <v>28</v>
      </c>
      <c r="F10" s="52">
        <v>10</v>
      </c>
      <c r="G10" s="22"/>
      <c r="H10" s="22"/>
      <c r="L10" s="81"/>
    </row>
    <row r="11" spans="1:12" x14ac:dyDescent="0.3">
      <c r="A11" s="51" t="s">
        <v>266</v>
      </c>
      <c r="B11" s="52">
        <f t="shared" si="0"/>
        <v>324000</v>
      </c>
      <c r="C11" s="52">
        <f>E11*D11</f>
        <v>324000</v>
      </c>
      <c r="D11" s="22">
        <v>6000</v>
      </c>
      <c r="E11" s="52">
        <v>54</v>
      </c>
      <c r="F11" s="52">
        <v>10</v>
      </c>
      <c r="G11" s="22"/>
      <c r="H11" s="22"/>
      <c r="L11" s="81"/>
    </row>
    <row r="12" spans="1:12" x14ac:dyDescent="0.3">
      <c r="A12" s="51" t="s">
        <v>267</v>
      </c>
      <c r="B12" s="52">
        <f t="shared" si="0"/>
        <v>72000</v>
      </c>
      <c r="C12" s="52">
        <f>E12*D12</f>
        <v>72000</v>
      </c>
      <c r="D12" s="22">
        <v>9000</v>
      </c>
      <c r="E12" s="52">
        <v>8</v>
      </c>
      <c r="F12" s="52">
        <v>10</v>
      </c>
      <c r="G12" s="22"/>
      <c r="H12" s="22"/>
    </row>
    <row r="13" spans="1:12" x14ac:dyDescent="0.3">
      <c r="A13" s="51" t="s">
        <v>268</v>
      </c>
      <c r="B13" s="52">
        <f t="shared" si="0"/>
        <v>182000</v>
      </c>
      <c r="C13" s="52">
        <f>E13*D13</f>
        <v>182000</v>
      </c>
      <c r="D13" s="22">
        <v>14000</v>
      </c>
      <c r="E13" s="31">
        <v>13</v>
      </c>
      <c r="F13" s="52">
        <v>10</v>
      </c>
      <c r="G13" s="22"/>
      <c r="H13" s="22"/>
    </row>
    <row r="14" spans="1:12" x14ac:dyDescent="0.3">
      <c r="A14" s="51" t="s">
        <v>269</v>
      </c>
      <c r="B14" s="52">
        <f t="shared" si="0"/>
        <v>4000</v>
      </c>
      <c r="C14" s="52">
        <f>E14*D14</f>
        <v>4000</v>
      </c>
      <c r="D14" s="22">
        <v>500</v>
      </c>
      <c r="E14" s="31">
        <v>8</v>
      </c>
      <c r="F14" s="31">
        <v>10</v>
      </c>
      <c r="G14" s="22"/>
      <c r="H14" s="22"/>
    </row>
    <row r="15" spans="1:12" x14ac:dyDescent="0.3">
      <c r="A15" s="51"/>
      <c r="B15" s="31"/>
      <c r="C15" s="31"/>
      <c r="D15" s="31"/>
      <c r="E15" s="31"/>
      <c r="F15" s="31"/>
      <c r="G15" s="22"/>
      <c r="H15" s="22"/>
    </row>
    <row r="16" spans="1:12" x14ac:dyDescent="0.3">
      <c r="A16" s="51"/>
      <c r="B16" s="31"/>
      <c r="C16" s="31"/>
      <c r="D16" s="22"/>
      <c r="E16" s="31"/>
      <c r="F16" s="31"/>
      <c r="G16" s="22"/>
      <c r="H16" s="22"/>
    </row>
    <row r="17" spans="1:8" x14ac:dyDescent="0.3">
      <c r="A17" s="51"/>
      <c r="B17" s="31"/>
      <c r="C17" s="31"/>
      <c r="D17" s="22"/>
      <c r="E17" s="31"/>
      <c r="F17" s="31"/>
      <c r="G17" s="22"/>
      <c r="H17" s="22"/>
    </row>
    <row r="18" spans="1:8" x14ac:dyDescent="0.3">
      <c r="A18" s="51"/>
      <c r="B18" s="31"/>
      <c r="C18" s="31"/>
      <c r="D18" s="22"/>
      <c r="E18" s="31"/>
      <c r="F18" s="31"/>
      <c r="G18" s="22"/>
      <c r="H18" s="22"/>
    </row>
    <row r="19" spans="1:8" x14ac:dyDescent="0.3">
      <c r="A19" s="51"/>
      <c r="B19" s="31"/>
      <c r="C19" s="31"/>
      <c r="D19" s="22"/>
      <c r="E19" s="31"/>
      <c r="F19" s="31"/>
      <c r="G19" s="22"/>
      <c r="H19" s="22"/>
    </row>
    <row r="20" spans="1:8" x14ac:dyDescent="0.3">
      <c r="A20" s="51"/>
      <c r="B20" s="31"/>
      <c r="C20" s="31"/>
      <c r="D20" s="22"/>
      <c r="E20" s="31"/>
      <c r="F20" s="31"/>
      <c r="G20" s="22"/>
      <c r="H20" s="22"/>
    </row>
    <row r="21" spans="1:8" x14ac:dyDescent="0.3">
      <c r="A21" s="51"/>
      <c r="B21" s="31"/>
      <c r="C21" s="31"/>
      <c r="D21" s="22"/>
      <c r="E21" s="31"/>
      <c r="F21" s="31"/>
      <c r="G21" s="22"/>
      <c r="H21" s="22"/>
    </row>
    <row r="22" spans="1:8" x14ac:dyDescent="0.3">
      <c r="A22" s="51"/>
      <c r="B22" s="31"/>
      <c r="C22" s="31"/>
      <c r="D22" s="22"/>
      <c r="E22" s="31"/>
      <c r="F22" s="31"/>
      <c r="G22" s="22"/>
      <c r="H22" s="22"/>
    </row>
    <row r="23" spans="1:8" x14ac:dyDescent="0.3">
      <c r="A23" s="51"/>
      <c r="B23" s="31"/>
      <c r="C23" s="31"/>
      <c r="D23" s="22"/>
      <c r="E23" s="31"/>
      <c r="F23" s="31"/>
      <c r="G23" s="22"/>
      <c r="H23" s="22"/>
    </row>
    <row r="24" spans="1:8" x14ac:dyDescent="0.3">
      <c r="A24" s="51"/>
      <c r="B24" s="31"/>
      <c r="C24" s="31"/>
      <c r="D24" s="22"/>
      <c r="E24" s="31"/>
      <c r="F24" s="31"/>
      <c r="G24" s="22"/>
      <c r="H24" s="22"/>
    </row>
    <row r="25" spans="1:8" x14ac:dyDescent="0.3">
      <c r="A25" s="51"/>
      <c r="B25" s="31"/>
      <c r="C25" s="31"/>
      <c r="D25" s="22"/>
      <c r="E25" s="31"/>
      <c r="F25" s="31"/>
      <c r="G25" s="22"/>
      <c r="H25" s="22"/>
    </row>
    <row r="26" spans="1:8" x14ac:dyDescent="0.3">
      <c r="A26" s="51"/>
      <c r="B26" s="31"/>
      <c r="C26" s="31"/>
      <c r="D26" s="22"/>
      <c r="E26" s="31"/>
      <c r="F26" s="31"/>
      <c r="G26" s="22"/>
      <c r="H26" s="22"/>
    </row>
    <row r="27" spans="1:8" x14ac:dyDescent="0.3">
      <c r="A27" s="51"/>
      <c r="B27" s="31"/>
      <c r="C27" s="31"/>
      <c r="D27" s="22"/>
      <c r="E27" s="31"/>
      <c r="F27" s="31"/>
      <c r="G27" s="22"/>
      <c r="H27" s="22"/>
    </row>
    <row r="28" spans="1:8" x14ac:dyDescent="0.3">
      <c r="A28" s="51"/>
      <c r="B28" s="31"/>
      <c r="C28" s="31"/>
      <c r="D28" s="22"/>
      <c r="E28" s="31"/>
      <c r="F28" s="31"/>
      <c r="G28" s="22"/>
      <c r="H28" s="22"/>
    </row>
    <row r="29" spans="1:8" x14ac:dyDescent="0.3">
      <c r="A29" s="51"/>
      <c r="B29" s="31"/>
      <c r="C29" s="31"/>
      <c r="D29" s="22"/>
      <c r="E29" s="31"/>
      <c r="F29" s="31"/>
      <c r="G29" s="22"/>
      <c r="H29" s="22"/>
    </row>
    <row r="30" spans="1:8" x14ac:dyDescent="0.3">
      <c r="A30" s="51"/>
      <c r="B30" s="31"/>
      <c r="C30" s="31"/>
      <c r="D30" s="22"/>
      <c r="E30" s="31"/>
      <c r="F30" s="31"/>
      <c r="G30" s="22"/>
      <c r="H30" s="22"/>
    </row>
    <row r="31" spans="1:8" x14ac:dyDescent="0.3">
      <c r="A31" s="51"/>
      <c r="B31" s="31"/>
      <c r="C31" s="31"/>
      <c r="D31" s="22"/>
      <c r="E31" s="31"/>
      <c r="F31" s="31"/>
      <c r="G31" s="22"/>
      <c r="H31" s="22"/>
    </row>
    <row r="32" spans="1:8" x14ac:dyDescent="0.3">
      <c r="A32" s="51"/>
      <c r="B32" s="31"/>
      <c r="C32" s="31"/>
      <c r="D32" s="22"/>
      <c r="E32" s="31"/>
      <c r="F32" s="31"/>
      <c r="G32" s="22"/>
      <c r="H32" s="22"/>
    </row>
    <row r="33" spans="1:8" x14ac:dyDescent="0.3">
      <c r="A33" s="51"/>
      <c r="B33" s="31"/>
      <c r="C33" s="31"/>
      <c r="D33" s="22"/>
      <c r="E33" s="31"/>
      <c r="F33" s="31"/>
      <c r="G33" s="22"/>
      <c r="H33" s="22"/>
    </row>
    <row r="34" spans="1:8" x14ac:dyDescent="0.3">
      <c r="A34" s="51"/>
      <c r="B34" s="31"/>
      <c r="C34" s="31"/>
      <c r="D34" s="22"/>
      <c r="E34" s="31"/>
      <c r="F34" s="31"/>
      <c r="G34" s="22"/>
      <c r="H34" s="22"/>
    </row>
    <row r="35" spans="1:8" x14ac:dyDescent="0.3">
      <c r="A35" s="51"/>
      <c r="B35" s="31"/>
      <c r="C35" s="31"/>
      <c r="D35" s="22"/>
      <c r="E35" s="31"/>
      <c r="F35" s="31"/>
      <c r="G35" s="22"/>
      <c r="H35" s="22"/>
    </row>
    <row r="36" spans="1:8" x14ac:dyDescent="0.3">
      <c r="A36" s="51"/>
      <c r="B36" s="31"/>
      <c r="C36" s="31"/>
      <c r="D36" s="22"/>
      <c r="E36" s="31"/>
      <c r="F36" s="31"/>
      <c r="G36" s="22"/>
      <c r="H36" s="22"/>
    </row>
    <row r="37" spans="1:8" x14ac:dyDescent="0.3">
      <c r="A37" s="51"/>
      <c r="B37" s="31"/>
      <c r="C37" s="31"/>
      <c r="D37" s="22"/>
      <c r="E37" s="31"/>
      <c r="F37" s="31"/>
      <c r="G37" s="22"/>
      <c r="H37" s="22"/>
    </row>
    <row r="38" spans="1:8" x14ac:dyDescent="0.3">
      <c r="A38" s="51"/>
      <c r="B38" s="31"/>
      <c r="C38" s="31"/>
      <c r="D38" s="22"/>
      <c r="E38" s="31"/>
      <c r="F38" s="31"/>
      <c r="G38" s="22"/>
      <c r="H38" s="22"/>
    </row>
    <row r="39" spans="1:8" x14ac:dyDescent="0.3">
      <c r="A39" s="51"/>
      <c r="B39" s="31"/>
      <c r="C39" s="31"/>
      <c r="D39" s="22"/>
      <c r="E39" s="31"/>
      <c r="F39" s="31"/>
      <c r="G39" s="22"/>
      <c r="H39" s="22"/>
    </row>
    <row r="40" spans="1:8" x14ac:dyDescent="0.3">
      <c r="A40" s="51"/>
      <c r="B40" s="31"/>
      <c r="C40" s="31"/>
      <c r="D40" s="22"/>
      <c r="E40" s="31"/>
      <c r="F40" s="31"/>
      <c r="G40" s="22"/>
      <c r="H40" s="22"/>
    </row>
    <row r="41" spans="1:8" x14ac:dyDescent="0.3">
      <c r="A41" s="51"/>
      <c r="B41" s="22"/>
      <c r="C41" s="31"/>
      <c r="D41" s="22"/>
      <c r="E41" s="31"/>
      <c r="F41" s="31"/>
      <c r="G41" s="22"/>
      <c r="H41" s="22"/>
    </row>
    <row r="42" spans="1:8" x14ac:dyDescent="0.3">
      <c r="A42" s="51"/>
      <c r="B42" s="22"/>
      <c r="C42" s="31"/>
      <c r="D42" s="22"/>
      <c r="E42" s="31"/>
      <c r="F42" s="31"/>
      <c r="G42" s="22"/>
      <c r="H42" s="22"/>
    </row>
    <row r="43" spans="1:8" x14ac:dyDescent="0.3">
      <c r="A43" s="51"/>
      <c r="B43" s="22"/>
      <c r="C43" s="31"/>
      <c r="D43" s="22"/>
      <c r="E43" s="31"/>
      <c r="F43" s="31"/>
      <c r="G43" s="22"/>
      <c r="H43" s="22"/>
    </row>
    <row r="44" spans="1:8" x14ac:dyDescent="0.3">
      <c r="A44" s="51"/>
      <c r="B44" s="22"/>
      <c r="C44" s="31"/>
      <c r="D44" s="22"/>
      <c r="E44" s="31"/>
      <c r="F44" s="31"/>
      <c r="G44" s="22"/>
      <c r="H44" s="22"/>
    </row>
    <row r="45" spans="1:8" x14ac:dyDescent="0.3">
      <c r="A45" s="51"/>
      <c r="B45" s="22"/>
      <c r="C45" s="31"/>
      <c r="D45" s="22"/>
      <c r="E45" s="31"/>
      <c r="F45" s="31"/>
      <c r="G45" s="22"/>
      <c r="H45" s="22"/>
    </row>
    <row r="46" spans="1:8" x14ac:dyDescent="0.3">
      <c r="A46" s="51"/>
      <c r="B46" s="22"/>
      <c r="C46" s="31"/>
      <c r="D46" s="22"/>
      <c r="E46" s="31"/>
      <c r="F46" s="31"/>
      <c r="G46" s="22"/>
      <c r="H46" s="22"/>
    </row>
    <row r="47" spans="1:8" x14ac:dyDescent="0.3">
      <c r="A47" s="51"/>
      <c r="B47" s="22"/>
      <c r="C47" s="31"/>
      <c r="D47" s="22"/>
      <c r="E47" s="31"/>
      <c r="F47" s="31"/>
      <c r="G47" s="22"/>
      <c r="H47" s="22"/>
    </row>
    <row r="48" spans="1:8" x14ac:dyDescent="0.3">
      <c r="A48" s="51"/>
      <c r="B48" s="22"/>
      <c r="C48" s="31"/>
      <c r="D48" s="22"/>
      <c r="E48" s="31"/>
      <c r="F48" s="31"/>
      <c r="G48" s="22"/>
      <c r="H48" s="22"/>
    </row>
    <row r="49" spans="1:8" x14ac:dyDescent="0.3">
      <c r="A49" s="51"/>
      <c r="B49" s="22"/>
      <c r="C49" s="31"/>
      <c r="D49" s="22"/>
      <c r="E49" s="31"/>
      <c r="F49" s="31"/>
      <c r="G49" s="22"/>
      <c r="H49" s="22"/>
    </row>
    <row r="50" spans="1:8" x14ac:dyDescent="0.3">
      <c r="A50" s="51"/>
      <c r="B50" s="22"/>
      <c r="C50" s="31"/>
      <c r="D50" s="22"/>
      <c r="E50" s="31"/>
      <c r="F50" s="31"/>
      <c r="G50" s="22"/>
      <c r="H50" s="22"/>
    </row>
    <row r="51" spans="1:8" x14ac:dyDescent="0.3">
      <c r="A51" s="51"/>
      <c r="B51" s="22"/>
      <c r="C51" s="31"/>
      <c r="D51" s="22"/>
      <c r="E51" s="31"/>
      <c r="F51" s="31"/>
      <c r="G51" s="22"/>
      <c r="H51" s="22"/>
    </row>
    <row r="52" spans="1:8" x14ac:dyDescent="0.3">
      <c r="A52" s="51"/>
      <c r="B52" s="22"/>
      <c r="C52" s="31"/>
      <c r="D52" s="22"/>
      <c r="E52" s="31"/>
      <c r="F52" s="31"/>
      <c r="G52" s="22"/>
      <c r="H52" s="22"/>
    </row>
    <row r="53" spans="1:8" x14ac:dyDescent="0.3">
      <c r="A53" s="51"/>
      <c r="B53" s="22"/>
      <c r="C53" s="31"/>
      <c r="D53" s="22"/>
      <c r="E53" s="31"/>
      <c r="F53" s="31"/>
      <c r="G53" s="22"/>
      <c r="H53" s="22"/>
    </row>
    <row r="54" spans="1:8" x14ac:dyDescent="0.3">
      <c r="A54" s="51"/>
      <c r="B54" s="22"/>
      <c r="C54" s="31"/>
      <c r="D54" s="22"/>
      <c r="E54" s="31"/>
      <c r="F54" s="31"/>
      <c r="G54" s="22"/>
      <c r="H54" s="22"/>
    </row>
    <row r="55" spans="1:8" x14ac:dyDescent="0.3">
      <c r="A55" s="51"/>
      <c r="B55" s="22"/>
      <c r="C55" s="31"/>
      <c r="D55" s="22"/>
      <c r="E55" s="31"/>
      <c r="F55" s="31"/>
      <c r="G55" s="22"/>
      <c r="H55" s="22"/>
    </row>
    <row r="56" spans="1:8" x14ac:dyDescent="0.3">
      <c r="A56" s="51"/>
      <c r="B56" s="22"/>
      <c r="C56" s="31"/>
      <c r="D56" s="22"/>
      <c r="E56" s="31"/>
      <c r="F56" s="31"/>
      <c r="G56" s="22"/>
      <c r="H56" s="22"/>
    </row>
    <row r="57" spans="1:8" x14ac:dyDescent="0.3">
      <c r="A57" s="51"/>
      <c r="B57" s="22"/>
      <c r="C57" s="31"/>
      <c r="D57" s="22"/>
      <c r="E57" s="31"/>
      <c r="F57" s="31"/>
      <c r="G57" s="22"/>
      <c r="H57" s="22"/>
    </row>
    <row r="58" spans="1:8" x14ac:dyDescent="0.3">
      <c r="A58" s="51"/>
      <c r="B58" s="22"/>
      <c r="C58" s="31"/>
      <c r="D58" s="22"/>
      <c r="E58" s="31"/>
      <c r="F58" s="31"/>
      <c r="G58" s="22"/>
      <c r="H58" s="22"/>
    </row>
    <row r="59" spans="1:8" x14ac:dyDescent="0.3">
      <c r="A59" s="51"/>
      <c r="B59" s="22"/>
      <c r="C59" s="31"/>
      <c r="D59" s="22"/>
      <c r="E59" s="31"/>
      <c r="F59" s="31"/>
      <c r="G59" s="22"/>
      <c r="H59" s="22"/>
    </row>
    <row r="60" spans="1:8" x14ac:dyDescent="0.3">
      <c r="A60" s="51"/>
      <c r="B60" s="22"/>
      <c r="C60" s="31"/>
      <c r="D60" s="22"/>
      <c r="E60" s="31"/>
      <c r="F60" s="31"/>
      <c r="G60" s="22"/>
      <c r="H60" s="22"/>
    </row>
    <row r="61" spans="1:8" x14ac:dyDescent="0.3">
      <c r="A61" s="51"/>
      <c r="B61" s="22"/>
      <c r="C61" s="31"/>
      <c r="D61" s="22"/>
      <c r="E61" s="31"/>
      <c r="F61" s="31"/>
      <c r="G61" s="22"/>
      <c r="H61" s="22"/>
    </row>
    <row r="62" spans="1:8" x14ac:dyDescent="0.3">
      <c r="A62" s="51"/>
      <c r="B62" s="22"/>
      <c r="C62" s="31"/>
      <c r="D62" s="22"/>
      <c r="E62" s="31"/>
      <c r="F62" s="31"/>
      <c r="G62" s="22"/>
      <c r="H62" s="22"/>
    </row>
    <row r="63" spans="1:8" x14ac:dyDescent="0.3">
      <c r="A63" s="51"/>
      <c r="B63" s="22"/>
      <c r="C63" s="31"/>
      <c r="D63" s="22"/>
      <c r="E63" s="31"/>
      <c r="F63" s="31"/>
      <c r="G63" s="22"/>
      <c r="H63" s="22"/>
    </row>
    <row r="64" spans="1:8" x14ac:dyDescent="0.3">
      <c r="A64" s="51"/>
      <c r="B64" s="22"/>
      <c r="C64" s="31"/>
      <c r="D64" s="22"/>
      <c r="E64" s="31"/>
      <c r="F64" s="31"/>
      <c r="G64" s="22"/>
      <c r="H64" s="22"/>
    </row>
    <row r="65" spans="1:8" x14ac:dyDescent="0.3">
      <c r="A65" s="51"/>
      <c r="B65" s="22"/>
      <c r="C65" s="31"/>
      <c r="D65" s="22"/>
      <c r="E65" s="31"/>
      <c r="F65" s="31"/>
      <c r="G65" s="22"/>
      <c r="H65" s="22"/>
    </row>
    <row r="66" spans="1:8" x14ac:dyDescent="0.3">
      <c r="A66" s="51"/>
      <c r="B66" s="22"/>
      <c r="C66" s="31"/>
      <c r="D66" s="22"/>
      <c r="E66" s="31"/>
      <c r="F66" s="31"/>
      <c r="G66" s="22"/>
      <c r="H66" s="22"/>
    </row>
    <row r="67" spans="1:8" x14ac:dyDescent="0.3">
      <c r="A67" s="51"/>
      <c r="B67" s="22"/>
      <c r="C67" s="31"/>
      <c r="D67" s="22"/>
      <c r="E67" s="31"/>
      <c r="F67" s="31"/>
      <c r="G67" s="22"/>
      <c r="H67" s="22"/>
    </row>
    <row r="68" spans="1:8" x14ac:dyDescent="0.3">
      <c r="A68" s="51"/>
      <c r="B68" s="22"/>
      <c r="C68" s="31"/>
      <c r="D68" s="22"/>
      <c r="E68" s="31"/>
      <c r="F68" s="31"/>
      <c r="G68" s="22"/>
      <c r="H68" s="22"/>
    </row>
    <row r="69" spans="1:8" x14ac:dyDescent="0.3">
      <c r="A69" s="51"/>
      <c r="B69" s="22"/>
      <c r="C69" s="31"/>
      <c r="D69" s="22"/>
      <c r="E69" s="31"/>
      <c r="F69" s="31"/>
      <c r="G69" s="22"/>
      <c r="H69" s="22"/>
    </row>
    <row r="70" spans="1:8" x14ac:dyDescent="0.3">
      <c r="A70" s="51"/>
      <c r="B70" s="22"/>
      <c r="C70" s="31"/>
      <c r="D70" s="22"/>
      <c r="E70" s="31"/>
      <c r="F70" s="31"/>
      <c r="G70" s="22"/>
      <c r="H70" s="22"/>
    </row>
    <row r="71" spans="1:8" x14ac:dyDescent="0.3">
      <c r="A71" s="51"/>
      <c r="B71" s="22"/>
      <c r="C71" s="31"/>
      <c r="D71" s="22"/>
      <c r="E71" s="31"/>
      <c r="F71" s="31"/>
      <c r="G71" s="22"/>
      <c r="H71" s="22"/>
    </row>
    <row r="72" spans="1:8" x14ac:dyDescent="0.3">
      <c r="A72" s="51"/>
      <c r="B72" s="22"/>
      <c r="C72" s="31"/>
      <c r="D72" s="22"/>
      <c r="E72" s="31"/>
      <c r="F72" s="31"/>
      <c r="G72" s="22"/>
      <c r="H72" s="22"/>
    </row>
    <row r="73" spans="1:8" x14ac:dyDescent="0.3">
      <c r="A73" s="51"/>
      <c r="B73" s="22"/>
      <c r="C73" s="31"/>
      <c r="D73" s="22"/>
      <c r="E73" s="31"/>
      <c r="F73" s="31"/>
      <c r="G73" s="22"/>
      <c r="H73" s="22"/>
    </row>
    <row r="74" spans="1:8" x14ac:dyDescent="0.3">
      <c r="A74" s="51"/>
      <c r="B74" s="22"/>
      <c r="C74" s="31"/>
      <c r="D74" s="22"/>
      <c r="E74" s="31"/>
      <c r="F74" s="31"/>
      <c r="G74" s="22"/>
      <c r="H74" s="22"/>
    </row>
    <row r="75" spans="1:8" x14ac:dyDescent="0.3">
      <c r="A75" s="51"/>
      <c r="B75" s="22"/>
      <c r="C75" s="31"/>
      <c r="D75" s="22"/>
      <c r="E75" s="31"/>
      <c r="F75" s="31"/>
      <c r="G75" s="22"/>
      <c r="H75" s="22"/>
    </row>
    <row r="76" spans="1:8" x14ac:dyDescent="0.3">
      <c r="A76" s="51"/>
      <c r="B76" s="22"/>
      <c r="C76" s="31"/>
      <c r="D76" s="22"/>
      <c r="E76" s="31"/>
      <c r="F76" s="31"/>
      <c r="G76" s="22"/>
      <c r="H76" s="22"/>
    </row>
    <row r="77" spans="1:8" x14ac:dyDescent="0.3">
      <c r="A77" s="51"/>
      <c r="B77" s="22"/>
      <c r="C77" s="31"/>
      <c r="D77" s="22"/>
      <c r="E77" s="31"/>
      <c r="F77" s="31"/>
      <c r="G77" s="22"/>
      <c r="H77" s="22"/>
    </row>
    <row r="78" spans="1:8" x14ac:dyDescent="0.3">
      <c r="A78" s="51"/>
      <c r="B78" s="22"/>
      <c r="C78" s="31"/>
      <c r="D78" s="22"/>
      <c r="E78" s="31"/>
      <c r="F78" s="31"/>
      <c r="G78" s="22"/>
      <c r="H78" s="22"/>
    </row>
    <row r="79" spans="1:8" x14ac:dyDescent="0.3">
      <c r="A79" s="51"/>
      <c r="B79" s="22"/>
      <c r="C79" s="31"/>
      <c r="D79" s="22"/>
      <c r="E79" s="31"/>
      <c r="F79" s="31"/>
      <c r="G79" s="22"/>
      <c r="H79" s="22"/>
    </row>
    <row r="80" spans="1:8" x14ac:dyDescent="0.3">
      <c r="A80" s="51"/>
      <c r="B80" s="22"/>
      <c r="C80" s="31"/>
      <c r="D80" s="22"/>
      <c r="E80" s="31"/>
      <c r="F80" s="31"/>
      <c r="G80" s="22"/>
      <c r="H80" s="22"/>
    </row>
    <row r="81" spans="1:8" x14ac:dyDescent="0.3">
      <c r="A81" s="51"/>
      <c r="B81" s="22"/>
      <c r="C81" s="31"/>
      <c r="D81" s="22"/>
      <c r="E81" s="31"/>
      <c r="F81" s="31"/>
      <c r="G81" s="22"/>
      <c r="H81" s="22"/>
    </row>
    <row r="82" spans="1:8" x14ac:dyDescent="0.3">
      <c r="A82" s="51"/>
      <c r="B82" s="22"/>
      <c r="C82" s="31"/>
      <c r="D82" s="22"/>
      <c r="E82" s="31"/>
      <c r="F82" s="31"/>
      <c r="G82" s="22"/>
      <c r="H82" s="22"/>
    </row>
    <row r="83" spans="1:8" x14ac:dyDescent="0.3">
      <c r="A83" s="51"/>
      <c r="B83" s="22"/>
      <c r="C83" s="31"/>
      <c r="D83" s="22"/>
      <c r="E83" s="31"/>
      <c r="F83" s="31"/>
      <c r="G83" s="22"/>
      <c r="H83" s="22"/>
    </row>
    <row r="84" spans="1:8" x14ac:dyDescent="0.3">
      <c r="A84" s="51"/>
      <c r="B84" s="22"/>
      <c r="C84" s="31"/>
      <c r="D84" s="22"/>
      <c r="E84" s="31"/>
      <c r="F84" s="31"/>
      <c r="G84" s="22"/>
      <c r="H84" s="22"/>
    </row>
    <row r="85" spans="1:8" x14ac:dyDescent="0.3">
      <c r="A85" s="51"/>
      <c r="B85" s="22"/>
      <c r="C85" s="31"/>
      <c r="D85" s="22"/>
      <c r="E85" s="31"/>
      <c r="F85" s="31"/>
      <c r="G85" s="22"/>
      <c r="H85" s="22"/>
    </row>
    <row r="86" spans="1:8" x14ac:dyDescent="0.3">
      <c r="A86" s="51"/>
      <c r="B86" s="22"/>
      <c r="C86" s="31"/>
      <c r="D86" s="22"/>
      <c r="E86" s="31"/>
      <c r="F86" s="31"/>
      <c r="G86" s="22"/>
      <c r="H86" s="22"/>
    </row>
    <row r="87" spans="1:8" x14ac:dyDescent="0.3">
      <c r="A87" s="51"/>
      <c r="B87" s="22"/>
      <c r="C87" s="31"/>
      <c r="D87" s="22"/>
      <c r="E87" s="31"/>
      <c r="F87" s="31"/>
      <c r="G87" s="22"/>
      <c r="H87" s="22"/>
    </row>
    <row r="88" spans="1:8" x14ac:dyDescent="0.3">
      <c r="A88" s="51"/>
      <c r="B88" s="22"/>
      <c r="C88" s="31"/>
      <c r="D88" s="22"/>
      <c r="E88" s="31"/>
      <c r="F88" s="31"/>
      <c r="G88" s="22"/>
      <c r="H88" s="22"/>
    </row>
    <row r="89" spans="1:8" x14ac:dyDescent="0.3">
      <c r="A89" s="51"/>
      <c r="B89" s="22"/>
      <c r="C89" s="31"/>
      <c r="D89" s="22"/>
      <c r="E89" s="31"/>
      <c r="F89" s="31"/>
      <c r="G89" s="22"/>
      <c r="H89" s="22"/>
    </row>
    <row r="90" spans="1:8" x14ac:dyDescent="0.3">
      <c r="A90" s="51"/>
      <c r="B90" s="22"/>
      <c r="C90" s="31"/>
      <c r="D90" s="22"/>
      <c r="E90" s="31"/>
      <c r="F90" s="31"/>
      <c r="G90" s="22"/>
      <c r="H90" s="22"/>
    </row>
    <row r="91" spans="1:8" x14ac:dyDescent="0.3">
      <c r="A91" s="51"/>
      <c r="B91" s="22"/>
      <c r="C91" s="31"/>
      <c r="D91" s="22"/>
      <c r="E91" s="31"/>
      <c r="F91" s="31"/>
      <c r="G91" s="22"/>
      <c r="H91" s="22"/>
    </row>
    <row r="92" spans="1:8" x14ac:dyDescent="0.3">
      <c r="A92" s="51"/>
      <c r="B92" s="22"/>
      <c r="C92" s="31"/>
      <c r="D92" s="22"/>
      <c r="E92" s="31"/>
      <c r="F92" s="31"/>
      <c r="G92" s="22"/>
      <c r="H92" s="22"/>
    </row>
    <row r="93" spans="1:8" x14ac:dyDescent="0.3">
      <c r="A93" s="51"/>
      <c r="B93" s="22"/>
      <c r="C93" s="31"/>
      <c r="D93" s="22"/>
      <c r="E93" s="31"/>
      <c r="F93" s="31"/>
      <c r="G93" s="22"/>
      <c r="H93" s="22"/>
    </row>
    <row r="94" spans="1:8" x14ac:dyDescent="0.3">
      <c r="A94" s="51"/>
      <c r="B94" s="22"/>
      <c r="C94" s="31"/>
      <c r="D94" s="22"/>
      <c r="E94" s="31"/>
      <c r="F94" s="31"/>
      <c r="G94" s="22"/>
      <c r="H94" s="22"/>
    </row>
    <row r="95" spans="1:8" x14ac:dyDescent="0.3">
      <c r="A95" s="51"/>
      <c r="B95" s="22"/>
      <c r="C95" s="31"/>
      <c r="D95" s="22"/>
      <c r="E95" s="31"/>
      <c r="F95" s="31"/>
      <c r="G95" s="22"/>
      <c r="H95" s="22"/>
    </row>
    <row r="96" spans="1:8" x14ac:dyDescent="0.3">
      <c r="A96" s="51"/>
      <c r="B96" s="22"/>
      <c r="C96" s="31"/>
      <c r="D96" s="22"/>
      <c r="E96" s="31"/>
      <c r="F96" s="31"/>
      <c r="G96" s="22"/>
      <c r="H96" s="22"/>
    </row>
    <row r="97" spans="1:8" x14ac:dyDescent="0.3">
      <c r="A97" s="51"/>
      <c r="B97" s="22"/>
      <c r="C97" s="31"/>
      <c r="D97" s="22"/>
      <c r="E97" s="31"/>
      <c r="F97" s="31"/>
      <c r="G97" s="22"/>
      <c r="H97" s="22"/>
    </row>
    <row r="98" spans="1:8" x14ac:dyDescent="0.3">
      <c r="A98" s="51"/>
      <c r="B98" s="22"/>
      <c r="C98" s="31"/>
      <c r="D98" s="22"/>
      <c r="E98" s="31"/>
      <c r="F98" s="31"/>
      <c r="G98" s="22"/>
      <c r="H98" s="22"/>
    </row>
    <row r="99" spans="1:8" x14ac:dyDescent="0.3">
      <c r="A99" s="51"/>
      <c r="B99" s="22"/>
      <c r="C99" s="31"/>
      <c r="D99" s="22"/>
      <c r="E99" s="31"/>
      <c r="F99" s="31"/>
      <c r="G99" s="22"/>
      <c r="H99" s="22"/>
    </row>
    <row r="100" spans="1:8" x14ac:dyDescent="0.3">
      <c r="A100" s="51"/>
      <c r="B100" s="22"/>
      <c r="C100" s="31"/>
      <c r="D100" s="22"/>
      <c r="E100" s="31"/>
      <c r="F100" s="31"/>
      <c r="G100" s="22"/>
      <c r="H100" s="22"/>
    </row>
    <row r="101" spans="1:8" x14ac:dyDescent="0.3">
      <c r="A101" s="51"/>
      <c r="B101" s="22"/>
      <c r="C101" s="31"/>
      <c r="D101" s="22"/>
      <c r="E101" s="31"/>
      <c r="F101" s="31"/>
      <c r="G101" s="22"/>
      <c r="H101" s="22"/>
    </row>
    <row r="102" spans="1:8" x14ac:dyDescent="0.3">
      <c r="A102" s="51"/>
      <c r="B102" s="22"/>
      <c r="C102" s="31"/>
      <c r="D102" s="22"/>
      <c r="E102" s="31"/>
      <c r="F102" s="31"/>
      <c r="G102" s="22"/>
      <c r="H102" s="22"/>
    </row>
    <row r="103" spans="1:8" x14ac:dyDescent="0.3">
      <c r="A103" s="51"/>
      <c r="B103" s="22"/>
      <c r="C103" s="31"/>
      <c r="D103" s="22"/>
      <c r="E103" s="31"/>
      <c r="F103" s="31"/>
      <c r="G103" s="22"/>
      <c r="H103" s="22"/>
    </row>
    <row r="104" spans="1:8" x14ac:dyDescent="0.3">
      <c r="A104" s="51"/>
      <c r="B104" s="22"/>
      <c r="C104" s="31"/>
      <c r="D104" s="22"/>
      <c r="E104" s="31"/>
      <c r="F104" s="31"/>
      <c r="G104" s="22"/>
      <c r="H104" s="22"/>
    </row>
    <row r="105" spans="1:8" x14ac:dyDescent="0.3">
      <c r="A105" s="51"/>
      <c r="B105" s="22"/>
      <c r="C105" s="31"/>
      <c r="D105" s="22"/>
      <c r="E105" s="31"/>
      <c r="F105" s="31"/>
      <c r="G105" s="22"/>
      <c r="H105" s="22"/>
    </row>
    <row r="106" spans="1:8" x14ac:dyDescent="0.3">
      <c r="A106" s="51"/>
      <c r="B106" s="22"/>
      <c r="C106" s="31"/>
      <c r="D106" s="22"/>
      <c r="E106" s="31"/>
      <c r="F106" s="31"/>
      <c r="G106" s="22"/>
      <c r="H106" s="22"/>
    </row>
    <row r="107" spans="1:8" x14ac:dyDescent="0.3">
      <c r="A107" s="51"/>
      <c r="B107" s="22"/>
      <c r="C107" s="31"/>
      <c r="D107" s="22"/>
      <c r="E107" s="31"/>
      <c r="F107" s="31"/>
      <c r="G107" s="22"/>
      <c r="H107" s="22"/>
    </row>
    <row r="108" spans="1:8" x14ac:dyDescent="0.3">
      <c r="A108" s="51"/>
      <c r="B108" s="22"/>
      <c r="C108" s="31"/>
      <c r="D108" s="22"/>
      <c r="E108" s="31"/>
      <c r="F108" s="31"/>
      <c r="G108" s="22"/>
      <c r="H108" s="22"/>
    </row>
    <row r="109" spans="1:8" x14ac:dyDescent="0.3">
      <c r="A109" s="51"/>
      <c r="B109" s="22"/>
      <c r="C109" s="31"/>
      <c r="D109" s="22"/>
      <c r="E109" s="31"/>
      <c r="F109" s="31"/>
      <c r="G109" s="22"/>
      <c r="H109" s="22"/>
    </row>
    <row r="110" spans="1:8" x14ac:dyDescent="0.3">
      <c r="A110" s="51"/>
      <c r="B110" s="22"/>
      <c r="C110" s="31"/>
      <c r="D110" s="22"/>
      <c r="E110" s="31"/>
      <c r="F110" s="31"/>
      <c r="G110" s="22"/>
      <c r="H110" s="22"/>
    </row>
    <row r="111" spans="1:8" x14ac:dyDescent="0.3">
      <c r="A111" s="51"/>
      <c r="B111" s="22"/>
      <c r="C111" s="31"/>
      <c r="D111" s="22"/>
      <c r="E111" s="31"/>
      <c r="F111" s="31"/>
      <c r="G111" s="22"/>
      <c r="H111" s="22"/>
    </row>
    <row r="112" spans="1:8" x14ac:dyDescent="0.3">
      <c r="A112" s="51"/>
      <c r="B112" s="22"/>
      <c r="C112" s="31"/>
      <c r="D112" s="22"/>
      <c r="E112" s="31"/>
      <c r="F112" s="31"/>
      <c r="G112" s="22"/>
      <c r="H112" s="22"/>
    </row>
    <row r="113" spans="1:8" x14ac:dyDescent="0.3">
      <c r="A113" s="51"/>
      <c r="B113" s="22"/>
      <c r="C113" s="31"/>
      <c r="D113" s="22"/>
      <c r="E113" s="31"/>
      <c r="F113" s="31"/>
      <c r="G113" s="22"/>
      <c r="H113" s="22"/>
    </row>
    <row r="114" spans="1:8" x14ac:dyDescent="0.3">
      <c r="A114" s="51"/>
      <c r="B114" s="22"/>
      <c r="C114" s="31"/>
      <c r="D114" s="22"/>
      <c r="E114" s="31"/>
      <c r="F114" s="31"/>
      <c r="G114" s="22"/>
      <c r="H114" s="22"/>
    </row>
    <row r="115" spans="1:8" x14ac:dyDescent="0.3">
      <c r="A115" s="51"/>
      <c r="B115" s="22"/>
      <c r="C115" s="31"/>
      <c r="D115" s="22"/>
      <c r="E115" s="31"/>
      <c r="F115" s="31"/>
      <c r="G115" s="22"/>
      <c r="H115" s="22"/>
    </row>
    <row r="116" spans="1:8" x14ac:dyDescent="0.3">
      <c r="A116" s="51"/>
      <c r="B116" s="22"/>
      <c r="C116" s="31"/>
      <c r="D116" s="22"/>
      <c r="E116" s="31"/>
      <c r="F116" s="31"/>
      <c r="G116" s="22"/>
      <c r="H116" s="22"/>
    </row>
    <row r="117" spans="1:8" x14ac:dyDescent="0.3">
      <c r="A117" s="51"/>
      <c r="B117" s="22"/>
      <c r="C117" s="31"/>
      <c r="D117" s="22"/>
      <c r="E117" s="31"/>
      <c r="F117" s="31"/>
      <c r="G117" s="22"/>
      <c r="H117" s="22"/>
    </row>
    <row r="118" spans="1:8" x14ac:dyDescent="0.3">
      <c r="A118" s="51"/>
      <c r="B118" s="22"/>
      <c r="C118" s="31"/>
      <c r="D118" s="22"/>
      <c r="E118" s="31"/>
      <c r="F118" s="31"/>
      <c r="G118" s="22"/>
      <c r="H118" s="22"/>
    </row>
    <row r="119" spans="1:8" x14ac:dyDescent="0.3">
      <c r="A119" s="51"/>
      <c r="B119" s="22"/>
      <c r="C119" s="31"/>
      <c r="D119" s="22"/>
      <c r="E119" s="31"/>
      <c r="F119" s="31"/>
      <c r="G119" s="22"/>
      <c r="H119" s="22"/>
    </row>
    <row r="120" spans="1:8" x14ac:dyDescent="0.3">
      <c r="A120" s="51"/>
      <c r="B120" s="22"/>
      <c r="C120" s="31"/>
      <c r="D120" s="22"/>
      <c r="E120" s="31"/>
      <c r="F120" s="31"/>
      <c r="G120" s="22"/>
      <c r="H120" s="22"/>
    </row>
    <row r="121" spans="1:8" x14ac:dyDescent="0.3">
      <c r="A121" s="51"/>
      <c r="B121" s="22"/>
      <c r="C121" s="31"/>
      <c r="D121" s="22"/>
      <c r="E121" s="31"/>
      <c r="F121" s="31"/>
      <c r="G121" s="22"/>
      <c r="H121" s="22"/>
    </row>
    <row r="122" spans="1:8" x14ac:dyDescent="0.3">
      <c r="A122" s="51"/>
      <c r="B122" s="22"/>
      <c r="C122" s="31"/>
      <c r="D122" s="22"/>
      <c r="E122" s="31"/>
      <c r="F122" s="31"/>
      <c r="G122" s="22"/>
      <c r="H122" s="22"/>
    </row>
    <row r="123" spans="1:8" x14ac:dyDescent="0.3">
      <c r="A123" s="51"/>
      <c r="B123" s="22"/>
      <c r="C123" s="31"/>
      <c r="D123" s="22"/>
      <c r="E123" s="31"/>
      <c r="F123" s="31"/>
      <c r="G123" s="22"/>
      <c r="H123" s="22"/>
    </row>
    <row r="124" spans="1:8" x14ac:dyDescent="0.3">
      <c r="A124" s="51"/>
      <c r="B124" s="22"/>
      <c r="C124" s="31"/>
      <c r="D124" s="22"/>
      <c r="E124" s="31"/>
      <c r="F124" s="31"/>
      <c r="G124" s="22"/>
      <c r="H124" s="22"/>
    </row>
    <row r="125" spans="1:8" x14ac:dyDescent="0.3">
      <c r="A125" s="51"/>
      <c r="B125" s="22"/>
      <c r="C125" s="31"/>
      <c r="D125" s="22"/>
      <c r="E125" s="31"/>
      <c r="F125" s="31"/>
      <c r="G125" s="22"/>
      <c r="H125" s="22"/>
    </row>
    <row r="126" spans="1:8" x14ac:dyDescent="0.3">
      <c r="A126" s="51"/>
      <c r="B126" s="22"/>
      <c r="C126" s="31"/>
      <c r="D126" s="22"/>
      <c r="E126" s="31"/>
      <c r="F126" s="31"/>
      <c r="G126" s="22"/>
      <c r="H126" s="22"/>
    </row>
    <row r="127" spans="1:8" x14ac:dyDescent="0.3">
      <c r="A127" s="51"/>
      <c r="B127" s="22"/>
      <c r="C127" s="31"/>
      <c r="D127" s="22"/>
      <c r="E127" s="31"/>
      <c r="F127" s="31"/>
      <c r="G127" s="22"/>
      <c r="H127" s="22"/>
    </row>
    <row r="128" spans="1:8" x14ac:dyDescent="0.3">
      <c r="A128" s="51"/>
      <c r="B128" s="22"/>
      <c r="C128" s="31"/>
      <c r="D128" s="22"/>
      <c r="E128" s="31"/>
      <c r="F128" s="31"/>
      <c r="G128" s="22"/>
      <c r="H128" s="22"/>
    </row>
    <row r="129" spans="1:8" x14ac:dyDescent="0.3">
      <c r="A129" s="51"/>
      <c r="B129" s="22"/>
      <c r="C129" s="31"/>
      <c r="D129" s="22"/>
      <c r="E129" s="31"/>
      <c r="F129" s="31"/>
      <c r="G129" s="22"/>
      <c r="H129" s="22"/>
    </row>
    <row r="130" spans="1:8" x14ac:dyDescent="0.3">
      <c r="A130" s="51"/>
      <c r="B130" s="22"/>
      <c r="C130" s="31"/>
      <c r="D130" s="22"/>
      <c r="E130" s="31"/>
      <c r="F130" s="31"/>
      <c r="G130" s="22"/>
      <c r="H130" s="22"/>
    </row>
    <row r="131" spans="1:8" x14ac:dyDescent="0.3">
      <c r="A131" s="51"/>
      <c r="B131" s="22"/>
      <c r="C131" s="31"/>
      <c r="D131" s="22"/>
      <c r="E131" s="31"/>
      <c r="F131" s="31"/>
      <c r="G131" s="22"/>
      <c r="H131" s="22"/>
    </row>
    <row r="132" spans="1:8" x14ac:dyDescent="0.3">
      <c r="A132" s="51"/>
      <c r="B132" s="22"/>
      <c r="C132" s="31"/>
      <c r="D132" s="22"/>
      <c r="E132" s="31"/>
      <c r="F132" s="31"/>
      <c r="G132" s="22"/>
      <c r="H132" s="22"/>
    </row>
    <row r="133" spans="1:8" x14ac:dyDescent="0.3">
      <c r="A133" s="51"/>
      <c r="B133" s="22"/>
      <c r="C133" s="31"/>
      <c r="D133" s="22"/>
      <c r="E133" s="31"/>
      <c r="F133" s="31"/>
      <c r="G133" s="22"/>
      <c r="H133" s="22"/>
    </row>
    <row r="134" spans="1:8" x14ac:dyDescent="0.3">
      <c r="A134" s="51"/>
      <c r="B134" s="22"/>
      <c r="C134" s="31"/>
      <c r="D134" s="22"/>
      <c r="E134" s="31"/>
      <c r="F134" s="31"/>
      <c r="G134" s="22"/>
      <c r="H134" s="22"/>
    </row>
    <row r="135" spans="1:8" x14ac:dyDescent="0.3">
      <c r="A135" s="51"/>
      <c r="B135" s="22"/>
      <c r="C135" s="31"/>
      <c r="D135" s="22"/>
      <c r="E135" s="31"/>
      <c r="F135" s="31"/>
      <c r="G135" s="22"/>
      <c r="H135" s="22"/>
    </row>
    <row r="136" spans="1:8" x14ac:dyDescent="0.3">
      <c r="A136" s="51"/>
      <c r="B136" s="22"/>
      <c r="C136" s="31"/>
      <c r="D136" s="22"/>
      <c r="E136" s="31"/>
      <c r="F136" s="31"/>
      <c r="G136" s="22"/>
      <c r="H136" s="22"/>
    </row>
    <row r="137" spans="1:8" x14ac:dyDescent="0.3">
      <c r="A137" s="51"/>
      <c r="B137" s="22"/>
      <c r="C137" s="31"/>
      <c r="D137" s="22"/>
      <c r="E137" s="31"/>
      <c r="F137" s="31"/>
      <c r="G137" s="22"/>
      <c r="H137" s="22"/>
    </row>
    <row r="138" spans="1:8" x14ac:dyDescent="0.3">
      <c r="A138" s="51"/>
      <c r="B138" s="22"/>
      <c r="C138" s="31"/>
      <c r="D138" s="22"/>
      <c r="E138" s="31"/>
      <c r="F138" s="31"/>
      <c r="G138" s="22"/>
      <c r="H138" s="22"/>
    </row>
    <row r="139" spans="1:8" x14ac:dyDescent="0.3">
      <c r="A139" s="51"/>
      <c r="B139" s="22"/>
      <c r="C139" s="31"/>
      <c r="D139" s="22"/>
      <c r="E139" s="31"/>
      <c r="F139" s="31"/>
      <c r="G139" s="22"/>
      <c r="H139" s="22"/>
    </row>
    <row r="140" spans="1:8" x14ac:dyDescent="0.3">
      <c r="A140" s="51"/>
      <c r="B140" s="22"/>
      <c r="C140" s="31"/>
      <c r="D140" s="22"/>
      <c r="E140" s="31"/>
      <c r="F140" s="31"/>
      <c r="G140" s="22"/>
      <c r="H140" s="22"/>
    </row>
    <row r="141" spans="1:8" x14ac:dyDescent="0.3">
      <c r="A141" s="51"/>
      <c r="B141" s="22"/>
      <c r="C141" s="31"/>
      <c r="D141" s="22"/>
      <c r="E141" s="31"/>
      <c r="F141" s="31"/>
      <c r="G141" s="22"/>
      <c r="H141" s="22"/>
    </row>
    <row r="142" spans="1:8" x14ac:dyDescent="0.3">
      <c r="A142" s="51"/>
      <c r="B142" s="22"/>
      <c r="C142" s="31"/>
      <c r="D142" s="22"/>
      <c r="E142" s="31"/>
      <c r="F142" s="31"/>
      <c r="G142" s="22"/>
      <c r="H142" s="22"/>
    </row>
    <row r="143" spans="1:8" x14ac:dyDescent="0.3">
      <c r="A143" s="51"/>
      <c r="B143" s="22"/>
      <c r="C143" s="31"/>
      <c r="D143" s="22"/>
      <c r="E143" s="31"/>
      <c r="F143" s="31"/>
      <c r="G143" s="22"/>
      <c r="H143" s="22"/>
    </row>
    <row r="144" spans="1:8" x14ac:dyDescent="0.3">
      <c r="A144" s="51"/>
      <c r="B144" s="22"/>
      <c r="C144" s="31"/>
      <c r="D144" s="22"/>
      <c r="E144" s="31"/>
      <c r="F144" s="31"/>
      <c r="G144" s="22"/>
      <c r="H144" s="22"/>
    </row>
    <row r="145" spans="1:8" x14ac:dyDescent="0.3">
      <c r="A145" s="51"/>
      <c r="B145" s="22"/>
      <c r="C145" s="31"/>
      <c r="D145" s="22"/>
      <c r="E145" s="31"/>
      <c r="F145" s="31"/>
      <c r="G145" s="22"/>
      <c r="H145" s="22"/>
    </row>
    <row r="146" spans="1:8" x14ac:dyDescent="0.3">
      <c r="A146" s="51"/>
      <c r="B146" s="22"/>
      <c r="C146" s="31"/>
      <c r="D146" s="22"/>
      <c r="E146" s="31"/>
      <c r="F146" s="31"/>
      <c r="G146" s="22"/>
      <c r="H146" s="22"/>
    </row>
    <row r="147" spans="1:8" x14ac:dyDescent="0.3">
      <c r="A147" s="51"/>
      <c r="B147" s="22"/>
      <c r="C147" s="31"/>
      <c r="D147" s="22"/>
      <c r="E147" s="31"/>
      <c r="F147" s="31"/>
      <c r="G147" s="22"/>
      <c r="H147" s="22"/>
    </row>
    <row r="148" spans="1:8" x14ac:dyDescent="0.3">
      <c r="A148" s="51"/>
      <c r="B148" s="22"/>
      <c r="C148" s="31"/>
      <c r="D148" s="22"/>
      <c r="E148" s="31"/>
      <c r="F148" s="31"/>
      <c r="G148" s="22"/>
      <c r="H148" s="22"/>
    </row>
    <row r="149" spans="1:8" x14ac:dyDescent="0.3">
      <c r="A149" s="51"/>
      <c r="B149" s="22"/>
      <c r="C149" s="31"/>
      <c r="D149" s="22"/>
      <c r="E149" s="31"/>
      <c r="F149" s="31"/>
      <c r="G149" s="22"/>
      <c r="H149" s="22"/>
    </row>
    <row r="150" spans="1:8" x14ac:dyDescent="0.3">
      <c r="A150" s="51"/>
      <c r="B150" s="22"/>
      <c r="C150" s="31"/>
      <c r="D150" s="22"/>
      <c r="E150" s="31"/>
      <c r="F150" s="31"/>
      <c r="G150" s="22"/>
      <c r="H150" s="22"/>
    </row>
    <row r="151" spans="1:8" x14ac:dyDescent="0.3">
      <c r="A151" s="51"/>
      <c r="B151" s="22"/>
      <c r="C151" s="31"/>
      <c r="D151" s="22"/>
      <c r="E151" s="31"/>
      <c r="F151" s="31"/>
      <c r="G151" s="22"/>
      <c r="H151" s="22"/>
    </row>
    <row r="152" spans="1:8" x14ac:dyDescent="0.3">
      <c r="A152" s="51"/>
      <c r="B152" s="22"/>
      <c r="C152" s="31"/>
      <c r="D152" s="22"/>
      <c r="E152" s="31"/>
      <c r="F152" s="31"/>
      <c r="G152" s="22"/>
      <c r="H152" s="22"/>
    </row>
    <row r="153" spans="1:8" x14ac:dyDescent="0.3">
      <c r="A153" s="51"/>
      <c r="B153" s="22"/>
      <c r="C153" s="31"/>
      <c r="D153" s="22"/>
      <c r="E153" s="31"/>
      <c r="F153" s="31"/>
      <c r="G153" s="22"/>
      <c r="H153" s="22"/>
    </row>
    <row r="154" spans="1:8" x14ac:dyDescent="0.3">
      <c r="A154" s="51"/>
      <c r="B154" s="22"/>
      <c r="C154" s="31"/>
      <c r="D154" s="22"/>
      <c r="E154" s="31"/>
      <c r="F154" s="31"/>
      <c r="G154" s="22"/>
      <c r="H154" s="22"/>
    </row>
    <row r="155" spans="1:8" x14ac:dyDescent="0.3">
      <c r="A155" s="51"/>
      <c r="B155" s="22"/>
      <c r="C155" s="31"/>
      <c r="D155" s="22"/>
      <c r="E155" s="31"/>
      <c r="F155" s="31"/>
      <c r="G155" s="22"/>
      <c r="H155" s="22"/>
    </row>
    <row r="156" spans="1:8" x14ac:dyDescent="0.3">
      <c r="A156" s="51"/>
      <c r="B156" s="22"/>
      <c r="C156" s="31"/>
      <c r="D156" s="22"/>
      <c r="E156" s="31"/>
      <c r="F156" s="31"/>
      <c r="G156" s="22"/>
      <c r="H156" s="22"/>
    </row>
    <row r="157" spans="1:8" x14ac:dyDescent="0.3">
      <c r="A157" s="51"/>
      <c r="B157" s="22"/>
      <c r="C157" s="31"/>
      <c r="D157" s="22"/>
      <c r="E157" s="31"/>
      <c r="F157" s="31"/>
      <c r="G157" s="22"/>
      <c r="H157" s="22"/>
    </row>
    <row r="158" spans="1:8" x14ac:dyDescent="0.3">
      <c r="A158" s="51"/>
      <c r="B158" s="22"/>
      <c r="C158" s="31"/>
      <c r="D158" s="22"/>
      <c r="E158" s="31"/>
      <c r="F158" s="31"/>
      <c r="G158" s="22"/>
      <c r="H158" s="22"/>
    </row>
    <row r="159" spans="1:8" x14ac:dyDescent="0.3">
      <c r="A159" s="51"/>
      <c r="B159" s="22"/>
      <c r="C159" s="31"/>
      <c r="D159" s="22"/>
      <c r="E159" s="31"/>
      <c r="F159" s="31"/>
      <c r="G159" s="22"/>
      <c r="H159" s="22"/>
    </row>
    <row r="160" spans="1:8" x14ac:dyDescent="0.3">
      <c r="A160" s="51"/>
      <c r="B160" s="22"/>
      <c r="C160" s="31"/>
      <c r="D160" s="22"/>
      <c r="E160" s="31"/>
      <c r="F160" s="31"/>
      <c r="G160" s="22"/>
      <c r="H160" s="22"/>
    </row>
    <row r="161" spans="1:8" x14ac:dyDescent="0.3">
      <c r="A161" s="51"/>
      <c r="B161" s="22"/>
      <c r="C161" s="31"/>
      <c r="D161" s="22"/>
      <c r="E161" s="31"/>
      <c r="F161" s="31"/>
      <c r="G161" s="22"/>
      <c r="H161" s="22"/>
    </row>
    <row r="162" spans="1:8" x14ac:dyDescent="0.3">
      <c r="A162" s="51"/>
      <c r="B162" s="22"/>
      <c r="C162" s="31"/>
      <c r="D162" s="22"/>
      <c r="E162" s="31"/>
      <c r="F162" s="31"/>
      <c r="G162" s="22"/>
      <c r="H162" s="22"/>
    </row>
    <row r="163" spans="1:8" x14ac:dyDescent="0.3">
      <c r="A163" s="51"/>
      <c r="B163" s="22"/>
      <c r="C163" s="31"/>
      <c r="D163" s="22"/>
      <c r="E163" s="31"/>
      <c r="F163" s="31"/>
      <c r="G163" s="22"/>
      <c r="H163" s="22"/>
    </row>
    <row r="164" spans="1:8" x14ac:dyDescent="0.3">
      <c r="A164" s="51"/>
      <c r="B164" s="22"/>
      <c r="C164" s="31"/>
      <c r="D164" s="22"/>
      <c r="E164" s="31"/>
      <c r="F164" s="31"/>
      <c r="G164" s="22"/>
      <c r="H164" s="22"/>
    </row>
    <row r="165" spans="1:8" x14ac:dyDescent="0.3">
      <c r="A165" s="51"/>
      <c r="B165" s="22"/>
      <c r="C165" s="31"/>
      <c r="D165" s="22"/>
      <c r="E165" s="31"/>
      <c r="F165" s="31"/>
      <c r="G165" s="22"/>
      <c r="H165" s="22"/>
    </row>
    <row r="166" spans="1:8" x14ac:dyDescent="0.3">
      <c r="A166" s="51"/>
      <c r="B166" s="22"/>
      <c r="C166" s="31"/>
      <c r="D166" s="22"/>
      <c r="E166" s="31"/>
      <c r="F166" s="31"/>
      <c r="G166" s="22"/>
      <c r="H166" s="22"/>
    </row>
    <row r="167" spans="1:8" x14ac:dyDescent="0.3">
      <c r="A167" s="51"/>
      <c r="B167" s="22"/>
      <c r="C167" s="31"/>
      <c r="D167" s="22"/>
      <c r="E167" s="31"/>
      <c r="F167" s="31"/>
      <c r="G167" s="22"/>
      <c r="H167" s="22"/>
    </row>
    <row r="168" spans="1:8" x14ac:dyDescent="0.3">
      <c r="A168" s="51"/>
      <c r="B168" s="22"/>
      <c r="C168" s="31"/>
      <c r="D168" s="22"/>
      <c r="E168" s="31"/>
      <c r="F168" s="31"/>
      <c r="G168" s="22"/>
      <c r="H168" s="22"/>
    </row>
    <row r="169" spans="1:8" x14ac:dyDescent="0.3">
      <c r="A169" s="51"/>
      <c r="B169" s="22"/>
      <c r="C169" s="31"/>
      <c r="D169" s="22"/>
      <c r="E169" s="31"/>
      <c r="F169" s="31"/>
      <c r="G169" s="22"/>
      <c r="H169" s="22"/>
    </row>
    <row r="170" spans="1:8" x14ac:dyDescent="0.3">
      <c r="A170" s="51"/>
      <c r="B170" s="22"/>
      <c r="C170" s="31"/>
      <c r="D170" s="22"/>
      <c r="E170" s="31"/>
      <c r="F170" s="31"/>
      <c r="G170" s="22"/>
      <c r="H170" s="22"/>
    </row>
    <row r="171" spans="1:8" x14ac:dyDescent="0.3">
      <c r="A171" s="51"/>
      <c r="B171" s="22"/>
      <c r="C171" s="31"/>
      <c r="D171" s="22"/>
      <c r="E171" s="31"/>
      <c r="F171" s="31"/>
      <c r="G171" s="22"/>
      <c r="H171" s="22"/>
    </row>
    <row r="172" spans="1:8" x14ac:dyDescent="0.3">
      <c r="A172" s="51"/>
      <c r="B172" s="22"/>
      <c r="C172" s="31"/>
      <c r="D172" s="22"/>
      <c r="E172" s="31"/>
      <c r="F172" s="31"/>
      <c r="G172" s="22"/>
      <c r="H172" s="22"/>
    </row>
    <row r="173" spans="1:8" x14ac:dyDescent="0.3">
      <c r="A173" s="51"/>
      <c r="B173" s="22"/>
      <c r="C173" s="31"/>
      <c r="D173" s="22"/>
      <c r="E173" s="31"/>
      <c r="F173" s="31"/>
      <c r="G173" s="22"/>
      <c r="H173" s="22"/>
    </row>
    <row r="174" spans="1:8" x14ac:dyDescent="0.3">
      <c r="A174" s="51"/>
      <c r="B174" s="22"/>
      <c r="C174" s="31"/>
      <c r="D174" s="22"/>
      <c r="E174" s="31"/>
      <c r="F174" s="31"/>
      <c r="G174" s="22"/>
      <c r="H174" s="22"/>
    </row>
    <row r="175" spans="1:8" x14ac:dyDescent="0.3">
      <c r="A175" s="51"/>
      <c r="B175" s="22"/>
      <c r="C175" s="31"/>
      <c r="D175" s="22"/>
      <c r="E175" s="31"/>
      <c r="F175" s="31"/>
      <c r="G175" s="22"/>
      <c r="H175" s="22"/>
    </row>
    <row r="176" spans="1:8" x14ac:dyDescent="0.3">
      <c r="A176" s="51"/>
      <c r="B176" s="22"/>
      <c r="C176" s="31"/>
      <c r="D176" s="22"/>
      <c r="E176" s="31"/>
      <c r="F176" s="31"/>
      <c r="G176" s="22"/>
      <c r="H176" s="22"/>
    </row>
    <row r="177" spans="1:8" x14ac:dyDescent="0.3">
      <c r="A177" s="51"/>
      <c r="B177" s="22"/>
      <c r="C177" s="31"/>
      <c r="D177" s="22"/>
      <c r="E177" s="31"/>
      <c r="F177" s="31"/>
      <c r="G177" s="22"/>
      <c r="H177" s="22"/>
    </row>
    <row r="178" spans="1:8" x14ac:dyDescent="0.3">
      <c r="A178" s="51"/>
      <c r="B178" s="22"/>
      <c r="C178" s="31"/>
      <c r="D178" s="22"/>
      <c r="E178" s="31"/>
      <c r="F178" s="31"/>
      <c r="G178" s="22"/>
      <c r="H178" s="22"/>
    </row>
    <row r="179" spans="1:8" x14ac:dyDescent="0.3">
      <c r="A179" s="51"/>
      <c r="B179" s="22"/>
      <c r="C179" s="31"/>
      <c r="D179" s="22"/>
      <c r="E179" s="31"/>
      <c r="F179" s="31"/>
      <c r="G179" s="22"/>
      <c r="H179" s="22"/>
    </row>
    <row r="180" spans="1:8" x14ac:dyDescent="0.3">
      <c r="A180" s="51"/>
      <c r="B180" s="22"/>
      <c r="C180" s="31"/>
      <c r="D180" s="22"/>
      <c r="E180" s="31"/>
      <c r="F180" s="31"/>
      <c r="G180" s="22"/>
      <c r="H180" s="22"/>
    </row>
    <row r="181" spans="1:8" x14ac:dyDescent="0.3">
      <c r="A181" s="51"/>
      <c r="B181" s="22"/>
      <c r="C181" s="31"/>
      <c r="D181" s="22"/>
      <c r="E181" s="31"/>
      <c r="F181" s="31"/>
      <c r="G181" s="22"/>
      <c r="H181" s="22"/>
    </row>
    <row r="182" spans="1:8" x14ac:dyDescent="0.3">
      <c r="A182" s="51"/>
      <c r="B182" s="22"/>
      <c r="C182" s="31"/>
      <c r="D182" s="22"/>
      <c r="E182" s="31"/>
      <c r="F182" s="31"/>
      <c r="G182" s="22"/>
      <c r="H182" s="22"/>
    </row>
    <row r="183" spans="1:8" x14ac:dyDescent="0.3">
      <c r="A183" s="51"/>
      <c r="B183" s="22"/>
      <c r="C183" s="31"/>
      <c r="D183" s="22"/>
      <c r="E183" s="31"/>
      <c r="F183" s="31"/>
      <c r="G183" s="22"/>
      <c r="H183" s="22"/>
    </row>
    <row r="184" spans="1:8" x14ac:dyDescent="0.3">
      <c r="A184" s="51"/>
      <c r="B184" s="22"/>
      <c r="C184" s="31"/>
      <c r="D184" s="22"/>
      <c r="E184" s="31"/>
      <c r="F184" s="31"/>
      <c r="G184" s="22"/>
      <c r="H184" s="22"/>
    </row>
    <row r="185" spans="1:8" x14ac:dyDescent="0.3">
      <c r="A185" s="51"/>
      <c r="B185" s="22"/>
      <c r="C185" s="31"/>
      <c r="D185" s="22"/>
      <c r="E185" s="31"/>
      <c r="F185" s="31"/>
      <c r="G185" s="22"/>
      <c r="H185" s="22"/>
    </row>
    <row r="186" spans="1:8" x14ac:dyDescent="0.3">
      <c r="A186" s="51"/>
      <c r="B186" s="22"/>
      <c r="C186" s="31"/>
      <c r="D186" s="22"/>
      <c r="E186" s="31"/>
      <c r="F186" s="31"/>
      <c r="G186" s="22"/>
      <c r="H186" s="22"/>
    </row>
    <row r="187" spans="1:8" x14ac:dyDescent="0.3">
      <c r="A187" s="51"/>
      <c r="B187" s="22"/>
      <c r="C187" s="31"/>
      <c r="D187" s="22"/>
      <c r="E187" s="31"/>
      <c r="F187" s="31"/>
      <c r="G187" s="22"/>
      <c r="H187" s="22"/>
    </row>
    <row r="188" spans="1:8" x14ac:dyDescent="0.3">
      <c r="A188" s="51"/>
      <c r="B188" s="22"/>
      <c r="C188" s="31"/>
      <c r="D188" s="22"/>
      <c r="E188" s="31"/>
      <c r="F188" s="31"/>
      <c r="G188" s="22"/>
      <c r="H188" s="22"/>
    </row>
    <row r="189" spans="1:8" x14ac:dyDescent="0.3">
      <c r="A189" s="51"/>
      <c r="B189" s="22"/>
      <c r="C189" s="31"/>
      <c r="D189" s="22"/>
      <c r="E189" s="31"/>
      <c r="F189" s="31"/>
      <c r="G189" s="22"/>
      <c r="H189" s="22"/>
    </row>
    <row r="190" spans="1:8" x14ac:dyDescent="0.3">
      <c r="A190" s="51"/>
      <c r="B190" s="22"/>
      <c r="C190" s="31"/>
      <c r="D190" s="22"/>
      <c r="E190" s="31"/>
      <c r="F190" s="31"/>
      <c r="G190" s="22"/>
      <c r="H190" s="22"/>
    </row>
    <row r="191" spans="1:8" x14ac:dyDescent="0.3">
      <c r="A191" s="51"/>
      <c r="B191" s="22"/>
      <c r="C191" s="31"/>
      <c r="D191" s="22"/>
      <c r="E191" s="31"/>
      <c r="F191" s="31"/>
      <c r="G191" s="22"/>
      <c r="H191" s="22"/>
    </row>
    <row r="192" spans="1:8" x14ac:dyDescent="0.3">
      <c r="A192" s="51"/>
      <c r="B192" s="22"/>
      <c r="C192" s="31"/>
      <c r="D192" s="22"/>
      <c r="E192" s="31"/>
      <c r="F192" s="31"/>
      <c r="G192" s="22"/>
      <c r="H192" s="22"/>
    </row>
    <row r="193" spans="1:8" x14ac:dyDescent="0.3">
      <c r="A193" s="51"/>
      <c r="B193" s="22"/>
      <c r="C193" s="31"/>
      <c r="D193" s="22"/>
      <c r="E193" s="31"/>
      <c r="F193" s="31"/>
      <c r="G193" s="22"/>
      <c r="H193" s="22"/>
    </row>
    <row r="194" spans="1:8" x14ac:dyDescent="0.3">
      <c r="A194" s="51"/>
      <c r="B194" s="22"/>
      <c r="C194" s="31"/>
      <c r="D194" s="22"/>
      <c r="E194" s="31"/>
      <c r="F194" s="31"/>
      <c r="G194" s="22"/>
      <c r="H194" s="22"/>
    </row>
    <row r="195" spans="1:8" x14ac:dyDescent="0.3">
      <c r="A195" s="51"/>
      <c r="B195" s="22"/>
      <c r="C195" s="31"/>
      <c r="D195" s="22"/>
      <c r="E195" s="31"/>
      <c r="F195" s="31"/>
      <c r="G195" s="22"/>
      <c r="H195" s="22"/>
    </row>
    <row r="196" spans="1:8" x14ac:dyDescent="0.3">
      <c r="A196" s="51"/>
      <c r="B196" s="22"/>
      <c r="C196" s="31"/>
      <c r="D196" s="22"/>
      <c r="E196" s="31"/>
      <c r="F196" s="31"/>
      <c r="G196" s="22"/>
      <c r="H196" s="22"/>
    </row>
    <row r="197" spans="1:8" x14ac:dyDescent="0.3">
      <c r="A197" s="51"/>
      <c r="B197" s="22"/>
      <c r="C197" s="31"/>
      <c r="D197" s="22"/>
      <c r="E197" s="31"/>
      <c r="F197" s="31"/>
      <c r="G197" s="22"/>
      <c r="H197" s="22"/>
    </row>
    <row r="198" spans="1:8" x14ac:dyDescent="0.3">
      <c r="A198" s="51"/>
      <c r="B198" s="22"/>
      <c r="C198" s="31"/>
      <c r="D198" s="22"/>
      <c r="E198" s="31"/>
      <c r="F198" s="31"/>
      <c r="G198" s="22"/>
      <c r="H198" s="22"/>
    </row>
    <row r="199" spans="1:8" x14ac:dyDescent="0.3">
      <c r="A199" s="51"/>
      <c r="B199" s="22"/>
      <c r="C199" s="31"/>
      <c r="D199" s="22"/>
      <c r="E199" s="31"/>
      <c r="F199" s="31"/>
      <c r="G199" s="22"/>
      <c r="H199" s="22"/>
    </row>
    <row r="200" spans="1:8" x14ac:dyDescent="0.3">
      <c r="A200" s="51"/>
      <c r="B200" s="22"/>
      <c r="C200" s="31"/>
      <c r="D200" s="22"/>
      <c r="E200" s="31"/>
      <c r="F200" s="31"/>
      <c r="G200" s="22"/>
      <c r="H200" s="22"/>
    </row>
    <row r="201" spans="1:8" x14ac:dyDescent="0.3">
      <c r="A201" s="51"/>
      <c r="B201" s="22"/>
      <c r="C201" s="31"/>
      <c r="D201" s="22"/>
      <c r="E201" s="31"/>
      <c r="F201" s="31"/>
      <c r="G201" s="22"/>
      <c r="H201" s="22"/>
    </row>
    <row r="202" spans="1:8" x14ac:dyDescent="0.3">
      <c r="A202" s="51"/>
      <c r="B202" s="22"/>
      <c r="C202" s="31"/>
      <c r="D202" s="22"/>
      <c r="E202" s="31"/>
      <c r="F202" s="31"/>
      <c r="G202" s="22"/>
      <c r="H202" s="22"/>
    </row>
    <row r="203" spans="1:8" x14ac:dyDescent="0.3">
      <c r="A203" s="51"/>
      <c r="B203" s="22"/>
      <c r="C203" s="31"/>
      <c r="D203" s="22"/>
      <c r="E203" s="31"/>
      <c r="F203" s="31"/>
      <c r="G203" s="22"/>
      <c r="H203" s="22"/>
    </row>
    <row r="204" spans="1:8" x14ac:dyDescent="0.3">
      <c r="A204" s="51"/>
      <c r="B204" s="22"/>
      <c r="C204" s="31"/>
      <c r="D204" s="22"/>
      <c r="E204" s="31"/>
      <c r="F204" s="31"/>
      <c r="G204" s="22"/>
      <c r="H204" s="22"/>
    </row>
    <row r="205" spans="1:8" x14ac:dyDescent="0.3">
      <c r="A205" s="51"/>
      <c r="B205" s="22"/>
      <c r="C205" s="31"/>
      <c r="D205" s="22"/>
      <c r="E205" s="31"/>
      <c r="F205" s="31"/>
      <c r="G205" s="22"/>
      <c r="H205" s="22"/>
    </row>
    <row r="206" spans="1:8" x14ac:dyDescent="0.3">
      <c r="A206" s="51"/>
      <c r="B206" s="22"/>
      <c r="C206" s="31"/>
      <c r="D206" s="22"/>
      <c r="E206" s="31"/>
      <c r="F206" s="31"/>
      <c r="G206" s="22"/>
      <c r="H206" s="22"/>
    </row>
    <row r="207" spans="1:8" x14ac:dyDescent="0.3">
      <c r="A207" s="51"/>
      <c r="B207" s="22"/>
      <c r="C207" s="31"/>
      <c r="D207" s="22"/>
      <c r="E207" s="31"/>
      <c r="F207" s="31"/>
      <c r="G207" s="22"/>
      <c r="H207" s="22"/>
    </row>
    <row r="208" spans="1:8" x14ac:dyDescent="0.3">
      <c r="A208" s="51"/>
      <c r="B208" s="22"/>
      <c r="C208" s="31"/>
      <c r="D208" s="22"/>
      <c r="E208" s="31"/>
      <c r="F208" s="31"/>
      <c r="G208" s="22"/>
      <c r="H208" s="22"/>
    </row>
    <row r="209" spans="1:8" x14ac:dyDescent="0.3">
      <c r="A209" s="51"/>
      <c r="B209" s="22"/>
      <c r="C209" s="31"/>
      <c r="D209" s="22"/>
      <c r="E209" s="31"/>
      <c r="F209" s="31"/>
      <c r="G209" s="22"/>
      <c r="H209" s="22"/>
    </row>
    <row r="210" spans="1:8" x14ac:dyDescent="0.3">
      <c r="A210" s="51"/>
      <c r="B210" s="22"/>
      <c r="C210" s="31"/>
      <c r="D210" s="22"/>
      <c r="E210" s="31"/>
      <c r="F210" s="31"/>
      <c r="G210" s="22"/>
      <c r="H210" s="22"/>
    </row>
    <row r="211" spans="1:8" x14ac:dyDescent="0.3">
      <c r="A211" s="51"/>
      <c r="B211" s="22"/>
      <c r="C211" s="31"/>
      <c r="D211" s="22"/>
      <c r="E211" s="31"/>
      <c r="F211" s="31"/>
      <c r="G211" s="22"/>
      <c r="H211" s="22"/>
    </row>
    <row r="212" spans="1:8" x14ac:dyDescent="0.3">
      <c r="A212" s="51"/>
      <c r="B212" s="22"/>
      <c r="C212" s="31"/>
      <c r="D212" s="22"/>
      <c r="E212" s="31"/>
      <c r="F212" s="31"/>
      <c r="G212" s="22"/>
      <c r="H212" s="22"/>
    </row>
    <row r="213" spans="1:8" x14ac:dyDescent="0.3">
      <c r="A213" s="51"/>
      <c r="B213" s="22"/>
      <c r="C213" s="31"/>
      <c r="D213" s="22"/>
      <c r="E213" s="31"/>
      <c r="F213" s="31"/>
      <c r="G213" s="22"/>
      <c r="H213" s="22"/>
    </row>
    <row r="214" spans="1:8" x14ac:dyDescent="0.3">
      <c r="A214" s="51"/>
      <c r="B214" s="22"/>
      <c r="C214" s="31"/>
      <c r="D214" s="22"/>
      <c r="E214" s="31"/>
      <c r="F214" s="31"/>
      <c r="G214" s="22"/>
      <c r="H214" s="22"/>
    </row>
    <row r="215" spans="1:8" x14ac:dyDescent="0.3">
      <c r="A215" s="51"/>
      <c r="B215" s="22"/>
      <c r="C215" s="31"/>
      <c r="D215" s="22"/>
      <c r="E215" s="31"/>
      <c r="F215" s="31"/>
      <c r="G215" s="22"/>
      <c r="H215" s="22"/>
    </row>
    <row r="216" spans="1:8" x14ac:dyDescent="0.3">
      <c r="A216" s="51"/>
      <c r="B216" s="22"/>
      <c r="C216" s="31"/>
      <c r="D216" s="22"/>
      <c r="E216" s="31"/>
      <c r="F216" s="31"/>
      <c r="G216" s="22"/>
      <c r="H216" s="22"/>
    </row>
    <row r="217" spans="1:8" x14ac:dyDescent="0.3">
      <c r="A217" s="51"/>
      <c r="B217" s="22"/>
      <c r="C217" s="31"/>
      <c r="D217" s="22"/>
      <c r="E217" s="31"/>
      <c r="F217" s="31"/>
      <c r="G217" s="22"/>
      <c r="H217" s="22"/>
    </row>
    <row r="218" spans="1:8" x14ac:dyDescent="0.3">
      <c r="A218" s="51"/>
      <c r="B218" s="22"/>
      <c r="C218" s="31"/>
      <c r="D218" s="22"/>
      <c r="E218" s="31"/>
      <c r="F218" s="31"/>
      <c r="G218" s="22"/>
      <c r="H218" s="22"/>
    </row>
    <row r="219" spans="1:8" x14ac:dyDescent="0.3">
      <c r="A219" s="51"/>
      <c r="B219" s="22"/>
      <c r="C219" s="31"/>
      <c r="D219" s="22"/>
      <c r="E219" s="31"/>
      <c r="F219" s="31"/>
      <c r="G219" s="22"/>
      <c r="H219" s="22"/>
    </row>
    <row r="220" spans="1:8" x14ac:dyDescent="0.3">
      <c r="A220" s="51"/>
      <c r="B220" s="22"/>
      <c r="C220" s="31"/>
      <c r="D220" s="22"/>
      <c r="E220" s="31"/>
      <c r="F220" s="31"/>
      <c r="G220" s="22"/>
      <c r="H220" s="22"/>
    </row>
    <row r="221" spans="1:8" x14ac:dyDescent="0.3">
      <c r="A221" s="51"/>
      <c r="B221" s="22"/>
      <c r="C221" s="31"/>
      <c r="D221" s="22"/>
      <c r="E221" s="31"/>
      <c r="F221" s="31"/>
      <c r="G221" s="22"/>
      <c r="H221" s="22"/>
    </row>
    <row r="222" spans="1:8" x14ac:dyDescent="0.3">
      <c r="A222" s="51"/>
      <c r="B222" s="22"/>
      <c r="C222" s="31"/>
      <c r="D222" s="22"/>
      <c r="E222" s="31"/>
      <c r="F222" s="31"/>
      <c r="G222" s="22"/>
      <c r="H222" s="22"/>
    </row>
    <row r="223" spans="1:8" x14ac:dyDescent="0.3">
      <c r="A223" s="51"/>
      <c r="B223" s="22"/>
      <c r="C223" s="31"/>
      <c r="D223" s="22"/>
      <c r="E223" s="31"/>
      <c r="F223" s="31"/>
      <c r="G223" s="22"/>
      <c r="H223" s="22"/>
    </row>
    <row r="224" spans="1:8" x14ac:dyDescent="0.3">
      <c r="A224" s="51"/>
      <c r="B224" s="22"/>
      <c r="C224" s="31"/>
      <c r="D224" s="22"/>
      <c r="E224" s="31"/>
      <c r="F224" s="31"/>
      <c r="G224" s="22"/>
      <c r="H224" s="22"/>
    </row>
    <row r="225" spans="1:8" x14ac:dyDescent="0.3">
      <c r="A225" s="51"/>
      <c r="B225" s="22"/>
      <c r="C225" s="31"/>
      <c r="D225" s="22"/>
      <c r="E225" s="31"/>
      <c r="F225" s="31"/>
      <c r="G225" s="22"/>
      <c r="H225" s="22"/>
    </row>
    <row r="226" spans="1:8" x14ac:dyDescent="0.3">
      <c r="A226" s="51"/>
      <c r="B226" s="22"/>
      <c r="C226" s="31"/>
      <c r="D226" s="22"/>
      <c r="E226" s="31"/>
      <c r="F226" s="31"/>
      <c r="G226" s="22"/>
      <c r="H226" s="22"/>
    </row>
    <row r="227" spans="1:8" x14ac:dyDescent="0.3">
      <c r="A227" s="51"/>
      <c r="B227" s="22"/>
      <c r="C227" s="31"/>
      <c r="D227" s="22"/>
      <c r="E227" s="31"/>
      <c r="F227" s="31"/>
      <c r="G227" s="22"/>
      <c r="H227" s="22"/>
    </row>
    <row r="228" spans="1:8" x14ac:dyDescent="0.3">
      <c r="A228" s="51"/>
      <c r="B228" s="22"/>
      <c r="C228" s="31"/>
      <c r="D228" s="22"/>
      <c r="E228" s="31"/>
      <c r="F228" s="31"/>
      <c r="G228" s="22"/>
      <c r="H228" s="22"/>
    </row>
    <row r="229" spans="1:8" x14ac:dyDescent="0.3">
      <c r="A229" s="51"/>
      <c r="B229" s="22"/>
      <c r="C229" s="31"/>
      <c r="D229" s="22"/>
      <c r="E229" s="31"/>
      <c r="F229" s="31"/>
      <c r="G229" s="22"/>
      <c r="H229" s="22"/>
    </row>
    <row r="230" spans="1:8" x14ac:dyDescent="0.3">
      <c r="A230" s="51"/>
      <c r="B230" s="22"/>
      <c r="C230" s="31"/>
      <c r="D230" s="22"/>
      <c r="E230" s="31"/>
      <c r="F230" s="31"/>
      <c r="G230" s="22"/>
      <c r="H230" s="22"/>
    </row>
    <row r="231" spans="1:8" x14ac:dyDescent="0.3">
      <c r="A231" s="51"/>
      <c r="B231" s="22"/>
      <c r="C231" s="31"/>
      <c r="D231" s="22"/>
      <c r="E231" s="31"/>
      <c r="F231" s="31"/>
      <c r="G231" s="22"/>
      <c r="H231" s="22"/>
    </row>
    <row r="232" spans="1:8" x14ac:dyDescent="0.3">
      <c r="A232" s="51"/>
      <c r="B232" s="22"/>
      <c r="C232" s="31"/>
      <c r="D232" s="22"/>
      <c r="E232" s="31"/>
      <c r="F232" s="31"/>
      <c r="G232" s="22"/>
      <c r="H232" s="22"/>
    </row>
    <row r="233" spans="1:8" x14ac:dyDescent="0.3">
      <c r="A233" s="51"/>
      <c r="B233" s="22"/>
      <c r="C233" s="31"/>
      <c r="D233" s="22"/>
      <c r="E233" s="31"/>
      <c r="F233" s="31"/>
      <c r="G233" s="22"/>
      <c r="H233" s="22"/>
    </row>
    <row r="234" spans="1:8" x14ac:dyDescent="0.3">
      <c r="A234" s="51"/>
      <c r="B234" s="22"/>
      <c r="C234" s="31"/>
      <c r="D234" s="22"/>
      <c r="E234" s="31"/>
      <c r="F234" s="31"/>
      <c r="G234" s="22"/>
      <c r="H234" s="22"/>
    </row>
    <row r="235" spans="1:8" x14ac:dyDescent="0.3">
      <c r="A235" s="51"/>
      <c r="B235" s="22"/>
      <c r="C235" s="31"/>
      <c r="D235" s="22"/>
      <c r="E235" s="31"/>
      <c r="F235" s="31"/>
      <c r="G235" s="22"/>
      <c r="H235" s="22"/>
    </row>
    <row r="236" spans="1:8" x14ac:dyDescent="0.3">
      <c r="A236" s="51"/>
      <c r="B236" s="22"/>
      <c r="C236" s="31"/>
      <c r="D236" s="22"/>
      <c r="E236" s="31"/>
      <c r="F236" s="31"/>
      <c r="G236" s="22"/>
      <c r="H236" s="22"/>
    </row>
    <row r="237" spans="1:8" x14ac:dyDescent="0.3">
      <c r="A237" s="51"/>
      <c r="B237" s="22"/>
      <c r="C237" s="31"/>
      <c r="D237" s="22"/>
      <c r="E237" s="31"/>
      <c r="F237" s="31"/>
      <c r="G237" s="22"/>
      <c r="H237" s="22"/>
    </row>
    <row r="238" spans="1:8" x14ac:dyDescent="0.3">
      <c r="A238" s="51"/>
      <c r="B238" s="22"/>
      <c r="C238" s="31"/>
      <c r="D238" s="22"/>
      <c r="E238" s="31"/>
      <c r="F238" s="31"/>
      <c r="G238" s="22"/>
      <c r="H238" s="22"/>
    </row>
    <row r="239" spans="1:8" x14ac:dyDescent="0.3">
      <c r="A239" s="51"/>
      <c r="B239" s="22"/>
      <c r="C239" s="31"/>
      <c r="D239" s="22"/>
      <c r="E239" s="31"/>
      <c r="F239" s="31"/>
      <c r="G239" s="22"/>
      <c r="H239" s="22"/>
    </row>
    <row r="240" spans="1:8" x14ac:dyDescent="0.3">
      <c r="A240" s="51"/>
      <c r="B240" s="22"/>
      <c r="C240" s="31"/>
      <c r="D240" s="22"/>
      <c r="E240" s="31"/>
      <c r="F240" s="31"/>
      <c r="G240" s="22"/>
      <c r="H240" s="22"/>
    </row>
    <row r="241" spans="1:8" x14ac:dyDescent="0.3">
      <c r="A241" s="51"/>
      <c r="B241" s="22"/>
      <c r="C241" s="31"/>
      <c r="D241" s="22"/>
      <c r="E241" s="31"/>
      <c r="F241" s="31"/>
      <c r="G241" s="22"/>
      <c r="H241" s="22"/>
    </row>
    <row r="242" spans="1:8" x14ac:dyDescent="0.3">
      <c r="A242" s="51"/>
      <c r="B242" s="22"/>
      <c r="C242" s="31"/>
      <c r="D242" s="22"/>
      <c r="E242" s="31"/>
      <c r="F242" s="31"/>
      <c r="G242" s="22"/>
      <c r="H242" s="22"/>
    </row>
    <row r="243" spans="1:8" x14ac:dyDescent="0.3">
      <c r="A243" s="51"/>
      <c r="B243" s="22"/>
      <c r="C243" s="31"/>
      <c r="D243" s="22"/>
      <c r="E243" s="31"/>
      <c r="F243" s="31"/>
      <c r="G243" s="22"/>
      <c r="H243" s="22"/>
    </row>
    <row r="244" spans="1:8" x14ac:dyDescent="0.3">
      <c r="A244" s="51"/>
      <c r="B244" s="22"/>
      <c r="C244" s="31"/>
      <c r="D244" s="22"/>
      <c r="E244" s="31"/>
      <c r="F244" s="31"/>
      <c r="G244" s="22"/>
      <c r="H244" s="22"/>
    </row>
    <row r="245" spans="1:8" x14ac:dyDescent="0.3">
      <c r="A245" s="51"/>
      <c r="B245" s="22"/>
      <c r="C245" s="31"/>
      <c r="D245" s="22"/>
      <c r="E245" s="31"/>
      <c r="F245" s="31"/>
      <c r="G245" s="22"/>
      <c r="H245" s="22"/>
    </row>
    <row r="246" spans="1:8" x14ac:dyDescent="0.3">
      <c r="A246" s="51"/>
      <c r="B246" s="22"/>
      <c r="C246" s="31"/>
      <c r="D246" s="22"/>
      <c r="E246" s="31"/>
      <c r="F246" s="31"/>
      <c r="G246" s="22"/>
      <c r="H246" s="22"/>
    </row>
    <row r="247" spans="1:8" x14ac:dyDescent="0.3">
      <c r="A247" s="51"/>
      <c r="B247" s="22"/>
      <c r="C247" s="31"/>
      <c r="D247" s="22"/>
      <c r="E247" s="31"/>
      <c r="F247" s="31"/>
      <c r="G247" s="22"/>
      <c r="H247" s="22"/>
    </row>
    <row r="248" spans="1:8" x14ac:dyDescent="0.3">
      <c r="A248" s="51"/>
      <c r="B248" s="22"/>
      <c r="C248" s="31"/>
      <c r="D248" s="22"/>
      <c r="E248" s="31"/>
      <c r="F248" s="31"/>
      <c r="G248" s="22"/>
      <c r="H248" s="22"/>
    </row>
    <row r="249" spans="1:8" x14ac:dyDescent="0.3">
      <c r="A249" s="51"/>
      <c r="B249" s="22"/>
      <c r="C249" s="31"/>
      <c r="D249" s="22"/>
      <c r="E249" s="31"/>
      <c r="F249" s="31"/>
      <c r="G249" s="22"/>
      <c r="H249" s="22"/>
    </row>
    <row r="250" spans="1:8" x14ac:dyDescent="0.3">
      <c r="A250" s="51"/>
      <c r="B250" s="22"/>
      <c r="C250" s="31"/>
      <c r="D250" s="22"/>
      <c r="E250" s="31"/>
      <c r="F250" s="31"/>
      <c r="G250" s="22"/>
      <c r="H250" s="22"/>
    </row>
    <row r="251" spans="1:8" x14ac:dyDescent="0.3">
      <c r="A251" s="51"/>
      <c r="B251" s="22"/>
      <c r="C251" s="31"/>
      <c r="D251" s="22"/>
      <c r="E251" s="31"/>
      <c r="F251" s="31"/>
      <c r="G251" s="22"/>
      <c r="H251" s="22"/>
    </row>
    <row r="252" spans="1:8" x14ac:dyDescent="0.3">
      <c r="A252" s="51"/>
      <c r="B252" s="22"/>
      <c r="C252" s="31"/>
      <c r="D252" s="22"/>
      <c r="E252" s="31"/>
      <c r="F252" s="31"/>
      <c r="G252" s="22"/>
      <c r="H252" s="22"/>
    </row>
    <row r="253" spans="1:8" x14ac:dyDescent="0.3">
      <c r="A253" s="51"/>
      <c r="B253" s="22"/>
      <c r="C253" s="31"/>
      <c r="D253" s="22"/>
      <c r="E253" s="31"/>
      <c r="F253" s="31"/>
      <c r="G253" s="22"/>
      <c r="H253" s="22"/>
    </row>
    <row r="254" spans="1:8" x14ac:dyDescent="0.3">
      <c r="A254" s="51"/>
      <c r="B254" s="22"/>
      <c r="C254" s="31"/>
      <c r="D254" s="22"/>
      <c r="E254" s="31"/>
      <c r="F254" s="31"/>
      <c r="G254" s="22"/>
      <c r="H254" s="22"/>
    </row>
    <row r="255" spans="1:8" x14ac:dyDescent="0.3">
      <c r="A255" s="51"/>
      <c r="B255" s="22"/>
      <c r="C255" s="31"/>
      <c r="D255" s="22"/>
      <c r="E255" s="31"/>
      <c r="F255" s="31"/>
      <c r="G255" s="22"/>
      <c r="H255" s="22"/>
    </row>
    <row r="256" spans="1:8" x14ac:dyDescent="0.3">
      <c r="A256" s="51"/>
      <c r="B256" s="22"/>
      <c r="C256" s="31"/>
      <c r="D256" s="22"/>
      <c r="E256" s="31"/>
      <c r="F256" s="31"/>
      <c r="G256" s="22"/>
      <c r="H256" s="22"/>
    </row>
    <row r="257" spans="1:8" x14ac:dyDescent="0.3">
      <c r="A257" s="51"/>
      <c r="B257" s="22"/>
      <c r="C257" s="31"/>
      <c r="D257" s="22"/>
      <c r="E257" s="31"/>
      <c r="F257" s="31"/>
      <c r="G257" s="22"/>
      <c r="H257" s="22"/>
    </row>
    <row r="258" spans="1:8" x14ac:dyDescent="0.3">
      <c r="A258" s="51"/>
      <c r="B258" s="22"/>
      <c r="C258" s="31"/>
      <c r="D258" s="22"/>
      <c r="E258" s="31"/>
      <c r="F258" s="31"/>
      <c r="G258" s="22"/>
      <c r="H258" s="22"/>
    </row>
    <row r="259" spans="1:8" x14ac:dyDescent="0.3">
      <c r="A259" s="51"/>
      <c r="B259" s="22"/>
      <c r="C259" s="31"/>
      <c r="D259" s="22"/>
      <c r="E259" s="31"/>
      <c r="F259" s="31"/>
      <c r="G259" s="22"/>
      <c r="H259" s="22"/>
    </row>
    <row r="260" spans="1:8" x14ac:dyDescent="0.3">
      <c r="A260" s="51"/>
      <c r="B260" s="22"/>
      <c r="C260" s="31"/>
      <c r="D260" s="22"/>
      <c r="E260" s="31"/>
      <c r="F260" s="31"/>
      <c r="G260" s="22"/>
      <c r="H260" s="22"/>
    </row>
    <row r="261" spans="1:8" x14ac:dyDescent="0.3">
      <c r="A261" s="51"/>
      <c r="B261" s="22"/>
      <c r="C261" s="31"/>
      <c r="D261" s="22"/>
      <c r="E261" s="31"/>
      <c r="F261" s="31"/>
      <c r="G261" s="22"/>
      <c r="H261" s="22"/>
    </row>
    <row r="262" spans="1:8" x14ac:dyDescent="0.3">
      <c r="A262" s="51"/>
      <c r="B262" s="22"/>
      <c r="C262" s="31"/>
      <c r="D262" s="22"/>
      <c r="E262" s="31"/>
      <c r="F262" s="31"/>
      <c r="G262" s="22"/>
      <c r="H262" s="22"/>
    </row>
    <row r="263" spans="1:8" x14ac:dyDescent="0.3">
      <c r="A263" s="51"/>
      <c r="B263" s="22"/>
      <c r="C263" s="31"/>
      <c r="D263" s="22"/>
      <c r="E263" s="31"/>
      <c r="F263" s="31"/>
      <c r="G263" s="22"/>
      <c r="H263" s="22"/>
    </row>
    <row r="264" spans="1:8" x14ac:dyDescent="0.3">
      <c r="A264" s="51"/>
      <c r="B264" s="22"/>
      <c r="C264" s="31"/>
      <c r="D264" s="22"/>
      <c r="E264" s="31"/>
      <c r="F264" s="31"/>
      <c r="G264" s="22"/>
      <c r="H264" s="22"/>
    </row>
    <row r="265" spans="1:8" x14ac:dyDescent="0.3">
      <c r="A265" s="51"/>
      <c r="B265" s="22"/>
      <c r="C265" s="31"/>
      <c r="D265" s="22"/>
      <c r="E265" s="31"/>
      <c r="F265" s="31"/>
      <c r="G265" s="22"/>
      <c r="H265" s="22"/>
    </row>
    <row r="266" spans="1:8" x14ac:dyDescent="0.3">
      <c r="A266" s="51"/>
      <c r="B266" s="22"/>
      <c r="C266" s="31"/>
      <c r="D266" s="22"/>
      <c r="E266" s="31"/>
      <c r="F266" s="31"/>
      <c r="G266" s="22"/>
      <c r="H266" s="22"/>
    </row>
    <row r="267" spans="1:8" x14ac:dyDescent="0.3">
      <c r="A267" s="51"/>
      <c r="B267" s="22"/>
      <c r="C267" s="31"/>
      <c r="D267" s="22"/>
      <c r="E267" s="31"/>
      <c r="F267" s="31"/>
      <c r="G267" s="22"/>
      <c r="H267" s="22"/>
    </row>
    <row r="268" spans="1:8" x14ac:dyDescent="0.3">
      <c r="A268" s="51"/>
      <c r="B268" s="22"/>
      <c r="C268" s="31"/>
      <c r="D268" s="22"/>
      <c r="E268" s="31"/>
      <c r="F268" s="31"/>
      <c r="G268" s="22"/>
      <c r="H268" s="22"/>
    </row>
    <row r="269" spans="1:8" x14ac:dyDescent="0.3">
      <c r="A269" s="51"/>
      <c r="B269" s="22"/>
      <c r="C269" s="31"/>
      <c r="D269" s="22"/>
      <c r="E269" s="31"/>
      <c r="F269" s="31"/>
      <c r="G269" s="22"/>
      <c r="H269" s="22"/>
    </row>
    <row r="270" spans="1:8" x14ac:dyDescent="0.3">
      <c r="A270" s="51"/>
      <c r="B270" s="22"/>
      <c r="C270" s="31"/>
      <c r="D270" s="22"/>
      <c r="E270" s="31"/>
      <c r="F270" s="31"/>
      <c r="G270" s="22"/>
      <c r="H270" s="22"/>
    </row>
    <row r="271" spans="1:8" x14ac:dyDescent="0.3">
      <c r="A271" s="51"/>
      <c r="B271" s="22"/>
      <c r="C271" s="31"/>
      <c r="D271" s="22"/>
      <c r="E271" s="31"/>
      <c r="F271" s="31"/>
      <c r="G271" s="22"/>
      <c r="H271" s="22"/>
    </row>
    <row r="272" spans="1:8" x14ac:dyDescent="0.3">
      <c r="A272" s="51"/>
      <c r="B272" s="22"/>
      <c r="C272" s="31"/>
      <c r="D272" s="22"/>
      <c r="E272" s="31"/>
      <c r="F272" s="31"/>
      <c r="G272" s="22"/>
      <c r="H272" s="22"/>
    </row>
    <row r="273" spans="1:8" x14ac:dyDescent="0.3">
      <c r="A273" s="51"/>
      <c r="B273" s="22"/>
      <c r="C273" s="31"/>
      <c r="D273" s="22"/>
      <c r="E273" s="31"/>
      <c r="F273" s="31"/>
      <c r="G273" s="22"/>
      <c r="H273" s="22"/>
    </row>
    <row r="274" spans="1:8" x14ac:dyDescent="0.3">
      <c r="A274" s="51"/>
      <c r="B274" s="22"/>
      <c r="C274" s="31"/>
      <c r="D274" s="22"/>
      <c r="E274" s="31"/>
      <c r="F274" s="31"/>
      <c r="G274" s="22"/>
      <c r="H274" s="22"/>
    </row>
    <row r="275" spans="1:8" x14ac:dyDescent="0.3">
      <c r="A275" s="51"/>
      <c r="B275" s="22"/>
      <c r="C275" s="31"/>
      <c r="D275" s="22"/>
      <c r="E275" s="31"/>
      <c r="F275" s="31"/>
      <c r="G275" s="22"/>
      <c r="H275" s="22"/>
    </row>
    <row r="276" spans="1:8" x14ac:dyDescent="0.3">
      <c r="A276" s="51"/>
      <c r="B276" s="22"/>
      <c r="C276" s="31"/>
      <c r="D276" s="22"/>
      <c r="E276" s="31"/>
      <c r="F276" s="31"/>
      <c r="G276" s="22"/>
      <c r="H276" s="22"/>
    </row>
    <row r="277" spans="1:8" x14ac:dyDescent="0.3">
      <c r="A277" s="51"/>
      <c r="B277" s="22"/>
      <c r="C277" s="31"/>
      <c r="D277" s="22"/>
      <c r="E277" s="31"/>
      <c r="F277" s="31"/>
      <c r="G277" s="22"/>
      <c r="H277" s="22"/>
    </row>
    <row r="278" spans="1:8" x14ac:dyDescent="0.3">
      <c r="A278" s="51"/>
      <c r="B278" s="22"/>
      <c r="C278" s="31"/>
      <c r="D278" s="22"/>
      <c r="E278" s="31"/>
      <c r="F278" s="31"/>
      <c r="G278" s="22"/>
      <c r="H278" s="22"/>
    </row>
    <row r="279" spans="1:8" x14ac:dyDescent="0.3">
      <c r="A279" s="51"/>
      <c r="B279" s="22"/>
      <c r="C279" s="31"/>
      <c r="D279" s="22"/>
      <c r="E279" s="31"/>
      <c r="F279" s="31"/>
      <c r="G279" s="22"/>
      <c r="H279" s="22"/>
    </row>
    <row r="280" spans="1:8" x14ac:dyDescent="0.3">
      <c r="A280" s="51"/>
      <c r="B280" s="22"/>
      <c r="C280" s="31"/>
      <c r="D280" s="22"/>
      <c r="E280" s="31"/>
      <c r="F280" s="31"/>
      <c r="G280" s="22"/>
      <c r="H280" s="22"/>
    </row>
    <row r="281" spans="1:8" x14ac:dyDescent="0.3">
      <c r="A281" s="51"/>
      <c r="B281" s="22"/>
      <c r="C281" s="31"/>
      <c r="D281" s="22"/>
      <c r="E281" s="31"/>
      <c r="F281" s="31"/>
      <c r="G281" s="22"/>
      <c r="H281" s="22"/>
    </row>
    <row r="282" spans="1:8" x14ac:dyDescent="0.3">
      <c r="A282" s="51"/>
      <c r="B282" s="22"/>
      <c r="C282" s="31"/>
      <c r="D282" s="22"/>
      <c r="E282" s="31"/>
      <c r="F282" s="31"/>
      <c r="G282" s="22"/>
      <c r="H282" s="22"/>
    </row>
    <row r="283" spans="1:8" x14ac:dyDescent="0.3">
      <c r="A283" s="51"/>
      <c r="B283" s="22"/>
      <c r="C283" s="31"/>
      <c r="D283" s="22"/>
      <c r="E283" s="31"/>
      <c r="F283" s="31"/>
      <c r="G283" s="22"/>
      <c r="H283" s="22"/>
    </row>
    <row r="284" spans="1:8" x14ac:dyDescent="0.3">
      <c r="A284" s="51"/>
      <c r="B284" s="22"/>
      <c r="C284" s="31"/>
      <c r="D284" s="22"/>
      <c r="E284" s="31"/>
      <c r="F284" s="31"/>
      <c r="G284" s="22"/>
      <c r="H284" s="22"/>
    </row>
    <row r="285" spans="1:8" x14ac:dyDescent="0.3">
      <c r="A285" s="51"/>
      <c r="B285" s="22"/>
      <c r="C285" s="31"/>
      <c r="D285" s="22"/>
      <c r="E285" s="31"/>
      <c r="F285" s="31"/>
      <c r="G285" s="22"/>
      <c r="H285" s="22"/>
    </row>
    <row r="286" spans="1:8" x14ac:dyDescent="0.3">
      <c r="A286" s="51"/>
      <c r="B286" s="22"/>
      <c r="C286" s="31"/>
      <c r="D286" s="22"/>
      <c r="E286" s="31"/>
      <c r="F286" s="31"/>
      <c r="G286" s="22"/>
      <c r="H286" s="22"/>
    </row>
    <row r="287" spans="1:8" x14ac:dyDescent="0.3">
      <c r="A287" s="51"/>
      <c r="B287" s="22"/>
      <c r="C287" s="31"/>
      <c r="D287" s="22"/>
      <c r="E287" s="31"/>
      <c r="F287" s="31"/>
      <c r="G287" s="22"/>
      <c r="H287" s="22"/>
    </row>
    <row r="288" spans="1:8" x14ac:dyDescent="0.3">
      <c r="A288" s="51"/>
      <c r="B288" s="22"/>
      <c r="C288" s="31"/>
      <c r="D288" s="22"/>
      <c r="E288" s="31"/>
      <c r="F288" s="31"/>
      <c r="G288" s="22"/>
      <c r="H288" s="22"/>
    </row>
    <row r="289" spans="1:8" x14ac:dyDescent="0.3">
      <c r="A289" s="51"/>
      <c r="B289" s="22"/>
      <c r="C289" s="31"/>
      <c r="D289" s="22"/>
      <c r="E289" s="31"/>
      <c r="F289" s="31"/>
      <c r="G289" s="22"/>
      <c r="H289" s="22"/>
    </row>
    <row r="290" spans="1:8" x14ac:dyDescent="0.3">
      <c r="A290" s="51"/>
      <c r="B290" s="22"/>
      <c r="C290" s="31"/>
      <c r="D290" s="22"/>
      <c r="E290" s="31"/>
      <c r="F290" s="31"/>
      <c r="G290" s="22"/>
      <c r="H290" s="22"/>
    </row>
    <row r="291" spans="1:8" x14ac:dyDescent="0.3">
      <c r="A291" s="51"/>
      <c r="B291" s="22"/>
      <c r="C291" s="31"/>
      <c r="D291" s="22"/>
      <c r="E291" s="31"/>
      <c r="F291" s="31"/>
      <c r="G291" s="22"/>
      <c r="H291" s="22"/>
    </row>
    <row r="292" spans="1:8" x14ac:dyDescent="0.3">
      <c r="A292" s="51"/>
      <c r="B292" s="22"/>
      <c r="C292" s="31"/>
      <c r="D292" s="22"/>
      <c r="E292" s="31"/>
      <c r="F292" s="31"/>
      <c r="G292" s="22"/>
      <c r="H292" s="22"/>
    </row>
    <row r="293" spans="1:8" x14ac:dyDescent="0.3">
      <c r="A293" s="51"/>
      <c r="B293" s="22"/>
      <c r="C293" s="31"/>
      <c r="D293" s="22"/>
      <c r="E293" s="31"/>
      <c r="F293" s="31"/>
      <c r="G293" s="22"/>
      <c r="H293" s="22"/>
    </row>
    <row r="294" spans="1:8" x14ac:dyDescent="0.3">
      <c r="A294" s="51"/>
      <c r="B294" s="22"/>
      <c r="C294" s="31"/>
      <c r="D294" s="22"/>
      <c r="E294" s="31"/>
      <c r="F294" s="31"/>
      <c r="G294" s="22"/>
      <c r="H294" s="22"/>
    </row>
    <row r="295" spans="1:8" x14ac:dyDescent="0.3">
      <c r="A295" s="51"/>
      <c r="B295" s="22"/>
      <c r="C295" s="31"/>
      <c r="D295" s="22"/>
      <c r="E295" s="31"/>
      <c r="F295" s="31"/>
      <c r="G295" s="22"/>
      <c r="H295" s="22"/>
    </row>
    <row r="296" spans="1:8" x14ac:dyDescent="0.3">
      <c r="A296" s="51"/>
      <c r="B296" s="22"/>
      <c r="C296" s="31"/>
      <c r="D296" s="22"/>
      <c r="E296" s="31"/>
      <c r="F296" s="31"/>
      <c r="G296" s="22"/>
      <c r="H296" s="22"/>
    </row>
    <row r="297" spans="1:8" x14ac:dyDescent="0.3">
      <c r="A297" s="51"/>
      <c r="B297" s="22"/>
      <c r="C297" s="31"/>
      <c r="D297" s="22"/>
      <c r="E297" s="31"/>
      <c r="F297" s="31"/>
      <c r="G297" s="22"/>
      <c r="H297" s="22"/>
    </row>
    <row r="298" spans="1:8" x14ac:dyDescent="0.3">
      <c r="A298" s="51"/>
      <c r="B298" s="22"/>
      <c r="C298" s="31"/>
      <c r="D298" s="22"/>
      <c r="E298" s="31"/>
      <c r="F298" s="31"/>
      <c r="G298" s="22"/>
      <c r="H298" s="22"/>
    </row>
    <row r="299" spans="1:8" x14ac:dyDescent="0.3">
      <c r="A299" s="51"/>
      <c r="B299" s="22"/>
      <c r="C299" s="31"/>
      <c r="D299" s="22"/>
      <c r="E299" s="31"/>
      <c r="F299" s="31"/>
      <c r="G299" s="22"/>
      <c r="H299" s="22"/>
    </row>
    <row r="300" spans="1:8" x14ac:dyDescent="0.3">
      <c r="A300" s="51"/>
      <c r="B300" s="22"/>
      <c r="C300" s="31"/>
      <c r="D300" s="22"/>
      <c r="E300" s="31"/>
      <c r="F300" s="31"/>
      <c r="G300" s="22"/>
      <c r="H300" s="22"/>
    </row>
    <row r="301" spans="1:8" x14ac:dyDescent="0.3">
      <c r="A301" s="51"/>
      <c r="B301" s="22"/>
      <c r="C301" s="31"/>
      <c r="D301" s="22"/>
      <c r="E301" s="31"/>
      <c r="F301" s="31"/>
      <c r="G301" s="22"/>
      <c r="H301" s="22"/>
    </row>
    <row r="302" spans="1:8" x14ac:dyDescent="0.3">
      <c r="A302" s="51"/>
      <c r="B302" s="22"/>
      <c r="C302" s="31"/>
      <c r="D302" s="22"/>
      <c r="E302" s="31"/>
      <c r="F302" s="31"/>
      <c r="G302" s="22"/>
      <c r="H302" s="22"/>
    </row>
    <row r="303" spans="1:8" x14ac:dyDescent="0.3">
      <c r="A303" s="51"/>
      <c r="B303" s="22"/>
      <c r="C303" s="31"/>
      <c r="D303" s="22"/>
      <c r="E303" s="31"/>
      <c r="F303" s="31"/>
      <c r="G303" s="22"/>
      <c r="H303" s="22"/>
    </row>
    <row r="304" spans="1:8" x14ac:dyDescent="0.3">
      <c r="A304" s="51"/>
      <c r="B304" s="22"/>
      <c r="C304" s="31"/>
      <c r="D304" s="22"/>
      <c r="E304" s="31"/>
      <c r="F304" s="31"/>
      <c r="G304" s="22"/>
      <c r="H304" s="22"/>
    </row>
    <row r="305" spans="1:8" x14ac:dyDescent="0.3">
      <c r="A305" s="51"/>
      <c r="B305" s="22"/>
      <c r="C305" s="31"/>
      <c r="D305" s="22"/>
      <c r="E305" s="31"/>
      <c r="F305" s="31"/>
      <c r="G305" s="22"/>
      <c r="H305" s="22"/>
    </row>
    <row r="306" spans="1:8" x14ac:dyDescent="0.3">
      <c r="A306" s="51"/>
      <c r="B306" s="22"/>
      <c r="C306" s="31"/>
      <c r="D306" s="22"/>
      <c r="E306" s="31"/>
      <c r="F306" s="31"/>
      <c r="G306" s="22"/>
      <c r="H306" s="22"/>
    </row>
    <row r="307" spans="1:8" x14ac:dyDescent="0.3">
      <c r="A307" s="51"/>
      <c r="B307" s="22"/>
      <c r="C307" s="31"/>
      <c r="D307" s="22"/>
      <c r="E307" s="31"/>
      <c r="F307" s="31"/>
      <c r="G307" s="22"/>
      <c r="H307" s="22"/>
    </row>
    <row r="308" spans="1:8" x14ac:dyDescent="0.3">
      <c r="A308" s="51"/>
      <c r="B308" s="22"/>
      <c r="C308" s="31"/>
      <c r="D308" s="22"/>
      <c r="E308" s="31"/>
      <c r="F308" s="31"/>
      <c r="G308" s="22"/>
      <c r="H308" s="22"/>
    </row>
    <row r="309" spans="1:8" x14ac:dyDescent="0.3">
      <c r="A309" s="51"/>
      <c r="B309" s="22"/>
      <c r="C309" s="31"/>
      <c r="D309" s="22"/>
      <c r="E309" s="31"/>
      <c r="F309" s="31"/>
      <c r="G309" s="22"/>
      <c r="H309" s="22"/>
    </row>
    <row r="310" spans="1:8" x14ac:dyDescent="0.3">
      <c r="A310" s="51"/>
      <c r="B310" s="22"/>
      <c r="C310" s="31"/>
      <c r="D310" s="22"/>
      <c r="E310" s="31"/>
      <c r="F310" s="31"/>
      <c r="G310" s="22"/>
      <c r="H310" s="22"/>
    </row>
    <row r="311" spans="1:8" x14ac:dyDescent="0.3">
      <c r="A311" s="51"/>
      <c r="B311" s="22"/>
      <c r="C311" s="31"/>
      <c r="D311" s="22"/>
      <c r="E311" s="31"/>
      <c r="F311" s="31"/>
      <c r="G311" s="22"/>
      <c r="H311" s="22"/>
    </row>
    <row r="312" spans="1:8" x14ac:dyDescent="0.3">
      <c r="A312" s="51"/>
      <c r="B312" s="22"/>
      <c r="C312" s="31"/>
      <c r="D312" s="22"/>
      <c r="E312" s="31"/>
      <c r="F312" s="31"/>
      <c r="G312" s="22"/>
      <c r="H312" s="22"/>
    </row>
    <row r="313" spans="1:8" x14ac:dyDescent="0.3">
      <c r="A313" s="51"/>
      <c r="B313" s="22"/>
      <c r="C313" s="31"/>
      <c r="D313" s="22"/>
      <c r="E313" s="31"/>
      <c r="F313" s="31"/>
      <c r="G313" s="22"/>
      <c r="H313" s="22"/>
    </row>
    <row r="314" spans="1:8" x14ac:dyDescent="0.3">
      <c r="A314" s="51"/>
      <c r="B314" s="22"/>
      <c r="C314" s="31"/>
      <c r="D314" s="22"/>
      <c r="E314" s="31"/>
      <c r="F314" s="31"/>
      <c r="G314" s="22"/>
      <c r="H314" s="22"/>
    </row>
    <row r="315" spans="1:8" x14ac:dyDescent="0.3">
      <c r="A315" s="51"/>
      <c r="B315" s="22"/>
      <c r="C315" s="31"/>
      <c r="D315" s="22"/>
      <c r="E315" s="31"/>
      <c r="F315" s="31"/>
      <c r="G315" s="22"/>
      <c r="H315" s="22"/>
    </row>
    <row r="316" spans="1:8" x14ac:dyDescent="0.3">
      <c r="A316" s="51"/>
      <c r="B316" s="22"/>
      <c r="C316" s="31"/>
      <c r="D316" s="22"/>
      <c r="E316" s="31"/>
      <c r="F316" s="31"/>
      <c r="G316" s="22"/>
      <c r="H316" s="22"/>
    </row>
    <row r="317" spans="1:8" x14ac:dyDescent="0.3">
      <c r="A317" s="51"/>
      <c r="B317" s="22"/>
      <c r="C317" s="31"/>
      <c r="D317" s="22"/>
      <c r="E317" s="31"/>
      <c r="F317" s="31"/>
      <c r="G317" s="22"/>
      <c r="H317" s="22"/>
    </row>
    <row r="318" spans="1:8" x14ac:dyDescent="0.3">
      <c r="A318" s="51"/>
      <c r="B318" s="22"/>
      <c r="C318" s="31"/>
      <c r="D318" s="22"/>
      <c r="E318" s="31"/>
      <c r="F318" s="31"/>
      <c r="G318" s="22"/>
      <c r="H318" s="22"/>
    </row>
    <row r="319" spans="1:8" x14ac:dyDescent="0.3">
      <c r="A319" s="51"/>
      <c r="B319" s="22"/>
      <c r="C319" s="31"/>
      <c r="D319" s="22"/>
      <c r="E319" s="31"/>
      <c r="F319" s="31"/>
      <c r="G319" s="22"/>
      <c r="H319" s="22"/>
    </row>
    <row r="320" spans="1:8" x14ac:dyDescent="0.3">
      <c r="A320" s="51"/>
      <c r="B320" s="22"/>
      <c r="C320" s="31"/>
      <c r="D320" s="22"/>
      <c r="E320" s="31"/>
      <c r="F320" s="31"/>
      <c r="G320" s="22"/>
      <c r="H320" s="22"/>
    </row>
    <row r="321" spans="1:8" x14ac:dyDescent="0.3">
      <c r="A321" s="51"/>
      <c r="B321" s="22"/>
      <c r="C321" s="31"/>
      <c r="D321" s="22"/>
      <c r="E321" s="31"/>
      <c r="F321" s="31"/>
      <c r="G321" s="22"/>
      <c r="H321" s="22"/>
    </row>
    <row r="322" spans="1:8" x14ac:dyDescent="0.3">
      <c r="A322" s="51"/>
      <c r="B322" s="22"/>
      <c r="C322" s="31"/>
      <c r="D322" s="22"/>
      <c r="E322" s="31"/>
      <c r="F322" s="31"/>
      <c r="G322" s="22"/>
      <c r="H322" s="22"/>
    </row>
    <row r="323" spans="1:8" x14ac:dyDescent="0.3">
      <c r="A323" s="51"/>
      <c r="B323" s="22"/>
      <c r="C323" s="31"/>
      <c r="D323" s="22"/>
      <c r="E323" s="31"/>
      <c r="F323" s="31"/>
      <c r="G323" s="22"/>
      <c r="H323" s="22"/>
    </row>
    <row r="324" spans="1:8" x14ac:dyDescent="0.3">
      <c r="A324" s="51"/>
      <c r="B324" s="22"/>
      <c r="C324" s="31"/>
      <c r="D324" s="22"/>
      <c r="E324" s="31"/>
      <c r="F324" s="31"/>
      <c r="G324" s="22"/>
      <c r="H324" s="22"/>
    </row>
    <row r="325" spans="1:8" x14ac:dyDescent="0.3">
      <c r="A325" s="51"/>
      <c r="B325" s="22"/>
      <c r="C325" s="31"/>
      <c r="D325" s="22"/>
      <c r="E325" s="31"/>
      <c r="F325" s="31"/>
      <c r="G325" s="22"/>
      <c r="H325" s="22"/>
    </row>
    <row r="326" spans="1:8" x14ac:dyDescent="0.3">
      <c r="A326" s="51"/>
      <c r="B326" s="22"/>
      <c r="C326" s="31"/>
      <c r="D326" s="22"/>
      <c r="E326" s="31"/>
      <c r="F326" s="31"/>
      <c r="G326" s="22"/>
      <c r="H326" s="22"/>
    </row>
    <row r="327" spans="1:8" x14ac:dyDescent="0.3">
      <c r="A327" s="51"/>
      <c r="B327" s="22"/>
      <c r="C327" s="31"/>
      <c r="D327" s="22"/>
      <c r="E327" s="31"/>
      <c r="F327" s="31"/>
      <c r="G327" s="22"/>
      <c r="H327" s="22"/>
    </row>
    <row r="328" spans="1:8" x14ac:dyDescent="0.3">
      <c r="A328" s="51"/>
      <c r="B328" s="22"/>
      <c r="C328" s="31"/>
      <c r="D328" s="22"/>
      <c r="E328" s="31"/>
      <c r="F328" s="31"/>
      <c r="G328" s="22"/>
      <c r="H328" s="22"/>
    </row>
    <row r="329" spans="1:8" x14ac:dyDescent="0.3">
      <c r="A329" s="51"/>
      <c r="B329" s="22"/>
      <c r="C329" s="31"/>
      <c r="D329" s="22"/>
      <c r="E329" s="31"/>
      <c r="F329" s="31"/>
      <c r="G329" s="22"/>
      <c r="H329" s="22"/>
    </row>
    <row r="330" spans="1:8" x14ac:dyDescent="0.3">
      <c r="A330" s="51"/>
      <c r="B330" s="22"/>
      <c r="C330" s="31"/>
      <c r="D330" s="22"/>
      <c r="E330" s="31"/>
      <c r="F330" s="31"/>
      <c r="G330" s="22"/>
      <c r="H330" s="22"/>
    </row>
    <row r="331" spans="1:8" x14ac:dyDescent="0.3">
      <c r="A331" s="51"/>
      <c r="B331" s="22"/>
      <c r="C331" s="31"/>
      <c r="D331" s="22"/>
      <c r="E331" s="31"/>
      <c r="F331" s="31"/>
      <c r="G331" s="22"/>
      <c r="H331" s="22"/>
    </row>
    <row r="332" spans="1:8" x14ac:dyDescent="0.3">
      <c r="A332" s="51"/>
      <c r="B332" s="22"/>
      <c r="C332" s="31"/>
      <c r="D332" s="22"/>
      <c r="E332" s="31"/>
      <c r="F332" s="31"/>
      <c r="G332" s="22"/>
      <c r="H332" s="22"/>
    </row>
    <row r="333" spans="1:8" x14ac:dyDescent="0.3">
      <c r="A333" s="51"/>
      <c r="B333" s="22"/>
      <c r="C333" s="31"/>
      <c r="D333" s="22"/>
      <c r="E333" s="31"/>
      <c r="F333" s="31"/>
      <c r="G333" s="22"/>
      <c r="H333" s="22"/>
    </row>
    <row r="334" spans="1:8" x14ac:dyDescent="0.3">
      <c r="A334" s="51"/>
      <c r="B334" s="22"/>
      <c r="C334" s="31"/>
      <c r="D334" s="22"/>
      <c r="E334" s="31"/>
      <c r="F334" s="31"/>
      <c r="G334" s="22"/>
      <c r="H334" s="22"/>
    </row>
    <row r="335" spans="1:8" x14ac:dyDescent="0.3">
      <c r="A335" s="51"/>
      <c r="B335" s="22"/>
      <c r="C335" s="31"/>
      <c r="D335" s="22"/>
      <c r="E335" s="31"/>
      <c r="F335" s="31"/>
      <c r="G335" s="22"/>
      <c r="H335" s="22"/>
    </row>
    <row r="336" spans="1:8" x14ac:dyDescent="0.3">
      <c r="A336" s="51"/>
      <c r="B336" s="22"/>
      <c r="C336" s="31"/>
      <c r="D336" s="22"/>
      <c r="E336" s="31"/>
      <c r="F336" s="31"/>
      <c r="G336" s="22"/>
      <c r="H336" s="22"/>
    </row>
    <row r="337" spans="1:8" x14ac:dyDescent="0.3">
      <c r="A337" s="51"/>
      <c r="B337" s="22"/>
      <c r="C337" s="31"/>
      <c r="D337" s="22"/>
      <c r="E337" s="31"/>
      <c r="F337" s="31"/>
      <c r="G337" s="22"/>
      <c r="H337" s="22"/>
    </row>
    <row r="338" spans="1:8" x14ac:dyDescent="0.3">
      <c r="A338" s="51"/>
      <c r="B338" s="22"/>
      <c r="C338" s="31"/>
      <c r="D338" s="22"/>
      <c r="E338" s="31"/>
      <c r="F338" s="31"/>
      <c r="G338" s="22"/>
      <c r="H338" s="22"/>
    </row>
    <row r="339" spans="1:8" x14ac:dyDescent="0.3">
      <c r="A339" s="51"/>
      <c r="B339" s="22"/>
      <c r="C339" s="31"/>
      <c r="D339" s="22"/>
      <c r="E339" s="31"/>
      <c r="F339" s="31"/>
      <c r="G339" s="22"/>
      <c r="H339" s="22"/>
    </row>
    <row r="340" spans="1:8" x14ac:dyDescent="0.3">
      <c r="A340" s="51"/>
      <c r="B340" s="22"/>
      <c r="C340" s="31"/>
      <c r="D340" s="22"/>
      <c r="E340" s="31"/>
      <c r="F340" s="31"/>
      <c r="G340" s="22"/>
      <c r="H340" s="22"/>
    </row>
    <row r="341" spans="1:8" x14ac:dyDescent="0.3">
      <c r="A341" s="51"/>
      <c r="B341" s="22"/>
      <c r="C341" s="31"/>
      <c r="D341" s="22"/>
      <c r="E341" s="31"/>
      <c r="F341" s="31"/>
      <c r="G341" s="22"/>
      <c r="H341" s="22"/>
    </row>
    <row r="342" spans="1:8" x14ac:dyDescent="0.3">
      <c r="A342" s="51"/>
      <c r="B342" s="22"/>
      <c r="C342" s="31"/>
      <c r="D342" s="22"/>
      <c r="E342" s="31"/>
      <c r="F342" s="31"/>
      <c r="G342" s="22"/>
      <c r="H342" s="22"/>
    </row>
    <row r="343" spans="1:8" x14ac:dyDescent="0.3">
      <c r="A343" s="51"/>
      <c r="B343" s="22"/>
      <c r="C343" s="31"/>
      <c r="D343" s="22"/>
      <c r="E343" s="31"/>
      <c r="F343" s="31"/>
      <c r="G343" s="22"/>
      <c r="H343" s="22"/>
    </row>
    <row r="344" spans="1:8" x14ac:dyDescent="0.3">
      <c r="A344" s="51"/>
      <c r="B344" s="22"/>
      <c r="C344" s="31"/>
      <c r="D344" s="22"/>
      <c r="E344" s="31"/>
      <c r="F344" s="31"/>
      <c r="G344" s="22"/>
      <c r="H344" s="22"/>
    </row>
    <row r="345" spans="1:8" x14ac:dyDescent="0.3">
      <c r="A345" s="51"/>
      <c r="B345" s="22"/>
      <c r="C345" s="31"/>
      <c r="D345" s="22"/>
      <c r="E345" s="31"/>
      <c r="F345" s="31"/>
      <c r="G345" s="22"/>
      <c r="H345" s="22"/>
    </row>
    <row r="346" spans="1:8" x14ac:dyDescent="0.3">
      <c r="A346" s="51"/>
      <c r="B346" s="22"/>
      <c r="C346" s="31"/>
      <c r="D346" s="22"/>
      <c r="E346" s="31"/>
      <c r="F346" s="31"/>
      <c r="G346" s="22"/>
      <c r="H346" s="22"/>
    </row>
    <row r="347" spans="1:8" x14ac:dyDescent="0.3">
      <c r="A347" s="51"/>
      <c r="B347" s="22"/>
      <c r="C347" s="31"/>
      <c r="D347" s="22"/>
      <c r="E347" s="31"/>
      <c r="F347" s="31"/>
      <c r="G347" s="22"/>
      <c r="H347" s="22"/>
    </row>
    <row r="348" spans="1:8" x14ac:dyDescent="0.3">
      <c r="A348" s="51"/>
      <c r="B348" s="22"/>
      <c r="C348" s="31"/>
      <c r="D348" s="22"/>
      <c r="E348" s="31"/>
      <c r="F348" s="31"/>
      <c r="G348" s="22"/>
      <c r="H348" s="22"/>
    </row>
    <row r="349" spans="1:8" x14ac:dyDescent="0.3">
      <c r="A349" s="51"/>
      <c r="B349" s="22"/>
      <c r="C349" s="31"/>
      <c r="D349" s="22"/>
      <c r="E349" s="31"/>
      <c r="F349" s="31"/>
      <c r="G349" s="22"/>
      <c r="H349" s="22"/>
    </row>
    <row r="350" spans="1:8" x14ac:dyDescent="0.3">
      <c r="A350" s="51"/>
      <c r="B350" s="22"/>
      <c r="C350" s="31"/>
      <c r="D350" s="22"/>
      <c r="E350" s="31"/>
      <c r="F350" s="31"/>
      <c r="G350" s="22"/>
      <c r="H350" s="22"/>
    </row>
    <row r="351" spans="1:8" x14ac:dyDescent="0.3">
      <c r="A351" s="51"/>
      <c r="B351" s="22"/>
      <c r="C351" s="31"/>
      <c r="D351" s="22"/>
      <c r="E351" s="31"/>
      <c r="F351" s="31"/>
      <c r="G351" s="22"/>
      <c r="H351" s="22"/>
    </row>
    <row r="352" spans="1:8" x14ac:dyDescent="0.3">
      <c r="A352" s="51"/>
      <c r="B352" s="22"/>
      <c r="C352" s="31"/>
      <c r="D352" s="22"/>
      <c r="E352" s="31"/>
      <c r="F352" s="31"/>
      <c r="G352" s="22"/>
      <c r="H352" s="22"/>
    </row>
    <row r="353" spans="1:8" x14ac:dyDescent="0.3">
      <c r="A353" s="51"/>
      <c r="B353" s="22"/>
      <c r="C353" s="31"/>
      <c r="D353" s="22"/>
      <c r="E353" s="31"/>
      <c r="F353" s="31"/>
      <c r="G353" s="22"/>
      <c r="H353" s="22"/>
    </row>
    <row r="354" spans="1:8" x14ac:dyDescent="0.3">
      <c r="A354" s="51"/>
      <c r="B354" s="22"/>
      <c r="C354" s="31"/>
      <c r="D354" s="22"/>
      <c r="E354" s="31"/>
      <c r="F354" s="31"/>
      <c r="G354" s="22"/>
      <c r="H354" s="22"/>
    </row>
    <row r="355" spans="1:8" x14ac:dyDescent="0.3">
      <c r="A355" s="51"/>
      <c r="B355" s="22"/>
      <c r="C355" s="31"/>
      <c r="D355" s="22"/>
      <c r="E355" s="31"/>
      <c r="F355" s="31"/>
      <c r="G355" s="22"/>
      <c r="H355" s="22"/>
    </row>
    <row r="356" spans="1:8" x14ac:dyDescent="0.3">
      <c r="A356" s="51"/>
      <c r="B356" s="22"/>
      <c r="C356" s="31"/>
      <c r="D356" s="22"/>
      <c r="E356" s="31"/>
      <c r="F356" s="31"/>
      <c r="G356" s="22"/>
      <c r="H356" s="22"/>
    </row>
    <row r="357" spans="1:8" x14ac:dyDescent="0.3">
      <c r="A357" s="51"/>
      <c r="B357" s="22"/>
      <c r="C357" s="31"/>
      <c r="D357" s="22"/>
      <c r="E357" s="31"/>
      <c r="F357" s="31"/>
      <c r="G357" s="22"/>
      <c r="H357" s="22"/>
    </row>
    <row r="358" spans="1:8" x14ac:dyDescent="0.3">
      <c r="A358" s="51"/>
      <c r="B358" s="22"/>
      <c r="C358" s="31"/>
      <c r="D358" s="22"/>
      <c r="E358" s="31"/>
      <c r="F358" s="31"/>
      <c r="G358" s="22"/>
      <c r="H358" s="22"/>
    </row>
    <row r="359" spans="1:8" x14ac:dyDescent="0.3">
      <c r="A359" s="51"/>
      <c r="B359" s="22"/>
      <c r="C359" s="31"/>
      <c r="D359" s="22"/>
      <c r="E359" s="31"/>
      <c r="F359" s="31"/>
      <c r="G359" s="22"/>
      <c r="H359" s="22"/>
    </row>
    <row r="360" spans="1:8" x14ac:dyDescent="0.3">
      <c r="A360" s="51"/>
      <c r="B360" s="22"/>
      <c r="C360" s="31"/>
      <c r="D360" s="22"/>
      <c r="E360" s="31"/>
      <c r="F360" s="31"/>
      <c r="G360" s="22"/>
      <c r="H360" s="22"/>
    </row>
    <row r="361" spans="1:8" x14ac:dyDescent="0.3">
      <c r="A361" s="51"/>
      <c r="B361" s="22"/>
      <c r="C361" s="31"/>
      <c r="D361" s="22"/>
      <c r="E361" s="31"/>
      <c r="F361" s="31"/>
      <c r="G361" s="22"/>
      <c r="H361" s="22"/>
    </row>
    <row r="362" spans="1:8" x14ac:dyDescent="0.3">
      <c r="A362" s="51"/>
      <c r="B362" s="22"/>
      <c r="C362" s="31"/>
      <c r="D362" s="22"/>
      <c r="E362" s="31"/>
      <c r="F362" s="31"/>
      <c r="G362" s="22"/>
      <c r="H362" s="22"/>
    </row>
    <row r="363" spans="1:8" x14ac:dyDescent="0.3">
      <c r="A363" s="51"/>
      <c r="B363" s="22"/>
      <c r="C363" s="31"/>
      <c r="D363" s="22"/>
      <c r="E363" s="31"/>
      <c r="F363" s="31"/>
      <c r="G363" s="22"/>
      <c r="H363" s="22"/>
    </row>
    <row r="364" spans="1:8" x14ac:dyDescent="0.3">
      <c r="A364" s="51"/>
      <c r="B364" s="22"/>
      <c r="C364" s="31"/>
      <c r="D364" s="22"/>
      <c r="E364" s="31"/>
      <c r="F364" s="31"/>
      <c r="G364" s="22"/>
      <c r="H364" s="22"/>
    </row>
    <row r="365" spans="1:8" x14ac:dyDescent="0.3">
      <c r="A365" s="51"/>
      <c r="B365" s="22"/>
      <c r="C365" s="31"/>
      <c r="D365" s="22"/>
      <c r="E365" s="31"/>
      <c r="F365" s="31"/>
      <c r="G365" s="22"/>
      <c r="H365" s="22"/>
    </row>
    <row r="366" spans="1:8" x14ac:dyDescent="0.3">
      <c r="A366" s="51"/>
      <c r="B366" s="22"/>
      <c r="C366" s="31"/>
      <c r="D366" s="22"/>
      <c r="E366" s="31"/>
      <c r="F366" s="31"/>
      <c r="G366" s="22"/>
      <c r="H366" s="22"/>
    </row>
    <row r="367" spans="1:8" x14ac:dyDescent="0.3">
      <c r="A367" s="51"/>
      <c r="B367" s="22"/>
      <c r="C367" s="31"/>
      <c r="D367" s="22"/>
      <c r="E367" s="31"/>
      <c r="F367" s="31"/>
      <c r="G367" s="22"/>
      <c r="H367" s="22"/>
    </row>
    <row r="368" spans="1:8" x14ac:dyDescent="0.3">
      <c r="A368" s="51"/>
      <c r="B368" s="22"/>
      <c r="C368" s="31"/>
      <c r="D368" s="22"/>
      <c r="E368" s="31"/>
      <c r="F368" s="31"/>
      <c r="G368" s="22"/>
      <c r="H368" s="22"/>
    </row>
    <row r="369" spans="1:8" x14ac:dyDescent="0.3">
      <c r="A369" s="51"/>
      <c r="B369" s="22"/>
      <c r="C369" s="31"/>
      <c r="D369" s="22"/>
      <c r="E369" s="31"/>
      <c r="F369" s="31"/>
      <c r="G369" s="22"/>
      <c r="H369" s="22"/>
    </row>
    <row r="370" spans="1:8" x14ac:dyDescent="0.3">
      <c r="A370" s="51"/>
      <c r="B370" s="22"/>
      <c r="C370" s="31"/>
      <c r="D370" s="22"/>
      <c r="E370" s="31"/>
      <c r="F370" s="31"/>
      <c r="G370" s="22"/>
      <c r="H370" s="22"/>
    </row>
    <row r="371" spans="1:8" x14ac:dyDescent="0.3">
      <c r="A371" s="51"/>
      <c r="B371" s="22"/>
      <c r="C371" s="31"/>
      <c r="D371" s="22"/>
      <c r="E371" s="31"/>
      <c r="F371" s="31"/>
      <c r="G371" s="22"/>
      <c r="H371" s="22"/>
    </row>
    <row r="372" spans="1:8" x14ac:dyDescent="0.3">
      <c r="A372" s="51"/>
      <c r="B372" s="22"/>
      <c r="C372" s="31"/>
      <c r="D372" s="22"/>
      <c r="E372" s="31"/>
      <c r="F372" s="31"/>
      <c r="G372" s="22"/>
      <c r="H372" s="22"/>
    </row>
    <row r="373" spans="1:8" x14ac:dyDescent="0.3">
      <c r="A373" s="51"/>
      <c r="B373" s="22"/>
      <c r="C373" s="31"/>
      <c r="D373" s="22"/>
      <c r="E373" s="31"/>
      <c r="F373" s="31"/>
      <c r="G373" s="22"/>
      <c r="H373" s="22"/>
    </row>
    <row r="374" spans="1:8" x14ac:dyDescent="0.3">
      <c r="A374" s="51"/>
      <c r="B374" s="22"/>
      <c r="C374" s="31"/>
      <c r="D374" s="22"/>
      <c r="E374" s="31"/>
      <c r="F374" s="31"/>
      <c r="G374" s="22"/>
      <c r="H374" s="22"/>
    </row>
    <row r="375" spans="1:8" x14ac:dyDescent="0.3">
      <c r="A375" s="51"/>
      <c r="B375" s="22"/>
      <c r="C375" s="31"/>
      <c r="D375" s="22"/>
      <c r="E375" s="31"/>
      <c r="F375" s="31"/>
      <c r="G375" s="22"/>
      <c r="H375" s="22"/>
    </row>
    <row r="376" spans="1:8" x14ac:dyDescent="0.3">
      <c r="A376" s="51"/>
      <c r="B376" s="22"/>
      <c r="C376" s="31"/>
      <c r="D376" s="22"/>
      <c r="E376" s="31"/>
      <c r="F376" s="31"/>
      <c r="G376" s="22"/>
      <c r="H376" s="22"/>
    </row>
    <row r="377" spans="1:8" x14ac:dyDescent="0.3">
      <c r="A377" s="51"/>
      <c r="B377" s="22"/>
      <c r="C377" s="31"/>
      <c r="D377" s="22"/>
      <c r="E377" s="31"/>
      <c r="F377" s="31"/>
      <c r="G377" s="22"/>
      <c r="H377" s="22"/>
    </row>
    <row r="378" spans="1:8" x14ac:dyDescent="0.3">
      <c r="A378" s="51"/>
      <c r="B378" s="22"/>
      <c r="C378" s="31"/>
      <c r="D378" s="22"/>
      <c r="E378" s="31"/>
      <c r="F378" s="31"/>
      <c r="G378" s="22"/>
      <c r="H378" s="22"/>
    </row>
    <row r="379" spans="1:8" x14ac:dyDescent="0.3">
      <c r="A379" s="51"/>
      <c r="B379" s="22"/>
      <c r="C379" s="31"/>
      <c r="D379" s="22"/>
      <c r="E379" s="31"/>
      <c r="F379" s="31"/>
      <c r="G379" s="22"/>
      <c r="H379" s="22"/>
    </row>
    <row r="380" spans="1:8" x14ac:dyDescent="0.3">
      <c r="A380" s="51"/>
      <c r="B380" s="22"/>
      <c r="C380" s="31"/>
      <c r="D380" s="22"/>
      <c r="E380" s="31"/>
      <c r="F380" s="31"/>
      <c r="G380" s="22"/>
      <c r="H380" s="22"/>
    </row>
    <row r="381" spans="1:8" x14ac:dyDescent="0.3">
      <c r="A381" s="51"/>
      <c r="B381" s="22"/>
      <c r="C381" s="31"/>
      <c r="D381" s="22"/>
      <c r="E381" s="31"/>
      <c r="F381" s="31"/>
      <c r="G381" s="22"/>
      <c r="H381" s="22"/>
    </row>
    <row r="382" spans="1:8" x14ac:dyDescent="0.3">
      <c r="A382" s="51"/>
      <c r="B382" s="22"/>
      <c r="C382" s="31"/>
      <c r="D382" s="22"/>
      <c r="E382" s="31"/>
      <c r="F382" s="31"/>
      <c r="G382" s="22"/>
      <c r="H382" s="22"/>
    </row>
    <row r="383" spans="1:8" x14ac:dyDescent="0.3">
      <c r="A383" s="51"/>
      <c r="B383" s="22"/>
      <c r="C383" s="31"/>
      <c r="D383" s="22"/>
      <c r="E383" s="31"/>
      <c r="F383" s="31"/>
      <c r="G383" s="22"/>
      <c r="H383" s="22"/>
    </row>
    <row r="384" spans="1:8" x14ac:dyDescent="0.3">
      <c r="A384" s="51"/>
      <c r="B384" s="22"/>
      <c r="C384" s="31"/>
      <c r="D384" s="22"/>
      <c r="E384" s="31"/>
      <c r="F384" s="31"/>
      <c r="G384" s="22"/>
      <c r="H384" s="22"/>
    </row>
    <row r="385" spans="1:8" x14ac:dyDescent="0.3">
      <c r="A385" s="51"/>
      <c r="B385" s="22"/>
      <c r="C385" s="31"/>
      <c r="D385" s="22"/>
      <c r="E385" s="31"/>
      <c r="F385" s="31"/>
      <c r="G385" s="22"/>
      <c r="H385" s="22"/>
    </row>
    <row r="386" spans="1:8" x14ac:dyDescent="0.3">
      <c r="A386" s="51"/>
      <c r="B386" s="22"/>
      <c r="C386" s="31"/>
      <c r="D386" s="22"/>
      <c r="E386" s="31"/>
      <c r="F386" s="31"/>
      <c r="G386" s="22"/>
      <c r="H386" s="22"/>
    </row>
    <row r="387" spans="1:8" x14ac:dyDescent="0.3">
      <c r="A387" s="51"/>
      <c r="B387" s="22"/>
      <c r="C387" s="31"/>
      <c r="D387" s="22"/>
      <c r="E387" s="31"/>
      <c r="F387" s="31"/>
      <c r="G387" s="22"/>
      <c r="H387" s="22"/>
    </row>
    <row r="388" spans="1:8" x14ac:dyDescent="0.3">
      <c r="A388" s="51"/>
      <c r="B388" s="22"/>
      <c r="C388" s="31"/>
      <c r="D388" s="22"/>
      <c r="E388" s="31"/>
      <c r="F388" s="31"/>
      <c r="G388" s="22"/>
      <c r="H388" s="22"/>
    </row>
    <row r="389" spans="1:8" x14ac:dyDescent="0.3">
      <c r="A389" s="51"/>
      <c r="B389" s="22"/>
      <c r="C389" s="31"/>
      <c r="D389" s="22"/>
      <c r="E389" s="31"/>
      <c r="F389" s="31"/>
      <c r="G389" s="22"/>
      <c r="H389" s="22"/>
    </row>
    <row r="390" spans="1:8" x14ac:dyDescent="0.3">
      <c r="A390" s="51"/>
      <c r="B390" s="22"/>
      <c r="C390" s="31"/>
      <c r="D390" s="22"/>
      <c r="E390" s="31"/>
      <c r="F390" s="31"/>
      <c r="G390" s="22"/>
      <c r="H390" s="22"/>
    </row>
    <row r="391" spans="1:8" x14ac:dyDescent="0.3">
      <c r="A391" s="51"/>
      <c r="B391" s="22"/>
      <c r="C391" s="31"/>
      <c r="D391" s="22"/>
      <c r="E391" s="31"/>
      <c r="F391" s="31"/>
      <c r="G391" s="22"/>
      <c r="H391" s="22"/>
    </row>
    <row r="392" spans="1:8" x14ac:dyDescent="0.3">
      <c r="A392" s="51"/>
      <c r="B392" s="22"/>
      <c r="C392" s="31"/>
      <c r="D392" s="22"/>
      <c r="E392" s="31"/>
      <c r="F392" s="31"/>
      <c r="G392" s="22"/>
      <c r="H392" s="22"/>
    </row>
    <row r="393" spans="1:8" x14ac:dyDescent="0.3">
      <c r="A393" s="51"/>
      <c r="B393" s="22"/>
      <c r="C393" s="31"/>
      <c r="D393" s="22"/>
      <c r="E393" s="31"/>
      <c r="F393" s="31"/>
      <c r="G393" s="22"/>
      <c r="H393" s="22"/>
    </row>
    <row r="394" spans="1:8" x14ac:dyDescent="0.3">
      <c r="A394" s="51"/>
      <c r="B394" s="22"/>
      <c r="C394" s="31"/>
      <c r="D394" s="22"/>
      <c r="E394" s="31"/>
      <c r="F394" s="31"/>
      <c r="G394" s="22"/>
      <c r="H394" s="22"/>
    </row>
    <row r="395" spans="1:8" x14ac:dyDescent="0.3">
      <c r="A395" s="51"/>
      <c r="B395" s="22"/>
      <c r="C395" s="31"/>
      <c r="D395" s="22"/>
      <c r="E395" s="31"/>
      <c r="F395" s="31"/>
      <c r="G395" s="22"/>
      <c r="H395" s="22"/>
    </row>
    <row r="396" spans="1:8" x14ac:dyDescent="0.3">
      <c r="A396" s="51"/>
      <c r="B396" s="22"/>
      <c r="C396" s="31"/>
      <c r="D396" s="22"/>
      <c r="E396" s="31"/>
      <c r="F396" s="31"/>
      <c r="G396" s="22"/>
      <c r="H396" s="22"/>
    </row>
    <row r="397" spans="1:8" x14ac:dyDescent="0.3">
      <c r="A397" s="51"/>
      <c r="B397" s="22"/>
      <c r="C397" s="31"/>
      <c r="D397" s="22"/>
      <c r="E397" s="31"/>
      <c r="F397" s="31"/>
      <c r="G397" s="22"/>
      <c r="H397" s="22"/>
    </row>
    <row r="398" spans="1:8" x14ac:dyDescent="0.3">
      <c r="A398" s="51"/>
      <c r="B398" s="22"/>
      <c r="C398" s="31"/>
      <c r="D398" s="22"/>
      <c r="E398" s="31"/>
      <c r="F398" s="31"/>
      <c r="G398" s="22"/>
      <c r="H398" s="22"/>
    </row>
    <row r="399" spans="1:8" x14ac:dyDescent="0.3">
      <c r="A399" s="51"/>
      <c r="B399" s="22"/>
      <c r="C399" s="31"/>
      <c r="D399" s="22"/>
      <c r="E399" s="31"/>
      <c r="F399" s="31"/>
      <c r="G399" s="22"/>
      <c r="H399" s="22"/>
    </row>
    <row r="400" spans="1:8" x14ac:dyDescent="0.3">
      <c r="A400" s="51"/>
      <c r="B400" s="22"/>
      <c r="C400" s="31"/>
      <c r="D400" s="22"/>
      <c r="E400" s="31"/>
      <c r="F400" s="31"/>
      <c r="G400" s="22"/>
      <c r="H400" s="22"/>
    </row>
    <row r="401" spans="1:8" x14ac:dyDescent="0.3">
      <c r="A401" s="51"/>
      <c r="B401" s="22"/>
      <c r="C401" s="31"/>
      <c r="D401" s="22"/>
      <c r="E401" s="31"/>
      <c r="F401" s="31"/>
      <c r="G401" s="22"/>
      <c r="H401" s="22"/>
    </row>
    <row r="402" spans="1:8" x14ac:dyDescent="0.3">
      <c r="A402" s="51"/>
      <c r="B402" s="22"/>
      <c r="C402" s="31"/>
      <c r="D402" s="22"/>
      <c r="E402" s="31"/>
      <c r="F402" s="31"/>
      <c r="G402" s="22"/>
      <c r="H402" s="22"/>
    </row>
    <row r="403" spans="1:8" x14ac:dyDescent="0.3">
      <c r="A403" s="51"/>
      <c r="B403" s="22"/>
      <c r="C403" s="31"/>
      <c r="D403" s="22"/>
      <c r="E403" s="31"/>
      <c r="F403" s="31"/>
      <c r="G403" s="22"/>
      <c r="H403" s="22"/>
    </row>
    <row r="404" spans="1:8" x14ac:dyDescent="0.3">
      <c r="A404" s="51"/>
      <c r="B404" s="22"/>
      <c r="C404" s="31"/>
      <c r="D404" s="22"/>
      <c r="E404" s="31"/>
      <c r="F404" s="31"/>
      <c r="G404" s="22"/>
      <c r="H404" s="22"/>
    </row>
    <row r="405" spans="1:8" x14ac:dyDescent="0.3">
      <c r="A405" s="51"/>
      <c r="B405" s="22"/>
      <c r="C405" s="31"/>
      <c r="D405" s="22"/>
      <c r="E405" s="31"/>
      <c r="F405" s="31"/>
      <c r="G405" s="22"/>
      <c r="H405" s="22"/>
    </row>
    <row r="406" spans="1:8" x14ac:dyDescent="0.3">
      <c r="A406" s="51"/>
      <c r="B406" s="22"/>
      <c r="C406" s="31"/>
      <c r="D406" s="22"/>
      <c r="E406" s="31"/>
      <c r="F406" s="31"/>
      <c r="G406" s="22"/>
      <c r="H406" s="22"/>
    </row>
    <row r="407" spans="1:8" x14ac:dyDescent="0.3">
      <c r="A407" s="51"/>
      <c r="B407" s="22"/>
      <c r="C407" s="31"/>
      <c r="D407" s="22"/>
      <c r="E407" s="31"/>
      <c r="F407" s="31"/>
      <c r="G407" s="22"/>
      <c r="H407" s="22"/>
    </row>
    <row r="408" spans="1:8" x14ac:dyDescent="0.3">
      <c r="A408" s="51"/>
      <c r="B408" s="22"/>
      <c r="C408" s="31"/>
      <c r="D408" s="22"/>
      <c r="E408" s="31"/>
      <c r="F408" s="31"/>
      <c r="G408" s="22"/>
      <c r="H408" s="22"/>
    </row>
    <row r="409" spans="1:8" x14ac:dyDescent="0.3">
      <c r="A409" s="51"/>
      <c r="B409" s="22"/>
      <c r="C409" s="31"/>
      <c r="D409" s="22"/>
      <c r="E409" s="31"/>
      <c r="F409" s="31"/>
      <c r="G409" s="22"/>
      <c r="H409" s="22"/>
    </row>
    <row r="410" spans="1:8" x14ac:dyDescent="0.3">
      <c r="A410" s="51"/>
      <c r="B410" s="22"/>
      <c r="C410" s="31"/>
      <c r="D410" s="22"/>
      <c r="E410" s="31"/>
      <c r="F410" s="31"/>
      <c r="G410" s="22"/>
      <c r="H410" s="22"/>
    </row>
    <row r="411" spans="1:8" x14ac:dyDescent="0.3">
      <c r="A411" s="51"/>
      <c r="B411" s="22"/>
      <c r="C411" s="31"/>
      <c r="D411" s="22"/>
      <c r="E411" s="31"/>
      <c r="F411" s="31"/>
      <c r="G411" s="22"/>
      <c r="H411" s="22"/>
    </row>
    <row r="412" spans="1:8" x14ac:dyDescent="0.3">
      <c r="A412" s="51"/>
      <c r="B412" s="22"/>
      <c r="C412" s="31"/>
      <c r="D412" s="22"/>
      <c r="E412" s="31"/>
      <c r="F412" s="31"/>
      <c r="G412" s="22"/>
      <c r="H412" s="22"/>
    </row>
    <row r="413" spans="1:8" x14ac:dyDescent="0.3">
      <c r="A413" s="51"/>
      <c r="B413" s="22"/>
      <c r="C413" s="31"/>
      <c r="D413" s="22"/>
      <c r="E413" s="31"/>
      <c r="F413" s="31"/>
      <c r="G413" s="22"/>
      <c r="H413" s="22"/>
    </row>
    <row r="414" spans="1:8" x14ac:dyDescent="0.3">
      <c r="A414" s="51"/>
      <c r="B414" s="22"/>
      <c r="C414" s="31"/>
      <c r="D414" s="22"/>
      <c r="E414" s="31"/>
      <c r="F414" s="31"/>
      <c r="G414" s="22"/>
      <c r="H414" s="22"/>
    </row>
    <row r="415" spans="1:8" x14ac:dyDescent="0.3">
      <c r="A415" s="51"/>
      <c r="B415" s="22"/>
      <c r="C415" s="31"/>
      <c r="D415" s="22"/>
      <c r="E415" s="31"/>
      <c r="F415" s="31"/>
      <c r="G415" s="22"/>
      <c r="H415" s="22"/>
    </row>
    <row r="416" spans="1:8" x14ac:dyDescent="0.3">
      <c r="A416" s="51"/>
      <c r="B416" s="22"/>
      <c r="C416" s="31"/>
      <c r="D416" s="22"/>
      <c r="E416" s="31"/>
      <c r="F416" s="31"/>
      <c r="G416" s="22"/>
      <c r="H416" s="22"/>
    </row>
    <row r="417" spans="1:8" x14ac:dyDescent="0.3">
      <c r="A417" s="51"/>
      <c r="B417" s="22"/>
      <c r="C417" s="31"/>
      <c r="D417" s="22"/>
      <c r="E417" s="31"/>
      <c r="F417" s="31"/>
      <c r="G417" s="22"/>
      <c r="H417" s="22"/>
    </row>
    <row r="418" spans="1:8" x14ac:dyDescent="0.3">
      <c r="A418" s="51"/>
      <c r="B418" s="22"/>
      <c r="C418" s="31"/>
      <c r="D418" s="22"/>
      <c r="E418" s="31"/>
      <c r="F418" s="31"/>
      <c r="G418" s="22"/>
      <c r="H418" s="22"/>
    </row>
    <row r="419" spans="1:8" x14ac:dyDescent="0.3">
      <c r="A419" s="51"/>
      <c r="B419" s="22"/>
      <c r="C419" s="31"/>
      <c r="D419" s="22"/>
      <c r="E419" s="31"/>
      <c r="F419" s="31"/>
      <c r="G419" s="22"/>
      <c r="H419" s="22"/>
    </row>
    <row r="420" spans="1:8" x14ac:dyDescent="0.3">
      <c r="A420" s="51"/>
      <c r="B420" s="22"/>
      <c r="C420" s="31"/>
      <c r="D420" s="22"/>
      <c r="E420" s="31"/>
      <c r="F420" s="31"/>
      <c r="G420" s="22"/>
      <c r="H420" s="22"/>
    </row>
    <row r="421" spans="1:8" x14ac:dyDescent="0.3">
      <c r="A421" s="51"/>
      <c r="B421" s="22"/>
      <c r="C421" s="31"/>
      <c r="D421" s="22"/>
      <c r="E421" s="31"/>
      <c r="F421" s="31"/>
      <c r="G421" s="22"/>
      <c r="H421" s="22"/>
    </row>
    <row r="422" spans="1:8" x14ac:dyDescent="0.3">
      <c r="A422" s="51"/>
      <c r="B422" s="22"/>
      <c r="C422" s="31"/>
      <c r="D422" s="22"/>
      <c r="E422" s="31"/>
      <c r="F422" s="31"/>
      <c r="G422" s="22"/>
      <c r="H422" s="22"/>
    </row>
    <row r="423" spans="1:8" x14ac:dyDescent="0.3">
      <c r="A423" s="51"/>
      <c r="B423" s="22"/>
      <c r="C423" s="31"/>
      <c r="D423" s="22"/>
      <c r="E423" s="31"/>
      <c r="F423" s="31"/>
      <c r="G423" s="22"/>
      <c r="H423" s="22"/>
    </row>
    <row r="424" spans="1:8" x14ac:dyDescent="0.3">
      <c r="A424" s="51"/>
      <c r="B424" s="22"/>
      <c r="C424" s="31"/>
      <c r="D424" s="22"/>
      <c r="E424" s="31"/>
      <c r="F424" s="31"/>
      <c r="G424" s="22"/>
      <c r="H424" s="22"/>
    </row>
    <row r="425" spans="1:8" x14ac:dyDescent="0.3">
      <c r="A425" s="51"/>
      <c r="B425" s="22"/>
      <c r="C425" s="31"/>
      <c r="D425" s="22"/>
      <c r="E425" s="31"/>
      <c r="F425" s="31"/>
      <c r="G425" s="22"/>
      <c r="H425" s="22"/>
    </row>
    <row r="426" spans="1:8" x14ac:dyDescent="0.3">
      <c r="A426" s="51"/>
      <c r="B426" s="22"/>
      <c r="C426" s="31"/>
      <c r="D426" s="22"/>
      <c r="E426" s="31"/>
      <c r="F426" s="31"/>
      <c r="G426" s="22"/>
      <c r="H426" s="22"/>
    </row>
    <row r="427" spans="1:8" x14ac:dyDescent="0.3">
      <c r="A427" s="51"/>
      <c r="B427" s="22"/>
      <c r="C427" s="31"/>
      <c r="D427" s="22"/>
      <c r="E427" s="31"/>
      <c r="F427" s="31"/>
      <c r="G427" s="22"/>
      <c r="H427" s="22"/>
    </row>
    <row r="428" spans="1:8" x14ac:dyDescent="0.3">
      <c r="A428" s="51"/>
      <c r="B428" s="22"/>
      <c r="C428" s="31"/>
      <c r="D428" s="22"/>
      <c r="E428" s="31"/>
      <c r="F428" s="31"/>
      <c r="G428" s="22"/>
      <c r="H428" s="22"/>
    </row>
    <row r="429" spans="1:8" x14ac:dyDescent="0.3">
      <c r="A429" s="51"/>
      <c r="B429" s="22"/>
      <c r="C429" s="31"/>
      <c r="D429" s="22"/>
      <c r="E429" s="31"/>
      <c r="F429" s="31"/>
      <c r="G429" s="22"/>
      <c r="H429" s="22"/>
    </row>
    <row r="430" spans="1:8" x14ac:dyDescent="0.3">
      <c r="A430" s="51"/>
      <c r="B430" s="22"/>
      <c r="C430" s="31"/>
      <c r="D430" s="22"/>
      <c r="E430" s="31"/>
      <c r="F430" s="31"/>
      <c r="G430" s="22"/>
      <c r="H430" s="22"/>
    </row>
    <row r="431" spans="1:8" x14ac:dyDescent="0.3">
      <c r="A431" s="51"/>
      <c r="B431" s="22"/>
      <c r="C431" s="31"/>
      <c r="D431" s="22"/>
      <c r="E431" s="31"/>
      <c r="F431" s="31"/>
      <c r="G431" s="22"/>
      <c r="H431" s="22"/>
    </row>
    <row r="432" spans="1:8" x14ac:dyDescent="0.3">
      <c r="A432" s="51"/>
      <c r="B432" s="22"/>
      <c r="C432" s="31"/>
      <c r="D432" s="22"/>
      <c r="E432" s="31"/>
      <c r="F432" s="31"/>
      <c r="G432" s="22"/>
      <c r="H432" s="22"/>
    </row>
    <row r="433" spans="1:8" x14ac:dyDescent="0.3">
      <c r="A433" s="51"/>
      <c r="B433" s="22"/>
      <c r="C433" s="31"/>
      <c r="D433" s="22"/>
      <c r="E433" s="31"/>
      <c r="F433" s="31"/>
      <c r="G433" s="22"/>
      <c r="H433" s="22"/>
    </row>
    <row r="434" spans="1:8" x14ac:dyDescent="0.3">
      <c r="A434" s="51"/>
      <c r="B434" s="22"/>
      <c r="C434" s="31"/>
      <c r="D434" s="22"/>
      <c r="E434" s="31"/>
      <c r="F434" s="31"/>
      <c r="G434" s="22"/>
      <c r="H434" s="22"/>
    </row>
    <row r="435" spans="1:8" x14ac:dyDescent="0.3">
      <c r="A435" s="51"/>
      <c r="B435" s="22"/>
      <c r="C435" s="31"/>
      <c r="D435" s="22"/>
      <c r="E435" s="31"/>
      <c r="F435" s="31"/>
      <c r="G435" s="22"/>
      <c r="H435" s="22"/>
    </row>
    <row r="436" spans="1:8" x14ac:dyDescent="0.3">
      <c r="A436" s="51"/>
      <c r="B436" s="22"/>
      <c r="C436" s="31"/>
      <c r="D436" s="22"/>
      <c r="E436" s="31"/>
      <c r="F436" s="31"/>
      <c r="G436" s="22"/>
      <c r="H436" s="22"/>
    </row>
    <row r="437" spans="1:8" x14ac:dyDescent="0.3">
      <c r="A437" s="51"/>
      <c r="B437" s="22"/>
      <c r="C437" s="31"/>
      <c r="D437" s="22"/>
      <c r="E437" s="31"/>
      <c r="F437" s="31"/>
      <c r="G437" s="22"/>
      <c r="H437" s="22"/>
    </row>
    <row r="438" spans="1:8" x14ac:dyDescent="0.3">
      <c r="A438" s="51"/>
      <c r="B438" s="22"/>
      <c r="C438" s="31"/>
      <c r="D438" s="22"/>
      <c r="E438" s="31"/>
      <c r="F438" s="31"/>
      <c r="G438" s="22"/>
      <c r="H438" s="22"/>
    </row>
    <row r="439" spans="1:8" x14ac:dyDescent="0.3">
      <c r="A439" s="51"/>
      <c r="B439" s="22"/>
      <c r="C439" s="31"/>
      <c r="D439" s="22"/>
      <c r="E439" s="31"/>
      <c r="F439" s="31"/>
      <c r="G439" s="22"/>
      <c r="H439" s="22"/>
    </row>
    <row r="440" spans="1:8" x14ac:dyDescent="0.3">
      <c r="A440" s="51"/>
      <c r="B440" s="22"/>
      <c r="C440" s="31"/>
      <c r="D440" s="22"/>
      <c r="E440" s="31"/>
      <c r="F440" s="31"/>
      <c r="G440" s="22"/>
      <c r="H440" s="22"/>
    </row>
    <row r="441" spans="1:8" x14ac:dyDescent="0.3">
      <c r="A441" s="51"/>
      <c r="B441" s="22"/>
      <c r="C441" s="31"/>
      <c r="D441" s="22"/>
      <c r="E441" s="31"/>
      <c r="F441" s="31"/>
      <c r="G441" s="22"/>
      <c r="H441" s="22"/>
    </row>
    <row r="442" spans="1:8" x14ac:dyDescent="0.3">
      <c r="A442" s="51"/>
      <c r="B442" s="22"/>
      <c r="C442" s="31"/>
      <c r="D442" s="22"/>
      <c r="E442" s="31"/>
      <c r="F442" s="31"/>
      <c r="G442" s="22"/>
      <c r="H442" s="22"/>
    </row>
    <row r="443" spans="1:8" x14ac:dyDescent="0.3">
      <c r="A443" s="51"/>
      <c r="B443" s="22"/>
      <c r="C443" s="31"/>
      <c r="D443" s="22"/>
      <c r="E443" s="31"/>
      <c r="F443" s="31"/>
      <c r="G443" s="22"/>
      <c r="H443" s="22"/>
    </row>
    <row r="444" spans="1:8" x14ac:dyDescent="0.3">
      <c r="A444" s="51"/>
      <c r="B444" s="22"/>
      <c r="C444" s="31"/>
      <c r="D444" s="22"/>
      <c r="E444" s="31"/>
      <c r="F444" s="31"/>
      <c r="G444" s="22"/>
      <c r="H444" s="22"/>
    </row>
    <row r="445" spans="1:8" x14ac:dyDescent="0.3">
      <c r="A445" s="51"/>
      <c r="B445" s="22"/>
      <c r="C445" s="31"/>
      <c r="D445" s="22"/>
      <c r="E445" s="31"/>
      <c r="F445" s="31"/>
      <c r="G445" s="22"/>
      <c r="H445" s="22"/>
    </row>
    <row r="446" spans="1:8" x14ac:dyDescent="0.3">
      <c r="A446" s="51"/>
      <c r="B446" s="22"/>
      <c r="C446" s="31"/>
      <c r="D446" s="22"/>
      <c r="E446" s="31"/>
      <c r="F446" s="31"/>
      <c r="G446" s="22"/>
      <c r="H446" s="22"/>
    </row>
    <row r="447" spans="1:8" x14ac:dyDescent="0.3">
      <c r="A447" s="51"/>
      <c r="B447" s="22"/>
      <c r="C447" s="31"/>
      <c r="D447" s="22"/>
      <c r="E447" s="31"/>
      <c r="F447" s="31"/>
      <c r="G447" s="22"/>
      <c r="H447" s="22"/>
    </row>
    <row r="448" spans="1:8" x14ac:dyDescent="0.3">
      <c r="A448" s="51"/>
      <c r="B448" s="22"/>
      <c r="C448" s="31"/>
      <c r="D448" s="22"/>
      <c r="E448" s="31"/>
      <c r="F448" s="31"/>
      <c r="G448" s="22"/>
      <c r="H448" s="22"/>
    </row>
    <row r="449" spans="1:8" x14ac:dyDescent="0.3">
      <c r="A449" s="51"/>
      <c r="B449" s="22"/>
      <c r="C449" s="31"/>
      <c r="D449" s="22"/>
      <c r="E449" s="31"/>
      <c r="F449" s="31"/>
      <c r="G449" s="22"/>
      <c r="H449" s="22"/>
    </row>
    <row r="450" spans="1:8" x14ac:dyDescent="0.3">
      <c r="A450" s="51"/>
      <c r="B450" s="22"/>
      <c r="C450" s="31"/>
      <c r="D450" s="22"/>
      <c r="E450" s="31"/>
      <c r="F450" s="31"/>
      <c r="G450" s="22"/>
      <c r="H450" s="22"/>
    </row>
    <row r="451" spans="1:8" x14ac:dyDescent="0.3">
      <c r="A451" s="51"/>
      <c r="B451" s="22"/>
      <c r="C451" s="31"/>
      <c r="D451" s="22"/>
      <c r="E451" s="31"/>
      <c r="F451" s="31"/>
      <c r="G451" s="22"/>
      <c r="H451" s="22"/>
    </row>
    <row r="452" spans="1:8" x14ac:dyDescent="0.3">
      <c r="A452" s="51"/>
      <c r="B452" s="22"/>
      <c r="C452" s="31"/>
      <c r="D452" s="22"/>
      <c r="E452" s="31"/>
      <c r="F452" s="31"/>
      <c r="G452" s="22"/>
      <c r="H452" s="22"/>
    </row>
    <row r="453" spans="1:8" x14ac:dyDescent="0.3">
      <c r="A453" s="51"/>
      <c r="B453" s="22"/>
      <c r="C453" s="31"/>
      <c r="D453" s="22"/>
      <c r="E453" s="31"/>
      <c r="F453" s="31"/>
      <c r="G453" s="22"/>
      <c r="H453" s="22"/>
    </row>
    <row r="454" spans="1:8" x14ac:dyDescent="0.3">
      <c r="A454" s="51"/>
      <c r="B454" s="22"/>
      <c r="C454" s="31"/>
      <c r="D454" s="22"/>
      <c r="E454" s="31"/>
      <c r="F454" s="31"/>
      <c r="G454" s="22"/>
      <c r="H454" s="22"/>
    </row>
    <row r="455" spans="1:8" x14ac:dyDescent="0.3">
      <c r="A455" s="51"/>
      <c r="B455" s="22"/>
      <c r="C455" s="31"/>
      <c r="D455" s="22"/>
      <c r="E455" s="31"/>
      <c r="F455" s="31"/>
      <c r="G455" s="22"/>
      <c r="H455" s="22"/>
    </row>
    <row r="456" spans="1:8" x14ac:dyDescent="0.3">
      <c r="A456" s="51"/>
      <c r="B456" s="22"/>
      <c r="C456" s="31"/>
      <c r="D456" s="22"/>
      <c r="E456" s="31"/>
      <c r="F456" s="31"/>
      <c r="G456" s="22"/>
      <c r="H456" s="22"/>
    </row>
    <row r="457" spans="1:8" x14ac:dyDescent="0.3">
      <c r="A457" s="51"/>
      <c r="B457" s="22"/>
      <c r="C457" s="31"/>
      <c r="D457" s="22"/>
      <c r="E457" s="31"/>
      <c r="F457" s="31"/>
      <c r="G457" s="22"/>
      <c r="H457" s="22"/>
    </row>
    <row r="458" spans="1:8" x14ac:dyDescent="0.3">
      <c r="A458" s="51"/>
      <c r="B458" s="22"/>
      <c r="C458" s="31"/>
      <c r="D458" s="22"/>
      <c r="E458" s="31"/>
      <c r="F458" s="31"/>
      <c r="G458" s="22"/>
      <c r="H458" s="22"/>
    </row>
    <row r="459" spans="1:8" x14ac:dyDescent="0.3">
      <c r="A459" s="51"/>
      <c r="B459" s="22"/>
      <c r="C459" s="31"/>
      <c r="D459" s="22"/>
      <c r="E459" s="31"/>
      <c r="F459" s="31"/>
      <c r="G459" s="22"/>
      <c r="H459" s="22"/>
    </row>
    <row r="460" spans="1:8" x14ac:dyDescent="0.3">
      <c r="A460" s="51"/>
      <c r="B460" s="22"/>
      <c r="C460" s="31"/>
      <c r="D460" s="22"/>
      <c r="E460" s="31"/>
      <c r="F460" s="31"/>
      <c r="G460" s="22"/>
      <c r="H460" s="22"/>
    </row>
    <row r="461" spans="1:8" x14ac:dyDescent="0.3">
      <c r="A461" s="51"/>
      <c r="B461" s="22"/>
      <c r="C461" s="31"/>
      <c r="D461" s="22"/>
      <c r="E461" s="31"/>
      <c r="F461" s="31"/>
      <c r="G461" s="22"/>
      <c r="H461" s="22"/>
    </row>
    <row r="462" spans="1:8" x14ac:dyDescent="0.3">
      <c r="A462" s="51"/>
      <c r="B462" s="22"/>
      <c r="C462" s="31"/>
      <c r="D462" s="22"/>
      <c r="E462" s="31"/>
      <c r="F462" s="31"/>
      <c r="G462" s="22"/>
      <c r="H462" s="22"/>
    </row>
    <row r="463" spans="1:8" x14ac:dyDescent="0.3">
      <c r="A463" s="51"/>
      <c r="B463" s="22"/>
      <c r="C463" s="31"/>
      <c r="D463" s="22"/>
      <c r="E463" s="31"/>
      <c r="F463" s="31"/>
      <c r="G463" s="22"/>
      <c r="H463" s="22"/>
    </row>
    <row r="464" spans="1:8" x14ac:dyDescent="0.3">
      <c r="A464" s="51"/>
      <c r="B464" s="22"/>
      <c r="C464" s="31"/>
      <c r="D464" s="22"/>
      <c r="E464" s="31"/>
      <c r="F464" s="31"/>
      <c r="G464" s="22"/>
      <c r="H464" s="22"/>
    </row>
    <row r="465" spans="1:8" x14ac:dyDescent="0.3">
      <c r="A465" s="51"/>
      <c r="B465" s="22"/>
      <c r="C465" s="31"/>
      <c r="D465" s="22"/>
      <c r="E465" s="31"/>
      <c r="F465" s="31"/>
      <c r="G465" s="22"/>
      <c r="H465" s="22"/>
    </row>
    <row r="466" spans="1:8" x14ac:dyDescent="0.3">
      <c r="A466" s="51"/>
      <c r="B466" s="22"/>
      <c r="C466" s="31"/>
      <c r="D466" s="22"/>
      <c r="E466" s="31"/>
      <c r="F466" s="31"/>
      <c r="G466" s="22"/>
      <c r="H466" s="22"/>
    </row>
    <row r="467" spans="1:8" x14ac:dyDescent="0.3">
      <c r="A467" s="51"/>
      <c r="B467" s="22"/>
      <c r="C467" s="31"/>
      <c r="D467" s="22"/>
      <c r="E467" s="31"/>
      <c r="F467" s="31"/>
      <c r="G467" s="22"/>
      <c r="H467" s="22"/>
    </row>
    <row r="468" spans="1:8" x14ac:dyDescent="0.3">
      <c r="A468" s="51"/>
      <c r="B468" s="22"/>
      <c r="C468" s="31"/>
      <c r="D468" s="22"/>
      <c r="E468" s="31"/>
      <c r="F468" s="31"/>
      <c r="G468" s="22"/>
      <c r="H468" s="22"/>
    </row>
    <row r="469" spans="1:8" x14ac:dyDescent="0.3">
      <c r="A469" s="51"/>
      <c r="B469" s="22"/>
      <c r="C469" s="31"/>
      <c r="D469" s="22"/>
      <c r="E469" s="31"/>
      <c r="F469" s="31"/>
      <c r="G469" s="22"/>
      <c r="H469" s="22"/>
    </row>
    <row r="470" spans="1:8" x14ac:dyDescent="0.3">
      <c r="A470" s="51"/>
      <c r="B470" s="22"/>
      <c r="C470" s="31"/>
      <c r="D470" s="22"/>
      <c r="E470" s="31"/>
      <c r="F470" s="31"/>
      <c r="G470" s="22"/>
      <c r="H470" s="22"/>
    </row>
    <row r="471" spans="1:8" x14ac:dyDescent="0.3">
      <c r="A471" s="51"/>
      <c r="B471" s="22"/>
      <c r="C471" s="31"/>
      <c r="D471" s="22"/>
      <c r="E471" s="31"/>
      <c r="F471" s="31"/>
      <c r="G471" s="22"/>
      <c r="H471" s="22"/>
    </row>
    <row r="472" spans="1:8" x14ac:dyDescent="0.3">
      <c r="A472" s="51"/>
      <c r="B472" s="22"/>
      <c r="C472" s="31"/>
      <c r="D472" s="22"/>
      <c r="E472" s="31"/>
      <c r="F472" s="31"/>
      <c r="G472" s="22"/>
      <c r="H472" s="22"/>
    </row>
    <row r="473" spans="1:8" x14ac:dyDescent="0.3">
      <c r="A473" s="51"/>
      <c r="B473" s="22"/>
      <c r="C473" s="31"/>
      <c r="D473" s="22"/>
      <c r="E473" s="31"/>
      <c r="F473" s="31"/>
      <c r="G473" s="22"/>
      <c r="H473" s="22"/>
    </row>
    <row r="474" spans="1:8" x14ac:dyDescent="0.3">
      <c r="A474" s="51"/>
      <c r="B474" s="22"/>
      <c r="C474" s="31"/>
      <c r="D474" s="22"/>
      <c r="E474" s="31"/>
      <c r="F474" s="31"/>
      <c r="G474" s="22"/>
      <c r="H474" s="22"/>
    </row>
    <row r="475" spans="1:8" x14ac:dyDescent="0.3">
      <c r="A475" s="51"/>
      <c r="B475" s="22"/>
      <c r="C475" s="31"/>
      <c r="D475" s="22"/>
      <c r="E475" s="31"/>
      <c r="F475" s="31"/>
      <c r="G475" s="22"/>
      <c r="H475" s="22"/>
    </row>
    <row r="476" spans="1:8" x14ac:dyDescent="0.3">
      <c r="A476" s="51"/>
      <c r="B476" s="22"/>
      <c r="C476" s="31"/>
      <c r="D476" s="22"/>
      <c r="E476" s="31"/>
      <c r="F476" s="31"/>
      <c r="G476" s="22"/>
      <c r="H476" s="22"/>
    </row>
    <row r="477" spans="1:8" x14ac:dyDescent="0.3">
      <c r="A477" s="51"/>
      <c r="B477" s="22"/>
      <c r="C477" s="31"/>
      <c r="D477" s="22"/>
      <c r="E477" s="31"/>
      <c r="F477" s="31"/>
      <c r="G477" s="22"/>
      <c r="H477" s="22"/>
    </row>
    <row r="478" spans="1:8" x14ac:dyDescent="0.3">
      <c r="A478" s="51"/>
      <c r="B478" s="22"/>
      <c r="C478" s="31"/>
      <c r="D478" s="22"/>
      <c r="E478" s="31"/>
      <c r="F478" s="31"/>
      <c r="G478" s="22"/>
      <c r="H478" s="22"/>
    </row>
    <row r="479" spans="1:8" x14ac:dyDescent="0.3">
      <c r="A479" s="51"/>
      <c r="B479" s="22"/>
      <c r="C479" s="31"/>
      <c r="D479" s="22"/>
      <c r="E479" s="31"/>
      <c r="F479" s="31"/>
      <c r="G479" s="22"/>
      <c r="H479" s="22"/>
    </row>
    <row r="480" spans="1:8" x14ac:dyDescent="0.3">
      <c r="A480" s="51"/>
      <c r="B480" s="22"/>
      <c r="C480" s="31"/>
      <c r="D480" s="22"/>
      <c r="E480" s="31"/>
      <c r="F480" s="31"/>
      <c r="G480" s="22"/>
      <c r="H480" s="22"/>
    </row>
    <row r="481" spans="1:8" x14ac:dyDescent="0.3">
      <c r="A481" s="51"/>
      <c r="B481" s="22"/>
      <c r="C481" s="31"/>
      <c r="D481" s="22"/>
      <c r="E481" s="31"/>
      <c r="F481" s="31"/>
      <c r="G481" s="22"/>
      <c r="H481" s="22"/>
    </row>
    <row r="482" spans="1:8" x14ac:dyDescent="0.3">
      <c r="A482" s="51"/>
      <c r="B482" s="22"/>
      <c r="C482" s="31"/>
      <c r="D482" s="22"/>
      <c r="E482" s="31"/>
      <c r="F482" s="31"/>
      <c r="G482" s="22"/>
      <c r="H482" s="22"/>
    </row>
    <row r="483" spans="1:8" x14ac:dyDescent="0.3">
      <c r="A483" s="51"/>
      <c r="B483" s="22"/>
      <c r="C483" s="31"/>
      <c r="D483" s="22"/>
      <c r="E483" s="31"/>
      <c r="F483" s="31"/>
      <c r="G483" s="22"/>
      <c r="H483" s="22"/>
    </row>
    <row r="484" spans="1:8" x14ac:dyDescent="0.3">
      <c r="A484" s="51"/>
      <c r="B484" s="22"/>
      <c r="C484" s="31"/>
      <c r="D484" s="22"/>
      <c r="E484" s="31"/>
      <c r="F484" s="31"/>
      <c r="G484" s="22"/>
      <c r="H484" s="22"/>
    </row>
    <row r="485" spans="1:8" x14ac:dyDescent="0.3">
      <c r="A485" s="51"/>
      <c r="B485" s="22"/>
      <c r="C485" s="31"/>
      <c r="D485" s="22"/>
      <c r="E485" s="31"/>
      <c r="F485" s="31"/>
      <c r="G485" s="22"/>
      <c r="H485" s="22"/>
    </row>
    <row r="486" spans="1:8" x14ac:dyDescent="0.3">
      <c r="A486" s="51"/>
      <c r="B486" s="22"/>
      <c r="C486" s="31"/>
      <c r="D486" s="22"/>
      <c r="E486" s="31"/>
      <c r="F486" s="31"/>
      <c r="G486" s="22"/>
      <c r="H486" s="22"/>
    </row>
    <row r="487" spans="1:8" x14ac:dyDescent="0.3">
      <c r="A487" s="51"/>
      <c r="B487" s="22"/>
      <c r="C487" s="31"/>
      <c r="D487" s="22"/>
      <c r="E487" s="31"/>
      <c r="F487" s="31"/>
      <c r="G487" s="22"/>
      <c r="H487" s="22"/>
    </row>
    <row r="488" spans="1:8" x14ac:dyDescent="0.3">
      <c r="A488" s="51"/>
      <c r="B488" s="22"/>
      <c r="C488" s="31"/>
      <c r="D488" s="22"/>
      <c r="E488" s="31"/>
      <c r="F488" s="31"/>
      <c r="G488" s="22"/>
      <c r="H488" s="22"/>
    </row>
    <row r="489" spans="1:8" x14ac:dyDescent="0.3">
      <c r="A489" s="51"/>
      <c r="B489" s="22"/>
      <c r="C489" s="31"/>
      <c r="D489" s="22"/>
      <c r="E489" s="31"/>
      <c r="F489" s="31"/>
      <c r="G489" s="22"/>
      <c r="H489" s="22"/>
    </row>
    <row r="490" spans="1:8" x14ac:dyDescent="0.3">
      <c r="A490" s="51"/>
      <c r="B490" s="22"/>
      <c r="C490" s="31"/>
      <c r="D490" s="22"/>
      <c r="E490" s="31"/>
      <c r="F490" s="31"/>
      <c r="G490" s="22"/>
      <c r="H490" s="22"/>
    </row>
    <row r="491" spans="1:8" x14ac:dyDescent="0.3">
      <c r="A491" s="51"/>
      <c r="B491" s="22"/>
      <c r="C491" s="31"/>
      <c r="D491" s="22"/>
      <c r="E491" s="31"/>
      <c r="F491" s="31"/>
      <c r="G491" s="22"/>
      <c r="H491" s="22"/>
    </row>
    <row r="492" spans="1:8" x14ac:dyDescent="0.3">
      <c r="A492" s="51"/>
      <c r="B492" s="22"/>
      <c r="C492" s="31"/>
      <c r="D492" s="22"/>
      <c r="E492" s="31"/>
      <c r="F492" s="31"/>
      <c r="G492" s="22"/>
      <c r="H492" s="22"/>
    </row>
    <row r="493" spans="1:8" x14ac:dyDescent="0.3">
      <c r="A493" s="51"/>
      <c r="B493" s="22"/>
      <c r="C493" s="31"/>
      <c r="D493" s="22"/>
      <c r="E493" s="31"/>
      <c r="F493" s="31"/>
      <c r="G493" s="22"/>
      <c r="H493" s="22"/>
    </row>
    <row r="494" spans="1:8" x14ac:dyDescent="0.3">
      <c r="A494" s="51"/>
      <c r="B494" s="22"/>
      <c r="C494" s="31"/>
      <c r="D494" s="22"/>
      <c r="E494" s="31"/>
      <c r="F494" s="31"/>
      <c r="G494" s="22"/>
      <c r="H494" s="22"/>
    </row>
    <row r="495" spans="1:8" x14ac:dyDescent="0.3">
      <c r="A495" s="51"/>
      <c r="B495" s="22"/>
      <c r="C495" s="31"/>
      <c r="D495" s="22"/>
      <c r="E495" s="31"/>
      <c r="F495" s="31"/>
      <c r="G495" s="22"/>
      <c r="H495" s="22"/>
    </row>
    <row r="496" spans="1:8" x14ac:dyDescent="0.3">
      <c r="A496" s="51"/>
      <c r="B496" s="22"/>
      <c r="C496" s="31"/>
      <c r="D496" s="22"/>
      <c r="E496" s="31"/>
      <c r="F496" s="31"/>
      <c r="G496" s="22"/>
      <c r="H496" s="22"/>
    </row>
    <row r="497" spans="1:8" x14ac:dyDescent="0.3">
      <c r="A497" s="59"/>
      <c r="B497" s="59"/>
      <c r="C497" s="59"/>
      <c r="D497" s="59"/>
      <c r="E497" s="59"/>
      <c r="F497" s="59"/>
      <c r="G497" s="59"/>
      <c r="H497" s="5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20528-6D8E-43C2-8681-B1274CF9A492}">
  <sheetPr codeName="Sheet7"/>
  <dimension ref="A1:G497"/>
  <sheetViews>
    <sheetView workbookViewId="0">
      <selection activeCell="E11" sqref="E11"/>
    </sheetView>
  </sheetViews>
  <sheetFormatPr defaultRowHeight="14.4" x14ac:dyDescent="0.3"/>
  <cols>
    <col min="1" max="1" width="20.6640625" style="21" customWidth="1"/>
    <col min="2" max="2" width="20.6640625" style="64" customWidth="1"/>
    <col min="3" max="7" width="20.6640625" style="21" customWidth="1"/>
  </cols>
  <sheetData>
    <row r="1" spans="1:7" x14ac:dyDescent="0.3">
      <c r="A1" s="50" t="s">
        <v>0</v>
      </c>
      <c r="B1" s="61" t="s">
        <v>270</v>
      </c>
      <c r="C1" s="50" t="s">
        <v>271</v>
      </c>
      <c r="D1" s="50" t="s">
        <v>272</v>
      </c>
      <c r="E1" s="50"/>
      <c r="F1" s="50"/>
      <c r="G1" s="50" t="s">
        <v>7</v>
      </c>
    </row>
    <row r="2" spans="1:7" x14ac:dyDescent="0.3">
      <c r="A2" s="51" t="s">
        <v>273</v>
      </c>
      <c r="B2" s="22">
        <v>2205</v>
      </c>
      <c r="C2" s="52">
        <v>1093.68</v>
      </c>
      <c r="D2" s="52">
        <f>B2*C2</f>
        <v>2411564.4000000004</v>
      </c>
      <c r="E2" s="52"/>
      <c r="F2" s="60"/>
      <c r="G2" s="22"/>
    </row>
    <row r="3" spans="1:7" x14ac:dyDescent="0.3">
      <c r="A3" s="51" t="s">
        <v>274</v>
      </c>
      <c r="B3" s="22">
        <v>1102</v>
      </c>
      <c r="C3" s="52">
        <v>750.96</v>
      </c>
      <c r="D3" s="52">
        <f t="shared" ref="D3:D8" si="0">B3*C3</f>
        <v>827557.92</v>
      </c>
      <c r="E3" s="52"/>
      <c r="F3" s="22"/>
      <c r="G3" s="22"/>
    </row>
    <row r="4" spans="1:7" x14ac:dyDescent="0.3">
      <c r="A4" s="51" t="s">
        <v>275</v>
      </c>
      <c r="B4" s="22">
        <v>882</v>
      </c>
      <c r="C4" s="31">
        <v>2957.64</v>
      </c>
      <c r="D4" s="52">
        <f t="shared" si="0"/>
        <v>2608638.48</v>
      </c>
      <c r="E4" s="52"/>
      <c r="F4" s="22"/>
      <c r="G4" s="22"/>
    </row>
    <row r="5" spans="1:7" x14ac:dyDescent="0.3">
      <c r="A5" s="51" t="s">
        <v>276</v>
      </c>
      <c r="B5" s="22">
        <v>1102</v>
      </c>
      <c r="C5" s="31">
        <v>609</v>
      </c>
      <c r="D5" s="52">
        <f t="shared" si="0"/>
        <v>671118</v>
      </c>
      <c r="E5" s="52"/>
      <c r="F5" s="22"/>
      <c r="G5" s="22"/>
    </row>
    <row r="6" spans="1:7" x14ac:dyDescent="0.3">
      <c r="A6" s="51" t="s">
        <v>277</v>
      </c>
      <c r="B6" s="22">
        <v>4960</v>
      </c>
      <c r="C6" s="31">
        <v>166.32</v>
      </c>
      <c r="D6" s="52">
        <f t="shared" si="0"/>
        <v>824947.19999999995</v>
      </c>
      <c r="E6" s="52"/>
      <c r="F6" s="22"/>
      <c r="G6" s="22"/>
    </row>
    <row r="7" spans="1:7" x14ac:dyDescent="0.3">
      <c r="A7" s="51" t="s">
        <v>278</v>
      </c>
      <c r="B7" s="22">
        <v>1896</v>
      </c>
      <c r="C7" s="52">
        <v>5.04</v>
      </c>
      <c r="D7" s="52">
        <f t="shared" si="0"/>
        <v>9555.84</v>
      </c>
      <c r="E7" s="52"/>
      <c r="F7" s="22"/>
      <c r="G7" s="22"/>
    </row>
    <row r="8" spans="1:7" x14ac:dyDescent="0.3">
      <c r="A8" s="51" t="s">
        <v>279</v>
      </c>
      <c r="B8" s="22">
        <v>1607</v>
      </c>
      <c r="C8" s="52">
        <v>103.37</v>
      </c>
      <c r="D8" s="52">
        <f t="shared" si="0"/>
        <v>166115.59</v>
      </c>
      <c r="E8" s="52"/>
      <c r="F8" s="22"/>
      <c r="G8" s="22"/>
    </row>
    <row r="9" spans="1:7" x14ac:dyDescent="0.3">
      <c r="A9" s="51" t="s">
        <v>280</v>
      </c>
      <c r="B9" s="22">
        <v>0</v>
      </c>
      <c r="C9" s="52">
        <f>SUM(C2:C8)</f>
        <v>5686.0099999999993</v>
      </c>
      <c r="D9" s="52">
        <f>SUM(D2:D8)</f>
        <v>7519497.4300000006</v>
      </c>
      <c r="E9" s="52"/>
      <c r="F9" s="22"/>
      <c r="G9" s="22"/>
    </row>
    <row r="10" spans="1:7" x14ac:dyDescent="0.3">
      <c r="A10" s="51"/>
      <c r="B10" s="62"/>
      <c r="C10" s="52"/>
      <c r="D10" s="52"/>
      <c r="E10" s="52"/>
      <c r="F10" s="22"/>
      <c r="G10" s="22"/>
    </row>
    <row r="11" spans="1:7" x14ac:dyDescent="0.3">
      <c r="A11" s="51"/>
      <c r="B11" s="62"/>
      <c r="C11" s="52"/>
      <c r="D11" s="52"/>
      <c r="E11" s="52"/>
      <c r="F11" s="22"/>
      <c r="G11" s="22"/>
    </row>
    <row r="12" spans="1:7" x14ac:dyDescent="0.3">
      <c r="A12" s="51"/>
      <c r="B12" s="62"/>
      <c r="C12" s="52"/>
      <c r="D12" s="52"/>
      <c r="E12" s="52"/>
      <c r="F12" s="22"/>
      <c r="G12" s="22"/>
    </row>
    <row r="13" spans="1:7" x14ac:dyDescent="0.3">
      <c r="A13" s="51"/>
      <c r="B13" s="62"/>
      <c r="C13" s="31"/>
      <c r="D13" s="31"/>
      <c r="E13" s="52"/>
      <c r="F13" s="22"/>
      <c r="G13" s="22"/>
    </row>
    <row r="14" spans="1:7" x14ac:dyDescent="0.3">
      <c r="A14" s="51"/>
      <c r="B14" s="62"/>
      <c r="C14" s="31"/>
      <c r="D14" s="31"/>
      <c r="E14" s="31"/>
      <c r="F14" s="22"/>
      <c r="G14" s="22"/>
    </row>
    <row r="15" spans="1:7" x14ac:dyDescent="0.3">
      <c r="A15" s="51"/>
      <c r="B15" s="62"/>
      <c r="C15" s="31"/>
      <c r="D15" s="31"/>
      <c r="E15" s="31"/>
      <c r="F15" s="22"/>
      <c r="G15" s="22"/>
    </row>
    <row r="16" spans="1:7" x14ac:dyDescent="0.3">
      <c r="A16" s="51"/>
      <c r="B16" s="62"/>
      <c r="C16" s="31"/>
      <c r="D16" s="31"/>
      <c r="E16" s="31"/>
      <c r="F16" s="22"/>
      <c r="G16" s="22"/>
    </row>
    <row r="17" spans="1:7" x14ac:dyDescent="0.3">
      <c r="A17" s="51"/>
      <c r="B17" s="62"/>
      <c r="C17" s="31"/>
      <c r="D17" s="31"/>
      <c r="E17" s="31"/>
      <c r="F17" s="22"/>
      <c r="G17" s="22"/>
    </row>
    <row r="18" spans="1:7" x14ac:dyDescent="0.3">
      <c r="A18" s="51"/>
      <c r="B18" s="62"/>
      <c r="C18" s="31"/>
      <c r="D18" s="31"/>
      <c r="E18" s="31"/>
      <c r="F18" s="22"/>
      <c r="G18" s="22"/>
    </row>
    <row r="19" spans="1:7" x14ac:dyDescent="0.3">
      <c r="A19" s="51"/>
      <c r="B19" s="62"/>
      <c r="C19" s="31"/>
      <c r="D19" s="31"/>
      <c r="E19" s="31"/>
      <c r="F19" s="22"/>
      <c r="G19" s="22"/>
    </row>
    <row r="20" spans="1:7" x14ac:dyDescent="0.3">
      <c r="A20" s="51"/>
      <c r="B20" s="62"/>
      <c r="C20" s="31"/>
      <c r="D20" s="31"/>
      <c r="E20" s="31"/>
      <c r="F20" s="22"/>
      <c r="G20" s="22"/>
    </row>
    <row r="21" spans="1:7" x14ac:dyDescent="0.3">
      <c r="A21" s="51"/>
      <c r="B21" s="62"/>
      <c r="C21" s="31"/>
      <c r="D21" s="31"/>
      <c r="E21" s="31"/>
      <c r="F21" s="22"/>
      <c r="G21" s="22"/>
    </row>
    <row r="22" spans="1:7" x14ac:dyDescent="0.3">
      <c r="A22" s="51"/>
      <c r="B22" s="62"/>
      <c r="C22" s="31"/>
      <c r="D22" s="31"/>
      <c r="E22" s="31"/>
      <c r="F22" s="22"/>
      <c r="G22" s="22"/>
    </row>
    <row r="23" spans="1:7" x14ac:dyDescent="0.3">
      <c r="A23" s="51"/>
      <c r="B23" s="62"/>
      <c r="C23" s="31"/>
      <c r="D23" s="31"/>
      <c r="E23" s="31"/>
      <c r="F23" s="22"/>
      <c r="G23" s="22"/>
    </row>
    <row r="24" spans="1:7" x14ac:dyDescent="0.3">
      <c r="A24" s="51"/>
      <c r="B24" s="62"/>
      <c r="C24" s="31"/>
      <c r="D24" s="31"/>
      <c r="E24" s="31"/>
      <c r="F24" s="22"/>
      <c r="G24" s="22"/>
    </row>
    <row r="25" spans="1:7" x14ac:dyDescent="0.3">
      <c r="A25" s="51"/>
      <c r="B25" s="62"/>
      <c r="C25" s="31"/>
      <c r="D25" s="31"/>
      <c r="E25" s="31"/>
      <c r="F25" s="22"/>
      <c r="G25" s="22"/>
    </row>
    <row r="26" spans="1:7" x14ac:dyDescent="0.3">
      <c r="A26" s="51"/>
      <c r="B26" s="62"/>
      <c r="C26" s="31"/>
      <c r="D26" s="31"/>
      <c r="E26" s="31"/>
      <c r="F26" s="22"/>
      <c r="G26" s="22"/>
    </row>
    <row r="27" spans="1:7" x14ac:dyDescent="0.3">
      <c r="A27" s="51"/>
      <c r="B27" s="62"/>
      <c r="C27" s="31"/>
      <c r="D27" s="31"/>
      <c r="E27" s="31"/>
      <c r="F27" s="22"/>
      <c r="G27" s="22"/>
    </row>
    <row r="28" spans="1:7" x14ac:dyDescent="0.3">
      <c r="A28" s="51"/>
      <c r="B28" s="62"/>
      <c r="C28" s="31"/>
      <c r="D28" s="31"/>
      <c r="E28" s="31"/>
      <c r="F28" s="22"/>
      <c r="G28" s="22"/>
    </row>
    <row r="29" spans="1:7" x14ac:dyDescent="0.3">
      <c r="A29" s="51"/>
      <c r="B29" s="62"/>
      <c r="C29" s="31"/>
      <c r="D29" s="31"/>
      <c r="E29" s="31"/>
      <c r="F29" s="22"/>
      <c r="G29" s="22"/>
    </row>
    <row r="30" spans="1:7" x14ac:dyDescent="0.3">
      <c r="A30" s="51"/>
      <c r="B30" s="62"/>
      <c r="C30" s="31"/>
      <c r="D30" s="31"/>
      <c r="E30" s="31"/>
      <c r="F30" s="22"/>
      <c r="G30" s="22"/>
    </row>
    <row r="31" spans="1:7" x14ac:dyDescent="0.3">
      <c r="A31" s="51"/>
      <c r="B31" s="62"/>
      <c r="C31" s="31"/>
      <c r="D31" s="31"/>
      <c r="E31" s="31"/>
      <c r="F31" s="22"/>
      <c r="G31" s="22"/>
    </row>
    <row r="32" spans="1:7" x14ac:dyDescent="0.3">
      <c r="A32" s="51"/>
      <c r="B32" s="62"/>
      <c r="C32" s="31"/>
      <c r="D32" s="31"/>
      <c r="E32" s="31"/>
      <c r="F32" s="22"/>
      <c r="G32" s="22"/>
    </row>
    <row r="33" spans="1:7" x14ac:dyDescent="0.3">
      <c r="A33" s="51"/>
      <c r="B33" s="62"/>
      <c r="C33" s="31"/>
      <c r="D33" s="31"/>
      <c r="E33" s="31"/>
      <c r="F33" s="22"/>
      <c r="G33" s="22"/>
    </row>
    <row r="34" spans="1:7" x14ac:dyDescent="0.3">
      <c r="A34" s="51"/>
      <c r="B34" s="62"/>
      <c r="C34" s="31"/>
      <c r="D34" s="31"/>
      <c r="E34" s="31"/>
      <c r="F34" s="22"/>
      <c r="G34" s="22"/>
    </row>
    <row r="35" spans="1:7" x14ac:dyDescent="0.3">
      <c r="A35" s="51"/>
      <c r="B35" s="62"/>
      <c r="C35" s="31"/>
      <c r="D35" s="31"/>
      <c r="E35" s="31"/>
      <c r="F35" s="22"/>
      <c r="G35" s="22"/>
    </row>
    <row r="36" spans="1:7" x14ac:dyDescent="0.3">
      <c r="A36" s="51"/>
      <c r="B36" s="62"/>
      <c r="C36" s="31"/>
      <c r="D36" s="31"/>
      <c r="E36" s="31"/>
      <c r="F36" s="22"/>
      <c r="G36" s="22"/>
    </row>
    <row r="37" spans="1:7" x14ac:dyDescent="0.3">
      <c r="A37" s="51"/>
      <c r="B37" s="62"/>
      <c r="C37" s="31"/>
      <c r="D37" s="31"/>
      <c r="E37" s="31"/>
      <c r="F37" s="22"/>
      <c r="G37" s="22"/>
    </row>
    <row r="38" spans="1:7" x14ac:dyDescent="0.3">
      <c r="A38" s="51"/>
      <c r="B38" s="62"/>
      <c r="C38" s="31"/>
      <c r="D38" s="31"/>
      <c r="E38" s="31"/>
      <c r="F38" s="22"/>
      <c r="G38" s="22"/>
    </row>
    <row r="39" spans="1:7" x14ac:dyDescent="0.3">
      <c r="A39" s="51"/>
      <c r="B39" s="62"/>
      <c r="C39" s="31"/>
      <c r="D39" s="31"/>
      <c r="E39" s="31"/>
      <c r="F39" s="22"/>
      <c r="G39" s="22"/>
    </row>
    <row r="40" spans="1:7" x14ac:dyDescent="0.3">
      <c r="A40" s="51"/>
      <c r="B40" s="62"/>
      <c r="C40" s="31"/>
      <c r="D40" s="31"/>
      <c r="E40" s="31"/>
      <c r="F40" s="22"/>
      <c r="G40" s="22"/>
    </row>
    <row r="41" spans="1:7" x14ac:dyDescent="0.3">
      <c r="A41" s="51"/>
      <c r="B41" s="62"/>
      <c r="C41" s="31"/>
      <c r="D41" s="31"/>
      <c r="E41" s="31"/>
      <c r="F41" s="22"/>
      <c r="G41" s="22"/>
    </row>
    <row r="42" spans="1:7" x14ac:dyDescent="0.3">
      <c r="A42" s="51"/>
      <c r="B42" s="62"/>
      <c r="C42" s="31"/>
      <c r="D42" s="31"/>
      <c r="E42" s="31"/>
      <c r="F42" s="22"/>
      <c r="G42" s="22"/>
    </row>
    <row r="43" spans="1:7" x14ac:dyDescent="0.3">
      <c r="A43" s="51"/>
      <c r="B43" s="62"/>
      <c r="C43" s="31"/>
      <c r="D43" s="31"/>
      <c r="E43" s="31"/>
      <c r="F43" s="22"/>
      <c r="G43" s="22"/>
    </row>
    <row r="44" spans="1:7" x14ac:dyDescent="0.3">
      <c r="A44" s="51"/>
      <c r="B44" s="62"/>
      <c r="C44" s="31"/>
      <c r="D44" s="31"/>
      <c r="E44" s="31"/>
      <c r="F44" s="22"/>
      <c r="G44" s="22"/>
    </row>
    <row r="45" spans="1:7" x14ac:dyDescent="0.3">
      <c r="A45" s="51"/>
      <c r="B45" s="62"/>
      <c r="C45" s="31"/>
      <c r="D45" s="31"/>
      <c r="E45" s="31"/>
      <c r="F45" s="22"/>
      <c r="G45" s="22"/>
    </row>
    <row r="46" spans="1:7" x14ac:dyDescent="0.3">
      <c r="A46" s="51"/>
      <c r="B46" s="62"/>
      <c r="C46" s="31"/>
      <c r="D46" s="31"/>
      <c r="E46" s="31"/>
      <c r="F46" s="22"/>
      <c r="G46" s="22"/>
    </row>
    <row r="47" spans="1:7" x14ac:dyDescent="0.3">
      <c r="A47" s="51"/>
      <c r="B47" s="62"/>
      <c r="C47" s="31"/>
      <c r="D47" s="31"/>
      <c r="E47" s="31"/>
      <c r="F47" s="22"/>
      <c r="G47" s="22"/>
    </row>
    <row r="48" spans="1:7" x14ac:dyDescent="0.3">
      <c r="A48" s="51"/>
      <c r="B48" s="62"/>
      <c r="C48" s="31"/>
      <c r="D48" s="31"/>
      <c r="E48" s="31"/>
      <c r="F48" s="22"/>
      <c r="G48" s="22"/>
    </row>
    <row r="49" spans="1:7" x14ac:dyDescent="0.3">
      <c r="A49" s="51"/>
      <c r="B49" s="62"/>
      <c r="C49" s="31"/>
      <c r="D49" s="31"/>
      <c r="E49" s="31"/>
      <c r="F49" s="22"/>
      <c r="G49" s="22"/>
    </row>
    <row r="50" spans="1:7" x14ac:dyDescent="0.3">
      <c r="A50" s="51"/>
      <c r="B50" s="62"/>
      <c r="C50" s="31"/>
      <c r="D50" s="31"/>
      <c r="E50" s="31"/>
      <c r="F50" s="22"/>
      <c r="G50" s="22"/>
    </row>
    <row r="51" spans="1:7" x14ac:dyDescent="0.3">
      <c r="A51" s="51"/>
      <c r="B51" s="62"/>
      <c r="C51" s="31"/>
      <c r="D51" s="31"/>
      <c r="E51" s="31"/>
      <c r="F51" s="22"/>
      <c r="G51" s="22"/>
    </row>
    <row r="52" spans="1:7" x14ac:dyDescent="0.3">
      <c r="A52" s="51"/>
      <c r="B52" s="62"/>
      <c r="C52" s="31"/>
      <c r="D52" s="31"/>
      <c r="E52" s="31"/>
      <c r="F52" s="22"/>
      <c r="G52" s="22"/>
    </row>
    <row r="53" spans="1:7" x14ac:dyDescent="0.3">
      <c r="A53" s="51"/>
      <c r="B53" s="62"/>
      <c r="C53" s="31"/>
      <c r="D53" s="31"/>
      <c r="E53" s="31"/>
      <c r="F53" s="22"/>
      <c r="G53" s="22"/>
    </row>
    <row r="54" spans="1:7" x14ac:dyDescent="0.3">
      <c r="A54" s="51"/>
      <c r="B54" s="62"/>
      <c r="C54" s="31"/>
      <c r="D54" s="31"/>
      <c r="E54" s="31"/>
      <c r="F54" s="22"/>
      <c r="G54" s="22"/>
    </row>
    <row r="55" spans="1:7" x14ac:dyDescent="0.3">
      <c r="A55" s="51"/>
      <c r="B55" s="62"/>
      <c r="C55" s="31"/>
      <c r="D55" s="31"/>
      <c r="E55" s="31"/>
      <c r="F55" s="22"/>
      <c r="G55" s="22"/>
    </row>
    <row r="56" spans="1:7" x14ac:dyDescent="0.3">
      <c r="A56" s="51"/>
      <c r="B56" s="62"/>
      <c r="C56" s="31"/>
      <c r="D56" s="31"/>
      <c r="E56" s="31"/>
      <c r="F56" s="22"/>
      <c r="G56" s="22"/>
    </row>
    <row r="57" spans="1:7" x14ac:dyDescent="0.3">
      <c r="A57" s="51"/>
      <c r="B57" s="62"/>
      <c r="C57" s="31"/>
      <c r="D57" s="31"/>
      <c r="E57" s="31"/>
      <c r="F57" s="22"/>
      <c r="G57" s="22"/>
    </row>
    <row r="58" spans="1:7" x14ac:dyDescent="0.3">
      <c r="A58" s="51"/>
      <c r="B58" s="62"/>
      <c r="C58" s="31"/>
      <c r="D58" s="31"/>
      <c r="E58" s="31"/>
      <c r="F58" s="22"/>
      <c r="G58" s="22"/>
    </row>
    <row r="59" spans="1:7" x14ac:dyDescent="0.3">
      <c r="A59" s="51"/>
      <c r="B59" s="62"/>
      <c r="C59" s="31"/>
      <c r="D59" s="31"/>
      <c r="E59" s="31"/>
      <c r="F59" s="22"/>
      <c r="G59" s="22"/>
    </row>
    <row r="60" spans="1:7" x14ac:dyDescent="0.3">
      <c r="A60" s="51"/>
      <c r="B60" s="62"/>
      <c r="C60" s="31"/>
      <c r="D60" s="31"/>
      <c r="E60" s="31"/>
      <c r="F60" s="22"/>
      <c r="G60" s="22"/>
    </row>
    <row r="61" spans="1:7" x14ac:dyDescent="0.3">
      <c r="A61" s="51"/>
      <c r="B61" s="62"/>
      <c r="C61" s="31"/>
      <c r="D61" s="31"/>
      <c r="E61" s="31"/>
      <c r="F61" s="22"/>
      <c r="G61" s="22"/>
    </row>
    <row r="62" spans="1:7" x14ac:dyDescent="0.3">
      <c r="A62" s="51"/>
      <c r="B62" s="62"/>
      <c r="C62" s="31"/>
      <c r="D62" s="31"/>
      <c r="E62" s="31"/>
      <c r="F62" s="22"/>
      <c r="G62" s="22"/>
    </row>
    <row r="63" spans="1:7" x14ac:dyDescent="0.3">
      <c r="A63" s="51"/>
      <c r="B63" s="62"/>
      <c r="C63" s="31"/>
      <c r="D63" s="31"/>
      <c r="E63" s="31"/>
      <c r="F63" s="22"/>
      <c r="G63" s="22"/>
    </row>
    <row r="64" spans="1:7" x14ac:dyDescent="0.3">
      <c r="A64" s="51"/>
      <c r="B64" s="62"/>
      <c r="C64" s="31"/>
      <c r="D64" s="31"/>
      <c r="E64" s="31"/>
      <c r="F64" s="22"/>
      <c r="G64" s="22"/>
    </row>
    <row r="65" spans="1:7" x14ac:dyDescent="0.3">
      <c r="A65" s="51"/>
      <c r="B65" s="62"/>
      <c r="C65" s="31"/>
      <c r="D65" s="31"/>
      <c r="E65" s="31"/>
      <c r="F65" s="22"/>
      <c r="G65" s="22"/>
    </row>
    <row r="66" spans="1:7" x14ac:dyDescent="0.3">
      <c r="A66" s="51"/>
      <c r="B66" s="62"/>
      <c r="C66" s="31"/>
      <c r="D66" s="31"/>
      <c r="E66" s="31"/>
      <c r="F66" s="22"/>
      <c r="G66" s="22"/>
    </row>
    <row r="67" spans="1:7" x14ac:dyDescent="0.3">
      <c r="A67" s="51"/>
      <c r="B67" s="62"/>
      <c r="C67" s="31"/>
      <c r="D67" s="31"/>
      <c r="E67" s="31"/>
      <c r="F67" s="22"/>
      <c r="G67" s="22"/>
    </row>
    <row r="68" spans="1:7" x14ac:dyDescent="0.3">
      <c r="A68" s="51"/>
      <c r="B68" s="62"/>
      <c r="C68" s="31"/>
      <c r="D68" s="31"/>
      <c r="E68" s="31"/>
      <c r="F68" s="22"/>
      <c r="G68" s="22"/>
    </row>
    <row r="69" spans="1:7" x14ac:dyDescent="0.3">
      <c r="A69" s="51"/>
      <c r="B69" s="62"/>
      <c r="C69" s="31"/>
      <c r="D69" s="31"/>
      <c r="E69" s="31"/>
      <c r="F69" s="22"/>
      <c r="G69" s="22"/>
    </row>
    <row r="70" spans="1:7" x14ac:dyDescent="0.3">
      <c r="A70" s="51"/>
      <c r="B70" s="62"/>
      <c r="C70" s="31"/>
      <c r="D70" s="31"/>
      <c r="E70" s="31"/>
      <c r="F70" s="22"/>
      <c r="G70" s="22"/>
    </row>
    <row r="71" spans="1:7" x14ac:dyDescent="0.3">
      <c r="A71" s="51"/>
      <c r="B71" s="62"/>
      <c r="C71" s="31"/>
      <c r="D71" s="31"/>
      <c r="E71" s="31"/>
      <c r="F71" s="22"/>
      <c r="G71" s="22"/>
    </row>
    <row r="72" spans="1:7" x14ac:dyDescent="0.3">
      <c r="A72" s="51"/>
      <c r="B72" s="62"/>
      <c r="C72" s="31"/>
      <c r="D72" s="31"/>
      <c r="E72" s="31"/>
      <c r="F72" s="22"/>
      <c r="G72" s="22"/>
    </row>
    <row r="73" spans="1:7" x14ac:dyDescent="0.3">
      <c r="A73" s="51"/>
      <c r="B73" s="62"/>
      <c r="C73" s="31"/>
      <c r="D73" s="31"/>
      <c r="E73" s="31"/>
      <c r="F73" s="22"/>
      <c r="G73" s="22"/>
    </row>
    <row r="74" spans="1:7" x14ac:dyDescent="0.3">
      <c r="A74" s="51"/>
      <c r="B74" s="62"/>
      <c r="C74" s="31"/>
      <c r="D74" s="31"/>
      <c r="E74" s="31"/>
      <c r="F74" s="22"/>
      <c r="G74" s="22"/>
    </row>
    <row r="75" spans="1:7" x14ac:dyDescent="0.3">
      <c r="A75" s="51"/>
      <c r="B75" s="62"/>
      <c r="C75" s="31"/>
      <c r="D75" s="31"/>
      <c r="E75" s="31"/>
      <c r="F75" s="22"/>
      <c r="G75" s="22"/>
    </row>
    <row r="76" spans="1:7" x14ac:dyDescent="0.3">
      <c r="A76" s="51"/>
      <c r="B76" s="62"/>
      <c r="C76" s="31"/>
      <c r="D76" s="31"/>
      <c r="E76" s="31"/>
      <c r="F76" s="22"/>
      <c r="G76" s="22"/>
    </row>
    <row r="77" spans="1:7" x14ac:dyDescent="0.3">
      <c r="A77" s="51"/>
      <c r="B77" s="62"/>
      <c r="C77" s="31"/>
      <c r="D77" s="31"/>
      <c r="E77" s="31"/>
      <c r="F77" s="22"/>
      <c r="G77" s="22"/>
    </row>
    <row r="78" spans="1:7" x14ac:dyDescent="0.3">
      <c r="A78" s="51"/>
      <c r="B78" s="62"/>
      <c r="C78" s="31"/>
      <c r="D78" s="31"/>
      <c r="E78" s="31"/>
      <c r="F78" s="22"/>
      <c r="G78" s="22"/>
    </row>
    <row r="79" spans="1:7" x14ac:dyDescent="0.3">
      <c r="A79" s="51"/>
      <c r="B79" s="62"/>
      <c r="C79" s="31"/>
      <c r="D79" s="31"/>
      <c r="E79" s="31"/>
      <c r="F79" s="22"/>
      <c r="G79" s="22"/>
    </row>
    <row r="80" spans="1:7" x14ac:dyDescent="0.3">
      <c r="A80" s="51"/>
      <c r="B80" s="62"/>
      <c r="C80" s="31"/>
      <c r="D80" s="31"/>
      <c r="E80" s="31"/>
      <c r="F80" s="22"/>
      <c r="G80" s="22"/>
    </row>
    <row r="81" spans="1:7" x14ac:dyDescent="0.3">
      <c r="A81" s="51"/>
      <c r="B81" s="62"/>
      <c r="C81" s="31"/>
      <c r="D81" s="31"/>
      <c r="E81" s="31"/>
      <c r="F81" s="22"/>
      <c r="G81" s="22"/>
    </row>
    <row r="82" spans="1:7" x14ac:dyDescent="0.3">
      <c r="A82" s="51"/>
      <c r="B82" s="62"/>
      <c r="C82" s="31"/>
      <c r="D82" s="31"/>
      <c r="E82" s="31"/>
      <c r="F82" s="22"/>
      <c r="G82" s="22"/>
    </row>
    <row r="83" spans="1:7" x14ac:dyDescent="0.3">
      <c r="A83" s="51"/>
      <c r="B83" s="62"/>
      <c r="C83" s="31"/>
      <c r="D83" s="31"/>
      <c r="E83" s="31"/>
      <c r="F83" s="22"/>
      <c r="G83" s="22"/>
    </row>
    <row r="84" spans="1:7" x14ac:dyDescent="0.3">
      <c r="A84" s="51"/>
      <c r="B84" s="62"/>
      <c r="C84" s="31"/>
      <c r="D84" s="31"/>
      <c r="E84" s="31"/>
      <c r="F84" s="22"/>
      <c r="G84" s="22"/>
    </row>
    <row r="85" spans="1:7" x14ac:dyDescent="0.3">
      <c r="A85" s="51"/>
      <c r="B85" s="62"/>
      <c r="C85" s="31"/>
      <c r="D85" s="31"/>
      <c r="E85" s="31"/>
      <c r="F85" s="22"/>
      <c r="G85" s="22"/>
    </row>
    <row r="86" spans="1:7" x14ac:dyDescent="0.3">
      <c r="A86" s="51"/>
      <c r="B86" s="62"/>
      <c r="C86" s="31"/>
      <c r="D86" s="31"/>
      <c r="E86" s="31"/>
      <c r="F86" s="22"/>
      <c r="G86" s="22"/>
    </row>
    <row r="87" spans="1:7" x14ac:dyDescent="0.3">
      <c r="A87" s="51"/>
      <c r="B87" s="62"/>
      <c r="C87" s="31"/>
      <c r="D87" s="31"/>
      <c r="E87" s="31"/>
      <c r="F87" s="22"/>
      <c r="G87" s="22"/>
    </row>
    <row r="88" spans="1:7" x14ac:dyDescent="0.3">
      <c r="A88" s="51"/>
      <c r="B88" s="62"/>
      <c r="C88" s="31"/>
      <c r="D88" s="31"/>
      <c r="E88" s="31"/>
      <c r="F88" s="22"/>
      <c r="G88" s="22"/>
    </row>
    <row r="89" spans="1:7" x14ac:dyDescent="0.3">
      <c r="A89" s="51"/>
      <c r="B89" s="62"/>
      <c r="C89" s="31"/>
      <c r="D89" s="31"/>
      <c r="E89" s="31"/>
      <c r="F89" s="22"/>
      <c r="G89" s="22"/>
    </row>
    <row r="90" spans="1:7" x14ac:dyDescent="0.3">
      <c r="A90" s="51"/>
      <c r="B90" s="62"/>
      <c r="C90" s="31"/>
      <c r="D90" s="31"/>
      <c r="E90" s="31"/>
      <c r="F90" s="22"/>
      <c r="G90" s="22"/>
    </row>
    <row r="91" spans="1:7" x14ac:dyDescent="0.3">
      <c r="A91" s="51"/>
      <c r="B91" s="62"/>
      <c r="C91" s="31"/>
      <c r="D91" s="31"/>
      <c r="E91" s="31"/>
      <c r="F91" s="22"/>
      <c r="G91" s="22"/>
    </row>
    <row r="92" spans="1:7" x14ac:dyDescent="0.3">
      <c r="A92" s="51"/>
      <c r="B92" s="62"/>
      <c r="C92" s="31"/>
      <c r="D92" s="31"/>
      <c r="E92" s="31"/>
      <c r="F92" s="22"/>
      <c r="G92" s="22"/>
    </row>
    <row r="93" spans="1:7" x14ac:dyDescent="0.3">
      <c r="A93" s="51"/>
      <c r="B93" s="62"/>
      <c r="C93" s="31"/>
      <c r="D93" s="31"/>
      <c r="E93" s="31"/>
      <c r="F93" s="22"/>
      <c r="G93" s="22"/>
    </row>
    <row r="94" spans="1:7" x14ac:dyDescent="0.3">
      <c r="A94" s="51"/>
      <c r="B94" s="62"/>
      <c r="C94" s="31"/>
      <c r="D94" s="31"/>
      <c r="E94" s="31"/>
      <c r="F94" s="22"/>
      <c r="G94" s="22"/>
    </row>
    <row r="95" spans="1:7" x14ac:dyDescent="0.3">
      <c r="A95" s="51"/>
      <c r="B95" s="62"/>
      <c r="C95" s="31"/>
      <c r="D95" s="31"/>
      <c r="E95" s="31"/>
      <c r="F95" s="22"/>
      <c r="G95" s="22"/>
    </row>
    <row r="96" spans="1:7" x14ac:dyDescent="0.3">
      <c r="A96" s="51"/>
      <c r="B96" s="62"/>
      <c r="C96" s="31"/>
      <c r="D96" s="31"/>
      <c r="E96" s="31"/>
      <c r="F96" s="22"/>
      <c r="G96" s="22"/>
    </row>
    <row r="97" spans="1:7" x14ac:dyDescent="0.3">
      <c r="A97" s="51"/>
      <c r="B97" s="62"/>
      <c r="C97" s="31"/>
      <c r="D97" s="31"/>
      <c r="E97" s="31"/>
      <c r="F97" s="22"/>
      <c r="G97" s="22"/>
    </row>
    <row r="98" spans="1:7" x14ac:dyDescent="0.3">
      <c r="A98" s="51"/>
      <c r="B98" s="62"/>
      <c r="C98" s="31"/>
      <c r="D98" s="31"/>
      <c r="E98" s="31"/>
      <c r="F98" s="22"/>
      <c r="G98" s="22"/>
    </row>
    <row r="99" spans="1:7" x14ac:dyDescent="0.3">
      <c r="A99" s="51"/>
      <c r="B99" s="62"/>
      <c r="C99" s="31"/>
      <c r="D99" s="31"/>
      <c r="E99" s="31"/>
      <c r="F99" s="22"/>
      <c r="G99" s="22"/>
    </row>
    <row r="100" spans="1:7" x14ac:dyDescent="0.3">
      <c r="A100" s="51"/>
      <c r="B100" s="62"/>
      <c r="C100" s="31"/>
      <c r="D100" s="31"/>
      <c r="E100" s="31"/>
      <c r="F100" s="22"/>
      <c r="G100" s="22"/>
    </row>
    <row r="101" spans="1:7" x14ac:dyDescent="0.3">
      <c r="A101" s="51"/>
      <c r="B101" s="62"/>
      <c r="C101" s="31"/>
      <c r="D101" s="31"/>
      <c r="E101" s="31"/>
      <c r="F101" s="22"/>
      <c r="G101" s="22"/>
    </row>
    <row r="102" spans="1:7" x14ac:dyDescent="0.3">
      <c r="A102" s="51"/>
      <c r="B102" s="62"/>
      <c r="C102" s="31"/>
      <c r="D102" s="31"/>
      <c r="E102" s="31"/>
      <c r="F102" s="22"/>
      <c r="G102" s="22"/>
    </row>
    <row r="103" spans="1:7" x14ac:dyDescent="0.3">
      <c r="A103" s="51"/>
      <c r="B103" s="62"/>
      <c r="C103" s="31"/>
      <c r="D103" s="31"/>
      <c r="E103" s="31"/>
      <c r="F103" s="22"/>
      <c r="G103" s="22"/>
    </row>
    <row r="104" spans="1:7" x14ac:dyDescent="0.3">
      <c r="A104" s="51"/>
      <c r="B104" s="62"/>
      <c r="C104" s="31"/>
      <c r="D104" s="31"/>
      <c r="E104" s="31"/>
      <c r="F104" s="22"/>
      <c r="G104" s="22"/>
    </row>
    <row r="105" spans="1:7" x14ac:dyDescent="0.3">
      <c r="A105" s="51"/>
      <c r="B105" s="62"/>
      <c r="C105" s="31"/>
      <c r="D105" s="31"/>
      <c r="E105" s="31"/>
      <c r="F105" s="22"/>
      <c r="G105" s="22"/>
    </row>
    <row r="106" spans="1:7" x14ac:dyDescent="0.3">
      <c r="A106" s="51"/>
      <c r="B106" s="62"/>
      <c r="C106" s="31"/>
      <c r="D106" s="31"/>
      <c r="E106" s="31"/>
      <c r="F106" s="22"/>
      <c r="G106" s="22"/>
    </row>
    <row r="107" spans="1:7" x14ac:dyDescent="0.3">
      <c r="A107" s="51"/>
      <c r="B107" s="62"/>
      <c r="C107" s="31"/>
      <c r="D107" s="31"/>
      <c r="E107" s="31"/>
      <c r="F107" s="22"/>
      <c r="G107" s="22"/>
    </row>
    <row r="108" spans="1:7" x14ac:dyDescent="0.3">
      <c r="A108" s="51"/>
      <c r="B108" s="62"/>
      <c r="C108" s="31"/>
      <c r="D108" s="31"/>
      <c r="E108" s="31"/>
      <c r="F108" s="22"/>
      <c r="G108" s="22"/>
    </row>
    <row r="109" spans="1:7" x14ac:dyDescent="0.3">
      <c r="A109" s="51"/>
      <c r="B109" s="62"/>
      <c r="C109" s="31"/>
      <c r="D109" s="31"/>
      <c r="E109" s="31"/>
      <c r="F109" s="22"/>
      <c r="G109" s="22"/>
    </row>
    <row r="110" spans="1:7" x14ac:dyDescent="0.3">
      <c r="A110" s="51"/>
      <c r="B110" s="62"/>
      <c r="C110" s="31"/>
      <c r="D110" s="31"/>
      <c r="E110" s="31"/>
      <c r="F110" s="22"/>
      <c r="G110" s="22"/>
    </row>
    <row r="111" spans="1:7" x14ac:dyDescent="0.3">
      <c r="A111" s="51"/>
      <c r="B111" s="62"/>
      <c r="C111" s="31"/>
      <c r="D111" s="31"/>
      <c r="E111" s="31"/>
      <c r="F111" s="22"/>
      <c r="G111" s="22"/>
    </row>
    <row r="112" spans="1:7" x14ac:dyDescent="0.3">
      <c r="A112" s="51"/>
      <c r="B112" s="62"/>
      <c r="C112" s="31"/>
      <c r="D112" s="31"/>
      <c r="E112" s="31"/>
      <c r="F112" s="22"/>
      <c r="G112" s="22"/>
    </row>
    <row r="113" spans="1:7" x14ac:dyDescent="0.3">
      <c r="A113" s="51"/>
      <c r="B113" s="62"/>
      <c r="C113" s="31"/>
      <c r="D113" s="31"/>
      <c r="E113" s="31"/>
      <c r="F113" s="22"/>
      <c r="G113" s="22"/>
    </row>
    <row r="114" spans="1:7" x14ac:dyDescent="0.3">
      <c r="A114" s="51"/>
      <c r="B114" s="62"/>
      <c r="C114" s="31"/>
      <c r="D114" s="31"/>
      <c r="E114" s="31"/>
      <c r="F114" s="22"/>
      <c r="G114" s="22"/>
    </row>
    <row r="115" spans="1:7" x14ac:dyDescent="0.3">
      <c r="A115" s="51"/>
      <c r="B115" s="62"/>
      <c r="C115" s="31"/>
      <c r="D115" s="31"/>
      <c r="E115" s="31"/>
      <c r="F115" s="22"/>
      <c r="G115" s="22"/>
    </row>
    <row r="116" spans="1:7" x14ac:dyDescent="0.3">
      <c r="A116" s="51"/>
      <c r="B116" s="62"/>
      <c r="C116" s="31"/>
      <c r="D116" s="31"/>
      <c r="E116" s="31"/>
      <c r="F116" s="22"/>
      <c r="G116" s="22"/>
    </row>
    <row r="117" spans="1:7" x14ac:dyDescent="0.3">
      <c r="A117" s="51"/>
      <c r="B117" s="62"/>
      <c r="C117" s="31"/>
      <c r="D117" s="31"/>
      <c r="E117" s="31"/>
      <c r="F117" s="22"/>
      <c r="G117" s="22"/>
    </row>
    <row r="118" spans="1:7" x14ac:dyDescent="0.3">
      <c r="A118" s="51"/>
      <c r="B118" s="62"/>
      <c r="C118" s="31"/>
      <c r="D118" s="31"/>
      <c r="E118" s="31"/>
      <c r="F118" s="22"/>
      <c r="G118" s="22"/>
    </row>
    <row r="119" spans="1:7" x14ac:dyDescent="0.3">
      <c r="A119" s="51"/>
      <c r="B119" s="62"/>
      <c r="C119" s="31"/>
      <c r="D119" s="31"/>
      <c r="E119" s="31"/>
      <c r="F119" s="22"/>
      <c r="G119" s="22"/>
    </row>
    <row r="120" spans="1:7" x14ac:dyDescent="0.3">
      <c r="A120" s="51"/>
      <c r="B120" s="62"/>
      <c r="C120" s="31"/>
      <c r="D120" s="31"/>
      <c r="E120" s="31"/>
      <c r="F120" s="22"/>
      <c r="G120" s="22"/>
    </row>
    <row r="121" spans="1:7" x14ac:dyDescent="0.3">
      <c r="A121" s="51"/>
      <c r="B121" s="62"/>
      <c r="C121" s="31"/>
      <c r="D121" s="31"/>
      <c r="E121" s="31"/>
      <c r="F121" s="22"/>
      <c r="G121" s="22"/>
    </row>
    <row r="122" spans="1:7" x14ac:dyDescent="0.3">
      <c r="A122" s="51"/>
      <c r="B122" s="62"/>
      <c r="C122" s="31"/>
      <c r="D122" s="31"/>
      <c r="E122" s="31"/>
      <c r="F122" s="22"/>
      <c r="G122" s="22"/>
    </row>
    <row r="123" spans="1:7" x14ac:dyDescent="0.3">
      <c r="A123" s="51"/>
      <c r="B123" s="62"/>
      <c r="C123" s="31"/>
      <c r="D123" s="31"/>
      <c r="E123" s="31"/>
      <c r="F123" s="22"/>
      <c r="G123" s="22"/>
    </row>
    <row r="124" spans="1:7" x14ac:dyDescent="0.3">
      <c r="A124" s="51"/>
      <c r="B124" s="62"/>
      <c r="C124" s="31"/>
      <c r="D124" s="31"/>
      <c r="E124" s="31"/>
      <c r="F124" s="22"/>
      <c r="G124" s="22"/>
    </row>
    <row r="125" spans="1:7" x14ac:dyDescent="0.3">
      <c r="A125" s="51"/>
      <c r="B125" s="62"/>
      <c r="C125" s="31"/>
      <c r="D125" s="31"/>
      <c r="E125" s="31"/>
      <c r="F125" s="22"/>
      <c r="G125" s="22"/>
    </row>
    <row r="126" spans="1:7" x14ac:dyDescent="0.3">
      <c r="A126" s="51"/>
      <c r="B126" s="62"/>
      <c r="C126" s="31"/>
      <c r="D126" s="31"/>
      <c r="E126" s="31"/>
      <c r="F126" s="22"/>
      <c r="G126" s="22"/>
    </row>
    <row r="127" spans="1:7" x14ac:dyDescent="0.3">
      <c r="A127" s="51"/>
      <c r="B127" s="62"/>
      <c r="C127" s="31"/>
      <c r="D127" s="31"/>
      <c r="E127" s="31"/>
      <c r="F127" s="22"/>
      <c r="G127" s="22"/>
    </row>
    <row r="128" spans="1:7" x14ac:dyDescent="0.3">
      <c r="A128" s="51"/>
      <c r="B128" s="62"/>
      <c r="C128" s="31"/>
      <c r="D128" s="31"/>
      <c r="E128" s="31"/>
      <c r="F128" s="22"/>
      <c r="G128" s="22"/>
    </row>
    <row r="129" spans="1:7" x14ac:dyDescent="0.3">
      <c r="A129" s="51"/>
      <c r="B129" s="62"/>
      <c r="C129" s="31"/>
      <c r="D129" s="31"/>
      <c r="E129" s="31"/>
      <c r="F129" s="22"/>
      <c r="G129" s="22"/>
    </row>
    <row r="130" spans="1:7" x14ac:dyDescent="0.3">
      <c r="A130" s="51"/>
      <c r="B130" s="62"/>
      <c r="C130" s="31"/>
      <c r="D130" s="31"/>
      <c r="E130" s="31"/>
      <c r="F130" s="22"/>
      <c r="G130" s="22"/>
    </row>
    <row r="131" spans="1:7" x14ac:dyDescent="0.3">
      <c r="A131" s="51"/>
      <c r="B131" s="62"/>
      <c r="C131" s="31"/>
      <c r="D131" s="31"/>
      <c r="E131" s="31"/>
      <c r="F131" s="22"/>
      <c r="G131" s="22"/>
    </row>
    <row r="132" spans="1:7" x14ac:dyDescent="0.3">
      <c r="A132" s="51"/>
      <c r="B132" s="62"/>
      <c r="C132" s="31"/>
      <c r="D132" s="31"/>
      <c r="E132" s="31"/>
      <c r="F132" s="22"/>
      <c r="G132" s="22"/>
    </row>
    <row r="133" spans="1:7" x14ac:dyDescent="0.3">
      <c r="A133" s="51"/>
      <c r="B133" s="62"/>
      <c r="C133" s="31"/>
      <c r="D133" s="31"/>
      <c r="E133" s="31"/>
      <c r="F133" s="22"/>
      <c r="G133" s="22"/>
    </row>
    <row r="134" spans="1:7" x14ac:dyDescent="0.3">
      <c r="A134" s="51"/>
      <c r="B134" s="62"/>
      <c r="C134" s="31"/>
      <c r="D134" s="31"/>
      <c r="E134" s="31"/>
      <c r="F134" s="22"/>
      <c r="G134" s="22"/>
    </row>
    <row r="135" spans="1:7" x14ac:dyDescent="0.3">
      <c r="A135" s="51"/>
      <c r="B135" s="62"/>
      <c r="C135" s="31"/>
      <c r="D135" s="31"/>
      <c r="E135" s="31"/>
      <c r="F135" s="22"/>
      <c r="G135" s="22"/>
    </row>
    <row r="136" spans="1:7" x14ac:dyDescent="0.3">
      <c r="A136" s="51"/>
      <c r="B136" s="62"/>
      <c r="C136" s="31"/>
      <c r="D136" s="31"/>
      <c r="E136" s="31"/>
      <c r="F136" s="22"/>
      <c r="G136" s="22"/>
    </row>
    <row r="137" spans="1:7" x14ac:dyDescent="0.3">
      <c r="A137" s="51"/>
      <c r="B137" s="62"/>
      <c r="C137" s="31"/>
      <c r="D137" s="31"/>
      <c r="E137" s="31"/>
      <c r="F137" s="22"/>
      <c r="G137" s="22"/>
    </row>
    <row r="138" spans="1:7" x14ac:dyDescent="0.3">
      <c r="A138" s="51"/>
      <c r="B138" s="62"/>
      <c r="C138" s="31"/>
      <c r="D138" s="31"/>
      <c r="E138" s="31"/>
      <c r="F138" s="22"/>
      <c r="G138" s="22"/>
    </row>
    <row r="139" spans="1:7" x14ac:dyDescent="0.3">
      <c r="A139" s="51"/>
      <c r="B139" s="62"/>
      <c r="C139" s="31"/>
      <c r="D139" s="31"/>
      <c r="E139" s="31"/>
      <c r="F139" s="22"/>
      <c r="G139" s="22"/>
    </row>
    <row r="140" spans="1:7" x14ac:dyDescent="0.3">
      <c r="A140" s="51"/>
      <c r="B140" s="62"/>
      <c r="C140" s="31"/>
      <c r="D140" s="31"/>
      <c r="E140" s="31"/>
      <c r="F140" s="22"/>
      <c r="G140" s="22"/>
    </row>
    <row r="141" spans="1:7" x14ac:dyDescent="0.3">
      <c r="A141" s="51"/>
      <c r="B141" s="62"/>
      <c r="C141" s="31"/>
      <c r="D141" s="31"/>
      <c r="E141" s="31"/>
      <c r="F141" s="22"/>
      <c r="G141" s="22"/>
    </row>
    <row r="142" spans="1:7" x14ac:dyDescent="0.3">
      <c r="A142" s="51"/>
      <c r="B142" s="62"/>
      <c r="C142" s="31"/>
      <c r="D142" s="31"/>
      <c r="E142" s="31"/>
      <c r="F142" s="22"/>
      <c r="G142" s="22"/>
    </row>
    <row r="143" spans="1:7" x14ac:dyDescent="0.3">
      <c r="A143" s="51"/>
      <c r="B143" s="62"/>
      <c r="C143" s="31"/>
      <c r="D143" s="31"/>
      <c r="E143" s="31"/>
      <c r="F143" s="22"/>
      <c r="G143" s="22"/>
    </row>
    <row r="144" spans="1:7" x14ac:dyDescent="0.3">
      <c r="A144" s="51"/>
      <c r="B144" s="62"/>
      <c r="C144" s="31"/>
      <c r="D144" s="31"/>
      <c r="E144" s="31"/>
      <c r="F144" s="22"/>
      <c r="G144" s="22"/>
    </row>
    <row r="145" spans="1:7" x14ac:dyDescent="0.3">
      <c r="A145" s="51"/>
      <c r="B145" s="62"/>
      <c r="C145" s="31"/>
      <c r="D145" s="31"/>
      <c r="E145" s="31"/>
      <c r="F145" s="22"/>
      <c r="G145" s="22"/>
    </row>
    <row r="146" spans="1:7" x14ac:dyDescent="0.3">
      <c r="A146" s="51"/>
      <c r="B146" s="62"/>
      <c r="C146" s="31"/>
      <c r="D146" s="31"/>
      <c r="E146" s="31"/>
      <c r="F146" s="22"/>
      <c r="G146" s="22"/>
    </row>
    <row r="147" spans="1:7" x14ac:dyDescent="0.3">
      <c r="A147" s="51"/>
      <c r="B147" s="62"/>
      <c r="C147" s="31"/>
      <c r="D147" s="31"/>
      <c r="E147" s="31"/>
      <c r="F147" s="22"/>
      <c r="G147" s="22"/>
    </row>
    <row r="148" spans="1:7" x14ac:dyDescent="0.3">
      <c r="A148" s="51"/>
      <c r="B148" s="62"/>
      <c r="C148" s="31"/>
      <c r="D148" s="31"/>
      <c r="E148" s="31"/>
      <c r="F148" s="22"/>
      <c r="G148" s="22"/>
    </row>
    <row r="149" spans="1:7" x14ac:dyDescent="0.3">
      <c r="A149" s="51"/>
      <c r="B149" s="62"/>
      <c r="C149" s="31"/>
      <c r="D149" s="31"/>
      <c r="E149" s="31"/>
      <c r="F149" s="22"/>
      <c r="G149" s="22"/>
    </row>
    <row r="150" spans="1:7" x14ac:dyDescent="0.3">
      <c r="A150" s="51"/>
      <c r="B150" s="62"/>
      <c r="C150" s="31"/>
      <c r="D150" s="31"/>
      <c r="E150" s="31"/>
      <c r="F150" s="22"/>
      <c r="G150" s="22"/>
    </row>
    <row r="151" spans="1:7" x14ac:dyDescent="0.3">
      <c r="A151" s="51"/>
      <c r="B151" s="62"/>
      <c r="C151" s="31"/>
      <c r="D151" s="31"/>
      <c r="E151" s="31"/>
      <c r="F151" s="22"/>
      <c r="G151" s="22"/>
    </row>
    <row r="152" spans="1:7" x14ac:dyDescent="0.3">
      <c r="A152" s="51"/>
      <c r="B152" s="62"/>
      <c r="C152" s="31"/>
      <c r="D152" s="31"/>
      <c r="E152" s="31"/>
      <c r="F152" s="22"/>
      <c r="G152" s="22"/>
    </row>
    <row r="153" spans="1:7" x14ac:dyDescent="0.3">
      <c r="A153" s="51"/>
      <c r="B153" s="62"/>
      <c r="C153" s="31"/>
      <c r="D153" s="31"/>
      <c r="E153" s="31"/>
      <c r="F153" s="22"/>
      <c r="G153" s="22"/>
    </row>
    <row r="154" spans="1:7" x14ac:dyDescent="0.3">
      <c r="A154" s="51"/>
      <c r="B154" s="62"/>
      <c r="C154" s="31"/>
      <c r="D154" s="31"/>
      <c r="E154" s="31"/>
      <c r="F154" s="22"/>
      <c r="G154" s="22"/>
    </row>
    <row r="155" spans="1:7" x14ac:dyDescent="0.3">
      <c r="A155" s="51"/>
      <c r="B155" s="62"/>
      <c r="C155" s="31"/>
      <c r="D155" s="31"/>
      <c r="E155" s="31"/>
      <c r="F155" s="22"/>
      <c r="G155" s="22"/>
    </row>
    <row r="156" spans="1:7" x14ac:dyDescent="0.3">
      <c r="A156" s="51"/>
      <c r="B156" s="62"/>
      <c r="C156" s="31"/>
      <c r="D156" s="31"/>
      <c r="E156" s="31"/>
      <c r="F156" s="22"/>
      <c r="G156" s="22"/>
    </row>
    <row r="157" spans="1:7" x14ac:dyDescent="0.3">
      <c r="A157" s="51"/>
      <c r="B157" s="62"/>
      <c r="C157" s="31"/>
      <c r="D157" s="31"/>
      <c r="E157" s="31"/>
      <c r="F157" s="22"/>
      <c r="G157" s="22"/>
    </row>
    <row r="158" spans="1:7" x14ac:dyDescent="0.3">
      <c r="A158" s="51"/>
      <c r="B158" s="62"/>
      <c r="C158" s="31"/>
      <c r="D158" s="31"/>
      <c r="E158" s="31"/>
      <c r="F158" s="22"/>
      <c r="G158" s="22"/>
    </row>
    <row r="159" spans="1:7" x14ac:dyDescent="0.3">
      <c r="A159" s="51"/>
      <c r="B159" s="62"/>
      <c r="C159" s="31"/>
      <c r="D159" s="31"/>
      <c r="E159" s="31"/>
      <c r="F159" s="22"/>
      <c r="G159" s="22"/>
    </row>
    <row r="160" spans="1:7" x14ac:dyDescent="0.3">
      <c r="A160" s="51"/>
      <c r="B160" s="62"/>
      <c r="C160" s="31"/>
      <c r="D160" s="31"/>
      <c r="E160" s="31"/>
      <c r="F160" s="22"/>
      <c r="G160" s="22"/>
    </row>
    <row r="161" spans="1:7" x14ac:dyDescent="0.3">
      <c r="A161" s="51"/>
      <c r="B161" s="62"/>
      <c r="C161" s="31"/>
      <c r="D161" s="31"/>
      <c r="E161" s="31"/>
      <c r="F161" s="22"/>
      <c r="G161" s="22"/>
    </row>
    <row r="162" spans="1:7" x14ac:dyDescent="0.3">
      <c r="A162" s="51"/>
      <c r="B162" s="62"/>
      <c r="C162" s="31"/>
      <c r="D162" s="31"/>
      <c r="E162" s="31"/>
      <c r="F162" s="22"/>
      <c r="G162" s="22"/>
    </row>
    <row r="163" spans="1:7" x14ac:dyDescent="0.3">
      <c r="A163" s="51"/>
      <c r="B163" s="62"/>
      <c r="C163" s="31"/>
      <c r="D163" s="31"/>
      <c r="E163" s="31"/>
      <c r="F163" s="22"/>
      <c r="G163" s="22"/>
    </row>
    <row r="164" spans="1:7" x14ac:dyDescent="0.3">
      <c r="A164" s="51"/>
      <c r="B164" s="62"/>
      <c r="C164" s="31"/>
      <c r="D164" s="31"/>
      <c r="E164" s="31"/>
      <c r="F164" s="22"/>
      <c r="G164" s="22"/>
    </row>
    <row r="165" spans="1:7" x14ac:dyDescent="0.3">
      <c r="A165" s="51"/>
      <c r="B165" s="62"/>
      <c r="C165" s="31"/>
      <c r="D165" s="31"/>
      <c r="E165" s="31"/>
      <c r="F165" s="22"/>
      <c r="G165" s="22"/>
    </row>
    <row r="166" spans="1:7" x14ac:dyDescent="0.3">
      <c r="A166" s="51"/>
      <c r="B166" s="62"/>
      <c r="C166" s="31"/>
      <c r="D166" s="31"/>
      <c r="E166" s="31"/>
      <c r="F166" s="22"/>
      <c r="G166" s="22"/>
    </row>
    <row r="167" spans="1:7" x14ac:dyDescent="0.3">
      <c r="A167" s="51"/>
      <c r="B167" s="62"/>
      <c r="C167" s="31"/>
      <c r="D167" s="31"/>
      <c r="E167" s="31"/>
      <c r="F167" s="22"/>
      <c r="G167" s="22"/>
    </row>
    <row r="168" spans="1:7" x14ac:dyDescent="0.3">
      <c r="A168" s="51"/>
      <c r="B168" s="62"/>
      <c r="C168" s="31"/>
      <c r="D168" s="31"/>
      <c r="E168" s="31"/>
      <c r="F168" s="22"/>
      <c r="G168" s="22"/>
    </row>
    <row r="169" spans="1:7" x14ac:dyDescent="0.3">
      <c r="A169" s="51"/>
      <c r="B169" s="62"/>
      <c r="C169" s="31"/>
      <c r="D169" s="31"/>
      <c r="E169" s="31"/>
      <c r="F169" s="22"/>
      <c r="G169" s="22"/>
    </row>
    <row r="170" spans="1:7" x14ac:dyDescent="0.3">
      <c r="A170" s="51"/>
      <c r="B170" s="62"/>
      <c r="C170" s="31"/>
      <c r="D170" s="31"/>
      <c r="E170" s="31"/>
      <c r="F170" s="22"/>
      <c r="G170" s="22"/>
    </row>
    <row r="171" spans="1:7" x14ac:dyDescent="0.3">
      <c r="A171" s="51"/>
      <c r="B171" s="62"/>
      <c r="C171" s="31"/>
      <c r="D171" s="31"/>
      <c r="E171" s="31"/>
      <c r="F171" s="22"/>
      <c r="G171" s="22"/>
    </row>
    <row r="172" spans="1:7" x14ac:dyDescent="0.3">
      <c r="A172" s="51"/>
      <c r="B172" s="62"/>
      <c r="C172" s="31"/>
      <c r="D172" s="31"/>
      <c r="E172" s="31"/>
      <c r="F172" s="22"/>
      <c r="G172" s="22"/>
    </row>
    <row r="173" spans="1:7" x14ac:dyDescent="0.3">
      <c r="A173" s="51"/>
      <c r="B173" s="62"/>
      <c r="C173" s="31"/>
      <c r="D173" s="31"/>
      <c r="E173" s="31"/>
      <c r="F173" s="22"/>
      <c r="G173" s="22"/>
    </row>
    <row r="174" spans="1:7" x14ac:dyDescent="0.3">
      <c r="A174" s="51"/>
      <c r="B174" s="62"/>
      <c r="C174" s="31"/>
      <c r="D174" s="31"/>
      <c r="E174" s="31"/>
      <c r="F174" s="22"/>
      <c r="G174" s="22"/>
    </row>
    <row r="175" spans="1:7" x14ac:dyDescent="0.3">
      <c r="A175" s="51"/>
      <c r="B175" s="62"/>
      <c r="C175" s="31"/>
      <c r="D175" s="31"/>
      <c r="E175" s="31"/>
      <c r="F175" s="22"/>
      <c r="G175" s="22"/>
    </row>
    <row r="176" spans="1:7" x14ac:dyDescent="0.3">
      <c r="A176" s="51"/>
      <c r="B176" s="62"/>
      <c r="C176" s="31"/>
      <c r="D176" s="31"/>
      <c r="E176" s="31"/>
      <c r="F176" s="22"/>
      <c r="G176" s="22"/>
    </row>
    <row r="177" spans="1:7" x14ac:dyDescent="0.3">
      <c r="A177" s="51"/>
      <c r="B177" s="62"/>
      <c r="C177" s="31"/>
      <c r="D177" s="31"/>
      <c r="E177" s="31"/>
      <c r="F177" s="22"/>
      <c r="G177" s="22"/>
    </row>
    <row r="178" spans="1:7" x14ac:dyDescent="0.3">
      <c r="A178" s="51"/>
      <c r="B178" s="62"/>
      <c r="C178" s="31"/>
      <c r="D178" s="31"/>
      <c r="E178" s="31"/>
      <c r="F178" s="22"/>
      <c r="G178" s="22"/>
    </row>
    <row r="179" spans="1:7" x14ac:dyDescent="0.3">
      <c r="A179" s="51"/>
      <c r="B179" s="62"/>
      <c r="C179" s="31"/>
      <c r="D179" s="31"/>
      <c r="E179" s="31"/>
      <c r="F179" s="22"/>
      <c r="G179" s="22"/>
    </row>
    <row r="180" spans="1:7" x14ac:dyDescent="0.3">
      <c r="A180" s="51"/>
      <c r="B180" s="62"/>
      <c r="C180" s="31"/>
      <c r="D180" s="31"/>
      <c r="E180" s="31"/>
      <c r="F180" s="22"/>
      <c r="G180" s="22"/>
    </row>
    <row r="181" spans="1:7" x14ac:dyDescent="0.3">
      <c r="A181" s="51"/>
      <c r="B181" s="62"/>
      <c r="C181" s="31"/>
      <c r="D181" s="31"/>
      <c r="E181" s="31"/>
      <c r="F181" s="22"/>
      <c r="G181" s="22"/>
    </row>
    <row r="182" spans="1:7" x14ac:dyDescent="0.3">
      <c r="A182" s="51"/>
      <c r="B182" s="62"/>
      <c r="C182" s="31"/>
      <c r="D182" s="31"/>
      <c r="E182" s="31"/>
      <c r="F182" s="22"/>
      <c r="G182" s="22"/>
    </row>
    <row r="183" spans="1:7" x14ac:dyDescent="0.3">
      <c r="A183" s="51"/>
      <c r="B183" s="62"/>
      <c r="C183" s="31"/>
      <c r="D183" s="31"/>
      <c r="E183" s="31"/>
      <c r="F183" s="22"/>
      <c r="G183" s="22"/>
    </row>
    <row r="184" spans="1:7" x14ac:dyDescent="0.3">
      <c r="A184" s="51"/>
      <c r="B184" s="62"/>
      <c r="C184" s="31"/>
      <c r="D184" s="31"/>
      <c r="E184" s="31"/>
      <c r="F184" s="22"/>
      <c r="G184" s="22"/>
    </row>
    <row r="185" spans="1:7" x14ac:dyDescent="0.3">
      <c r="A185" s="51"/>
      <c r="B185" s="62"/>
      <c r="C185" s="31"/>
      <c r="D185" s="31"/>
      <c r="E185" s="31"/>
      <c r="F185" s="22"/>
      <c r="G185" s="22"/>
    </row>
    <row r="186" spans="1:7" x14ac:dyDescent="0.3">
      <c r="A186" s="51"/>
      <c r="B186" s="62"/>
      <c r="C186" s="31"/>
      <c r="D186" s="31"/>
      <c r="E186" s="31"/>
      <c r="F186" s="22"/>
      <c r="G186" s="22"/>
    </row>
    <row r="187" spans="1:7" x14ac:dyDescent="0.3">
      <c r="A187" s="51"/>
      <c r="B187" s="62"/>
      <c r="C187" s="31"/>
      <c r="D187" s="31"/>
      <c r="E187" s="31"/>
      <c r="F187" s="22"/>
      <c r="G187" s="22"/>
    </row>
    <row r="188" spans="1:7" x14ac:dyDescent="0.3">
      <c r="A188" s="51"/>
      <c r="B188" s="62"/>
      <c r="C188" s="31"/>
      <c r="D188" s="31"/>
      <c r="E188" s="31"/>
      <c r="F188" s="22"/>
      <c r="G188" s="22"/>
    </row>
    <row r="189" spans="1:7" x14ac:dyDescent="0.3">
      <c r="A189" s="51"/>
      <c r="B189" s="62"/>
      <c r="C189" s="31"/>
      <c r="D189" s="31"/>
      <c r="E189" s="31"/>
      <c r="F189" s="22"/>
      <c r="G189" s="22"/>
    </row>
    <row r="190" spans="1:7" x14ac:dyDescent="0.3">
      <c r="A190" s="51"/>
      <c r="B190" s="62"/>
      <c r="C190" s="31"/>
      <c r="D190" s="31"/>
      <c r="E190" s="31"/>
      <c r="F190" s="22"/>
      <c r="G190" s="22"/>
    </row>
    <row r="191" spans="1:7" x14ac:dyDescent="0.3">
      <c r="A191" s="51"/>
      <c r="B191" s="62"/>
      <c r="C191" s="31"/>
      <c r="D191" s="31"/>
      <c r="E191" s="31"/>
      <c r="F191" s="22"/>
      <c r="G191" s="22"/>
    </row>
    <row r="192" spans="1:7" x14ac:dyDescent="0.3">
      <c r="A192" s="51"/>
      <c r="B192" s="62"/>
      <c r="C192" s="31"/>
      <c r="D192" s="31"/>
      <c r="E192" s="31"/>
      <c r="F192" s="22"/>
      <c r="G192" s="22"/>
    </row>
    <row r="193" spans="1:7" x14ac:dyDescent="0.3">
      <c r="A193" s="51"/>
      <c r="B193" s="62"/>
      <c r="C193" s="31"/>
      <c r="D193" s="31"/>
      <c r="E193" s="31"/>
      <c r="F193" s="22"/>
      <c r="G193" s="22"/>
    </row>
    <row r="194" spans="1:7" x14ac:dyDescent="0.3">
      <c r="A194" s="51"/>
      <c r="B194" s="62"/>
      <c r="C194" s="31"/>
      <c r="D194" s="31"/>
      <c r="E194" s="31"/>
      <c r="F194" s="22"/>
      <c r="G194" s="22"/>
    </row>
    <row r="195" spans="1:7" x14ac:dyDescent="0.3">
      <c r="A195" s="51"/>
      <c r="B195" s="62"/>
      <c r="C195" s="31"/>
      <c r="D195" s="31"/>
      <c r="E195" s="31"/>
      <c r="F195" s="22"/>
      <c r="G195" s="22"/>
    </row>
    <row r="196" spans="1:7" x14ac:dyDescent="0.3">
      <c r="A196" s="51"/>
      <c r="B196" s="62"/>
      <c r="C196" s="31"/>
      <c r="D196" s="31"/>
      <c r="E196" s="31"/>
      <c r="F196" s="22"/>
      <c r="G196" s="22"/>
    </row>
    <row r="197" spans="1:7" x14ac:dyDescent="0.3">
      <c r="A197" s="51"/>
      <c r="B197" s="62"/>
      <c r="C197" s="31"/>
      <c r="D197" s="31"/>
      <c r="E197" s="31"/>
      <c r="F197" s="22"/>
      <c r="G197" s="22"/>
    </row>
    <row r="198" spans="1:7" x14ac:dyDescent="0.3">
      <c r="A198" s="51"/>
      <c r="B198" s="62"/>
      <c r="C198" s="31"/>
      <c r="D198" s="31"/>
      <c r="E198" s="31"/>
      <c r="F198" s="22"/>
      <c r="G198" s="22"/>
    </row>
    <row r="199" spans="1:7" x14ac:dyDescent="0.3">
      <c r="A199" s="51"/>
      <c r="B199" s="62"/>
      <c r="C199" s="31"/>
      <c r="D199" s="31"/>
      <c r="E199" s="31"/>
      <c r="F199" s="22"/>
      <c r="G199" s="22"/>
    </row>
    <row r="200" spans="1:7" x14ac:dyDescent="0.3">
      <c r="A200" s="51"/>
      <c r="B200" s="62"/>
      <c r="C200" s="31"/>
      <c r="D200" s="31"/>
      <c r="E200" s="31"/>
      <c r="F200" s="22"/>
      <c r="G200" s="22"/>
    </row>
    <row r="201" spans="1:7" x14ac:dyDescent="0.3">
      <c r="A201" s="51"/>
      <c r="B201" s="62"/>
      <c r="C201" s="31"/>
      <c r="D201" s="31"/>
      <c r="E201" s="31"/>
      <c r="F201" s="22"/>
      <c r="G201" s="22"/>
    </row>
    <row r="202" spans="1:7" x14ac:dyDescent="0.3">
      <c r="A202" s="51"/>
      <c r="B202" s="62"/>
      <c r="C202" s="31"/>
      <c r="D202" s="31"/>
      <c r="E202" s="31"/>
      <c r="F202" s="22"/>
      <c r="G202" s="22"/>
    </row>
    <row r="203" spans="1:7" x14ac:dyDescent="0.3">
      <c r="A203" s="51"/>
      <c r="B203" s="62"/>
      <c r="C203" s="31"/>
      <c r="D203" s="31"/>
      <c r="E203" s="31"/>
      <c r="F203" s="22"/>
      <c r="G203" s="22"/>
    </row>
    <row r="204" spans="1:7" x14ac:dyDescent="0.3">
      <c r="A204" s="51"/>
      <c r="B204" s="62"/>
      <c r="C204" s="31"/>
      <c r="D204" s="31"/>
      <c r="E204" s="31"/>
      <c r="F204" s="22"/>
      <c r="G204" s="22"/>
    </row>
    <row r="205" spans="1:7" x14ac:dyDescent="0.3">
      <c r="A205" s="51"/>
      <c r="B205" s="62"/>
      <c r="C205" s="31"/>
      <c r="D205" s="31"/>
      <c r="E205" s="31"/>
      <c r="F205" s="22"/>
      <c r="G205" s="22"/>
    </row>
    <row r="206" spans="1:7" x14ac:dyDescent="0.3">
      <c r="A206" s="51"/>
      <c r="B206" s="62"/>
      <c r="C206" s="31"/>
      <c r="D206" s="31"/>
      <c r="E206" s="31"/>
      <c r="F206" s="22"/>
      <c r="G206" s="22"/>
    </row>
    <row r="207" spans="1:7" x14ac:dyDescent="0.3">
      <c r="A207" s="51"/>
      <c r="B207" s="62"/>
      <c r="C207" s="31"/>
      <c r="D207" s="31"/>
      <c r="E207" s="31"/>
      <c r="F207" s="22"/>
      <c r="G207" s="22"/>
    </row>
    <row r="208" spans="1:7" x14ac:dyDescent="0.3">
      <c r="A208" s="51"/>
      <c r="B208" s="62"/>
      <c r="C208" s="31"/>
      <c r="D208" s="31"/>
      <c r="E208" s="31"/>
      <c r="F208" s="22"/>
      <c r="G208" s="22"/>
    </row>
    <row r="209" spans="1:7" x14ac:dyDescent="0.3">
      <c r="A209" s="51"/>
      <c r="B209" s="62"/>
      <c r="C209" s="31"/>
      <c r="D209" s="31"/>
      <c r="E209" s="31"/>
      <c r="F209" s="22"/>
      <c r="G209" s="22"/>
    </row>
    <row r="210" spans="1:7" x14ac:dyDescent="0.3">
      <c r="A210" s="51"/>
      <c r="B210" s="62"/>
      <c r="C210" s="31"/>
      <c r="D210" s="31"/>
      <c r="E210" s="31"/>
      <c r="F210" s="22"/>
      <c r="G210" s="22"/>
    </row>
    <row r="211" spans="1:7" x14ac:dyDescent="0.3">
      <c r="A211" s="51"/>
      <c r="B211" s="62"/>
      <c r="C211" s="31"/>
      <c r="D211" s="31"/>
      <c r="E211" s="31"/>
      <c r="F211" s="22"/>
      <c r="G211" s="22"/>
    </row>
    <row r="212" spans="1:7" x14ac:dyDescent="0.3">
      <c r="A212" s="51"/>
      <c r="B212" s="62"/>
      <c r="C212" s="31"/>
      <c r="D212" s="31"/>
      <c r="E212" s="31"/>
      <c r="F212" s="22"/>
      <c r="G212" s="22"/>
    </row>
    <row r="213" spans="1:7" x14ac:dyDescent="0.3">
      <c r="A213" s="51"/>
      <c r="B213" s="62"/>
      <c r="C213" s="31"/>
      <c r="D213" s="31"/>
      <c r="E213" s="31"/>
      <c r="F213" s="22"/>
      <c r="G213" s="22"/>
    </row>
    <row r="214" spans="1:7" x14ac:dyDescent="0.3">
      <c r="A214" s="51"/>
      <c r="B214" s="62"/>
      <c r="C214" s="31"/>
      <c r="D214" s="31"/>
      <c r="E214" s="31"/>
      <c r="F214" s="22"/>
      <c r="G214" s="22"/>
    </row>
    <row r="215" spans="1:7" x14ac:dyDescent="0.3">
      <c r="A215" s="51"/>
      <c r="B215" s="62"/>
      <c r="C215" s="31"/>
      <c r="D215" s="31"/>
      <c r="E215" s="31"/>
      <c r="F215" s="22"/>
      <c r="G215" s="22"/>
    </row>
    <row r="216" spans="1:7" x14ac:dyDescent="0.3">
      <c r="A216" s="51"/>
      <c r="B216" s="62"/>
      <c r="C216" s="31"/>
      <c r="D216" s="31"/>
      <c r="E216" s="31"/>
      <c r="F216" s="22"/>
      <c r="G216" s="22"/>
    </row>
    <row r="217" spans="1:7" x14ac:dyDescent="0.3">
      <c r="A217" s="51"/>
      <c r="B217" s="62"/>
      <c r="C217" s="31"/>
      <c r="D217" s="31"/>
      <c r="E217" s="31"/>
      <c r="F217" s="22"/>
      <c r="G217" s="22"/>
    </row>
    <row r="218" spans="1:7" x14ac:dyDescent="0.3">
      <c r="A218" s="51"/>
      <c r="B218" s="62"/>
      <c r="C218" s="31"/>
      <c r="D218" s="31"/>
      <c r="E218" s="31"/>
      <c r="F218" s="22"/>
      <c r="G218" s="22"/>
    </row>
    <row r="219" spans="1:7" x14ac:dyDescent="0.3">
      <c r="A219" s="51"/>
      <c r="B219" s="62"/>
      <c r="C219" s="31"/>
      <c r="D219" s="31"/>
      <c r="E219" s="31"/>
      <c r="F219" s="22"/>
      <c r="G219" s="22"/>
    </row>
    <row r="220" spans="1:7" x14ac:dyDescent="0.3">
      <c r="A220" s="51"/>
      <c r="B220" s="62"/>
      <c r="C220" s="31"/>
      <c r="D220" s="31"/>
      <c r="E220" s="31"/>
      <c r="F220" s="22"/>
      <c r="G220" s="22"/>
    </row>
    <row r="221" spans="1:7" x14ac:dyDescent="0.3">
      <c r="A221" s="51"/>
      <c r="B221" s="62"/>
      <c r="C221" s="31"/>
      <c r="D221" s="31"/>
      <c r="E221" s="31"/>
      <c r="F221" s="22"/>
      <c r="G221" s="22"/>
    </row>
    <row r="222" spans="1:7" x14ac:dyDescent="0.3">
      <c r="A222" s="51"/>
      <c r="B222" s="62"/>
      <c r="C222" s="31"/>
      <c r="D222" s="31"/>
      <c r="E222" s="31"/>
      <c r="F222" s="22"/>
      <c r="G222" s="22"/>
    </row>
    <row r="223" spans="1:7" x14ac:dyDescent="0.3">
      <c r="A223" s="51"/>
      <c r="B223" s="62"/>
      <c r="C223" s="31"/>
      <c r="D223" s="31"/>
      <c r="E223" s="31"/>
      <c r="F223" s="22"/>
      <c r="G223" s="22"/>
    </row>
    <row r="224" spans="1:7" x14ac:dyDescent="0.3">
      <c r="A224" s="51"/>
      <c r="B224" s="62"/>
      <c r="C224" s="31"/>
      <c r="D224" s="31"/>
      <c r="E224" s="31"/>
      <c r="F224" s="22"/>
      <c r="G224" s="22"/>
    </row>
    <row r="225" spans="1:7" x14ac:dyDescent="0.3">
      <c r="A225" s="51"/>
      <c r="B225" s="62"/>
      <c r="C225" s="31"/>
      <c r="D225" s="31"/>
      <c r="E225" s="31"/>
      <c r="F225" s="22"/>
      <c r="G225" s="22"/>
    </row>
    <row r="226" spans="1:7" x14ac:dyDescent="0.3">
      <c r="A226" s="51"/>
      <c r="B226" s="62"/>
      <c r="C226" s="31"/>
      <c r="D226" s="31"/>
      <c r="E226" s="31"/>
      <c r="F226" s="22"/>
      <c r="G226" s="22"/>
    </row>
    <row r="227" spans="1:7" x14ac:dyDescent="0.3">
      <c r="A227" s="51"/>
      <c r="B227" s="62"/>
      <c r="C227" s="31"/>
      <c r="D227" s="31"/>
      <c r="E227" s="31"/>
      <c r="F227" s="22"/>
      <c r="G227" s="22"/>
    </row>
    <row r="228" spans="1:7" x14ac:dyDescent="0.3">
      <c r="A228" s="51"/>
      <c r="B228" s="62"/>
      <c r="C228" s="31"/>
      <c r="D228" s="31"/>
      <c r="E228" s="31"/>
      <c r="F228" s="22"/>
      <c r="G228" s="22"/>
    </row>
    <row r="229" spans="1:7" x14ac:dyDescent="0.3">
      <c r="A229" s="51"/>
      <c r="B229" s="62"/>
      <c r="C229" s="31"/>
      <c r="D229" s="31"/>
      <c r="E229" s="31"/>
      <c r="F229" s="22"/>
      <c r="G229" s="22"/>
    </row>
    <row r="230" spans="1:7" x14ac:dyDescent="0.3">
      <c r="A230" s="51"/>
      <c r="B230" s="62"/>
      <c r="C230" s="31"/>
      <c r="D230" s="31"/>
      <c r="E230" s="31"/>
      <c r="F230" s="22"/>
      <c r="G230" s="22"/>
    </row>
    <row r="231" spans="1:7" x14ac:dyDescent="0.3">
      <c r="A231" s="51"/>
      <c r="B231" s="62"/>
      <c r="C231" s="31"/>
      <c r="D231" s="31"/>
      <c r="E231" s="31"/>
      <c r="F231" s="22"/>
      <c r="G231" s="22"/>
    </row>
    <row r="232" spans="1:7" x14ac:dyDescent="0.3">
      <c r="A232" s="51"/>
      <c r="B232" s="62"/>
      <c r="C232" s="31"/>
      <c r="D232" s="31"/>
      <c r="E232" s="31"/>
      <c r="F232" s="22"/>
      <c r="G232" s="22"/>
    </row>
    <row r="233" spans="1:7" x14ac:dyDescent="0.3">
      <c r="A233" s="51"/>
      <c r="B233" s="62"/>
      <c r="C233" s="31"/>
      <c r="D233" s="31"/>
      <c r="E233" s="31"/>
      <c r="F233" s="22"/>
      <c r="G233" s="22"/>
    </row>
    <row r="234" spans="1:7" x14ac:dyDescent="0.3">
      <c r="A234" s="51"/>
      <c r="B234" s="62"/>
      <c r="C234" s="31"/>
      <c r="D234" s="31"/>
      <c r="E234" s="31"/>
      <c r="F234" s="22"/>
      <c r="G234" s="22"/>
    </row>
    <row r="235" spans="1:7" x14ac:dyDescent="0.3">
      <c r="A235" s="51"/>
      <c r="B235" s="62"/>
      <c r="C235" s="31"/>
      <c r="D235" s="31"/>
      <c r="E235" s="31"/>
      <c r="F235" s="22"/>
      <c r="G235" s="22"/>
    </row>
    <row r="236" spans="1:7" x14ac:dyDescent="0.3">
      <c r="A236" s="51"/>
      <c r="B236" s="62"/>
      <c r="C236" s="31"/>
      <c r="D236" s="31"/>
      <c r="E236" s="31"/>
      <c r="F236" s="22"/>
      <c r="G236" s="22"/>
    </row>
    <row r="237" spans="1:7" x14ac:dyDescent="0.3">
      <c r="A237" s="51"/>
      <c r="B237" s="62"/>
      <c r="C237" s="31"/>
      <c r="D237" s="31"/>
      <c r="E237" s="31"/>
      <c r="F237" s="22"/>
      <c r="G237" s="22"/>
    </row>
    <row r="238" spans="1:7" x14ac:dyDescent="0.3">
      <c r="A238" s="51"/>
      <c r="B238" s="62"/>
      <c r="C238" s="31"/>
      <c r="D238" s="31"/>
      <c r="E238" s="31"/>
      <c r="F238" s="22"/>
      <c r="G238" s="22"/>
    </row>
    <row r="239" spans="1:7" x14ac:dyDescent="0.3">
      <c r="A239" s="51"/>
      <c r="B239" s="62"/>
      <c r="C239" s="31"/>
      <c r="D239" s="31"/>
      <c r="E239" s="31"/>
      <c r="F239" s="22"/>
      <c r="G239" s="22"/>
    </row>
    <row r="240" spans="1:7" x14ac:dyDescent="0.3">
      <c r="A240" s="51"/>
      <c r="B240" s="62"/>
      <c r="C240" s="31"/>
      <c r="D240" s="31"/>
      <c r="E240" s="31"/>
      <c r="F240" s="22"/>
      <c r="G240" s="22"/>
    </row>
    <row r="241" spans="1:7" x14ac:dyDescent="0.3">
      <c r="A241" s="51"/>
      <c r="B241" s="62"/>
      <c r="C241" s="31"/>
      <c r="D241" s="31"/>
      <c r="E241" s="31"/>
      <c r="F241" s="22"/>
      <c r="G241" s="22"/>
    </row>
    <row r="242" spans="1:7" x14ac:dyDescent="0.3">
      <c r="A242" s="51"/>
      <c r="B242" s="62"/>
      <c r="C242" s="31"/>
      <c r="D242" s="31"/>
      <c r="E242" s="31"/>
      <c r="F242" s="22"/>
      <c r="G242" s="22"/>
    </row>
    <row r="243" spans="1:7" x14ac:dyDescent="0.3">
      <c r="A243" s="51"/>
      <c r="B243" s="62"/>
      <c r="C243" s="31"/>
      <c r="D243" s="31"/>
      <c r="E243" s="31"/>
      <c r="F243" s="22"/>
      <c r="G243" s="22"/>
    </row>
    <row r="244" spans="1:7" x14ac:dyDescent="0.3">
      <c r="A244" s="51"/>
      <c r="B244" s="62"/>
      <c r="C244" s="31"/>
      <c r="D244" s="31"/>
      <c r="E244" s="31"/>
      <c r="F244" s="22"/>
      <c r="G244" s="22"/>
    </row>
    <row r="245" spans="1:7" x14ac:dyDescent="0.3">
      <c r="A245" s="51"/>
      <c r="B245" s="62"/>
      <c r="C245" s="31"/>
      <c r="D245" s="31"/>
      <c r="E245" s="31"/>
      <c r="F245" s="22"/>
      <c r="G245" s="22"/>
    </row>
    <row r="246" spans="1:7" x14ac:dyDescent="0.3">
      <c r="A246" s="51"/>
      <c r="B246" s="62"/>
      <c r="C246" s="31"/>
      <c r="D246" s="31"/>
      <c r="E246" s="31"/>
      <c r="F246" s="22"/>
      <c r="G246" s="22"/>
    </row>
    <row r="247" spans="1:7" x14ac:dyDescent="0.3">
      <c r="A247" s="51"/>
      <c r="B247" s="62"/>
      <c r="C247" s="31"/>
      <c r="D247" s="31"/>
      <c r="E247" s="31"/>
      <c r="F247" s="22"/>
      <c r="G247" s="22"/>
    </row>
    <row r="248" spans="1:7" x14ac:dyDescent="0.3">
      <c r="A248" s="51"/>
      <c r="B248" s="62"/>
      <c r="C248" s="31"/>
      <c r="D248" s="31"/>
      <c r="E248" s="31"/>
      <c r="F248" s="22"/>
      <c r="G248" s="22"/>
    </row>
    <row r="249" spans="1:7" x14ac:dyDescent="0.3">
      <c r="A249" s="51"/>
      <c r="B249" s="62"/>
      <c r="C249" s="31"/>
      <c r="D249" s="31"/>
      <c r="E249" s="31"/>
      <c r="F249" s="22"/>
      <c r="G249" s="22"/>
    </row>
    <row r="250" spans="1:7" x14ac:dyDescent="0.3">
      <c r="A250" s="51"/>
      <c r="B250" s="62"/>
      <c r="C250" s="31"/>
      <c r="D250" s="31"/>
      <c r="E250" s="31"/>
      <c r="F250" s="22"/>
      <c r="G250" s="22"/>
    </row>
    <row r="251" spans="1:7" x14ac:dyDescent="0.3">
      <c r="A251" s="51"/>
      <c r="B251" s="62"/>
      <c r="C251" s="31"/>
      <c r="D251" s="31"/>
      <c r="E251" s="31"/>
      <c r="F251" s="22"/>
      <c r="G251" s="22"/>
    </row>
    <row r="252" spans="1:7" x14ac:dyDescent="0.3">
      <c r="A252" s="51"/>
      <c r="B252" s="62"/>
      <c r="C252" s="31"/>
      <c r="D252" s="31"/>
      <c r="E252" s="31"/>
      <c r="F252" s="22"/>
      <c r="G252" s="22"/>
    </row>
    <row r="253" spans="1:7" x14ac:dyDescent="0.3">
      <c r="A253" s="51"/>
      <c r="B253" s="62"/>
      <c r="C253" s="31"/>
      <c r="D253" s="31"/>
      <c r="E253" s="31"/>
      <c r="F253" s="22"/>
      <c r="G253" s="22"/>
    </row>
    <row r="254" spans="1:7" x14ac:dyDescent="0.3">
      <c r="A254" s="51"/>
      <c r="B254" s="62"/>
      <c r="C254" s="31"/>
      <c r="D254" s="31"/>
      <c r="E254" s="31"/>
      <c r="F254" s="22"/>
      <c r="G254" s="22"/>
    </row>
    <row r="255" spans="1:7" x14ac:dyDescent="0.3">
      <c r="A255" s="51"/>
      <c r="B255" s="62"/>
      <c r="C255" s="31"/>
      <c r="D255" s="31"/>
      <c r="E255" s="31"/>
      <c r="F255" s="22"/>
      <c r="G255" s="22"/>
    </row>
    <row r="256" spans="1:7" x14ac:dyDescent="0.3">
      <c r="A256" s="51"/>
      <c r="B256" s="62"/>
      <c r="C256" s="31"/>
      <c r="D256" s="31"/>
      <c r="E256" s="31"/>
      <c r="F256" s="22"/>
      <c r="G256" s="22"/>
    </row>
    <row r="257" spans="1:7" x14ac:dyDescent="0.3">
      <c r="A257" s="51"/>
      <c r="B257" s="62"/>
      <c r="C257" s="31"/>
      <c r="D257" s="31"/>
      <c r="E257" s="31"/>
      <c r="F257" s="22"/>
      <c r="G257" s="22"/>
    </row>
    <row r="258" spans="1:7" x14ac:dyDescent="0.3">
      <c r="A258" s="51"/>
      <c r="B258" s="62"/>
      <c r="C258" s="31"/>
      <c r="D258" s="31"/>
      <c r="E258" s="31"/>
      <c r="F258" s="22"/>
      <c r="G258" s="22"/>
    </row>
    <row r="259" spans="1:7" x14ac:dyDescent="0.3">
      <c r="A259" s="51"/>
      <c r="B259" s="62"/>
      <c r="C259" s="31"/>
      <c r="D259" s="31"/>
      <c r="E259" s="31"/>
      <c r="F259" s="22"/>
      <c r="G259" s="22"/>
    </row>
    <row r="260" spans="1:7" x14ac:dyDescent="0.3">
      <c r="A260" s="51"/>
      <c r="B260" s="62"/>
      <c r="C260" s="31"/>
      <c r="D260" s="31"/>
      <c r="E260" s="31"/>
      <c r="F260" s="22"/>
      <c r="G260" s="22"/>
    </row>
    <row r="261" spans="1:7" x14ac:dyDescent="0.3">
      <c r="A261" s="51"/>
      <c r="B261" s="62"/>
      <c r="C261" s="31"/>
      <c r="D261" s="31"/>
      <c r="E261" s="31"/>
      <c r="F261" s="22"/>
      <c r="G261" s="22"/>
    </row>
    <row r="262" spans="1:7" x14ac:dyDescent="0.3">
      <c r="A262" s="51"/>
      <c r="B262" s="62"/>
      <c r="C262" s="31"/>
      <c r="D262" s="31"/>
      <c r="E262" s="31"/>
      <c r="F262" s="22"/>
      <c r="G262" s="22"/>
    </row>
    <row r="263" spans="1:7" x14ac:dyDescent="0.3">
      <c r="A263" s="51"/>
      <c r="B263" s="62"/>
      <c r="C263" s="31"/>
      <c r="D263" s="31"/>
      <c r="E263" s="31"/>
      <c r="F263" s="22"/>
      <c r="G263" s="22"/>
    </row>
    <row r="264" spans="1:7" x14ac:dyDescent="0.3">
      <c r="A264" s="51"/>
      <c r="B264" s="62"/>
      <c r="C264" s="31"/>
      <c r="D264" s="31"/>
      <c r="E264" s="31"/>
      <c r="F264" s="22"/>
      <c r="G264" s="22"/>
    </row>
    <row r="265" spans="1:7" x14ac:dyDescent="0.3">
      <c r="A265" s="51"/>
      <c r="B265" s="62"/>
      <c r="C265" s="31"/>
      <c r="D265" s="31"/>
      <c r="E265" s="31"/>
      <c r="F265" s="22"/>
      <c r="G265" s="22"/>
    </row>
    <row r="266" spans="1:7" x14ac:dyDescent="0.3">
      <c r="A266" s="51"/>
      <c r="B266" s="62"/>
      <c r="C266" s="31"/>
      <c r="D266" s="31"/>
      <c r="E266" s="31"/>
      <c r="F266" s="22"/>
      <c r="G266" s="22"/>
    </row>
    <row r="267" spans="1:7" x14ac:dyDescent="0.3">
      <c r="A267" s="51"/>
      <c r="B267" s="62"/>
      <c r="C267" s="31"/>
      <c r="D267" s="31"/>
      <c r="E267" s="31"/>
      <c r="F267" s="22"/>
      <c r="G267" s="22"/>
    </row>
    <row r="268" spans="1:7" x14ac:dyDescent="0.3">
      <c r="A268" s="51"/>
      <c r="B268" s="62"/>
      <c r="C268" s="31"/>
      <c r="D268" s="31"/>
      <c r="E268" s="31"/>
      <c r="F268" s="22"/>
      <c r="G268" s="22"/>
    </row>
    <row r="269" spans="1:7" x14ac:dyDescent="0.3">
      <c r="A269" s="51"/>
      <c r="B269" s="62"/>
      <c r="C269" s="31"/>
      <c r="D269" s="31"/>
      <c r="E269" s="31"/>
      <c r="F269" s="22"/>
      <c r="G269" s="22"/>
    </row>
    <row r="270" spans="1:7" x14ac:dyDescent="0.3">
      <c r="A270" s="51"/>
      <c r="B270" s="62"/>
      <c r="C270" s="31"/>
      <c r="D270" s="31"/>
      <c r="E270" s="31"/>
      <c r="F270" s="22"/>
      <c r="G270" s="22"/>
    </row>
    <row r="271" spans="1:7" x14ac:dyDescent="0.3">
      <c r="A271" s="51"/>
      <c r="B271" s="62"/>
      <c r="C271" s="31"/>
      <c r="D271" s="31"/>
      <c r="E271" s="31"/>
      <c r="F271" s="22"/>
      <c r="G271" s="22"/>
    </row>
    <row r="272" spans="1:7" x14ac:dyDescent="0.3">
      <c r="A272" s="51"/>
      <c r="B272" s="62"/>
      <c r="C272" s="31"/>
      <c r="D272" s="31"/>
      <c r="E272" s="31"/>
      <c r="F272" s="22"/>
      <c r="G272" s="22"/>
    </row>
    <row r="273" spans="1:7" x14ac:dyDescent="0.3">
      <c r="A273" s="51"/>
      <c r="B273" s="62"/>
      <c r="C273" s="31"/>
      <c r="D273" s="31"/>
      <c r="E273" s="31"/>
      <c r="F273" s="22"/>
      <c r="G273" s="22"/>
    </row>
    <row r="274" spans="1:7" x14ac:dyDescent="0.3">
      <c r="A274" s="51"/>
      <c r="B274" s="62"/>
      <c r="C274" s="31"/>
      <c r="D274" s="31"/>
      <c r="E274" s="31"/>
      <c r="F274" s="22"/>
      <c r="G274" s="22"/>
    </row>
    <row r="275" spans="1:7" x14ac:dyDescent="0.3">
      <c r="A275" s="51"/>
      <c r="B275" s="62"/>
      <c r="C275" s="31"/>
      <c r="D275" s="31"/>
      <c r="E275" s="31"/>
      <c r="F275" s="22"/>
      <c r="G275" s="22"/>
    </row>
    <row r="276" spans="1:7" x14ac:dyDescent="0.3">
      <c r="A276" s="51"/>
      <c r="B276" s="62"/>
      <c r="C276" s="31"/>
      <c r="D276" s="31"/>
      <c r="E276" s="31"/>
      <c r="F276" s="22"/>
      <c r="G276" s="22"/>
    </row>
    <row r="277" spans="1:7" x14ac:dyDescent="0.3">
      <c r="A277" s="51"/>
      <c r="B277" s="62"/>
      <c r="C277" s="31"/>
      <c r="D277" s="31"/>
      <c r="E277" s="31"/>
      <c r="F277" s="22"/>
      <c r="G277" s="22"/>
    </row>
    <row r="278" spans="1:7" x14ac:dyDescent="0.3">
      <c r="A278" s="51"/>
      <c r="B278" s="62"/>
      <c r="C278" s="31"/>
      <c r="D278" s="31"/>
      <c r="E278" s="31"/>
      <c r="F278" s="22"/>
      <c r="G278" s="22"/>
    </row>
    <row r="279" spans="1:7" x14ac:dyDescent="0.3">
      <c r="A279" s="51"/>
      <c r="B279" s="62"/>
      <c r="C279" s="31"/>
      <c r="D279" s="31"/>
      <c r="E279" s="31"/>
      <c r="F279" s="22"/>
      <c r="G279" s="22"/>
    </row>
    <row r="280" spans="1:7" x14ac:dyDescent="0.3">
      <c r="A280" s="51"/>
      <c r="B280" s="62"/>
      <c r="C280" s="31"/>
      <c r="D280" s="31"/>
      <c r="E280" s="31"/>
      <c r="F280" s="22"/>
      <c r="G280" s="22"/>
    </row>
    <row r="281" spans="1:7" x14ac:dyDescent="0.3">
      <c r="A281" s="51"/>
      <c r="B281" s="62"/>
      <c r="C281" s="31"/>
      <c r="D281" s="31"/>
      <c r="E281" s="31"/>
      <c r="F281" s="22"/>
      <c r="G281" s="22"/>
    </row>
    <row r="282" spans="1:7" x14ac:dyDescent="0.3">
      <c r="A282" s="51"/>
      <c r="B282" s="62"/>
      <c r="C282" s="31"/>
      <c r="D282" s="31"/>
      <c r="E282" s="31"/>
      <c r="F282" s="22"/>
      <c r="G282" s="22"/>
    </row>
    <row r="283" spans="1:7" x14ac:dyDescent="0.3">
      <c r="A283" s="51"/>
      <c r="B283" s="62"/>
      <c r="C283" s="31"/>
      <c r="D283" s="31"/>
      <c r="E283" s="31"/>
      <c r="F283" s="22"/>
      <c r="G283" s="22"/>
    </row>
    <row r="284" spans="1:7" x14ac:dyDescent="0.3">
      <c r="A284" s="51"/>
      <c r="B284" s="62"/>
      <c r="C284" s="31"/>
      <c r="D284" s="31"/>
      <c r="E284" s="31"/>
      <c r="F284" s="22"/>
      <c r="G284" s="22"/>
    </row>
    <row r="285" spans="1:7" x14ac:dyDescent="0.3">
      <c r="A285" s="51"/>
      <c r="B285" s="62"/>
      <c r="C285" s="31"/>
      <c r="D285" s="31"/>
      <c r="E285" s="31"/>
      <c r="F285" s="22"/>
      <c r="G285" s="22"/>
    </row>
    <row r="286" spans="1:7" x14ac:dyDescent="0.3">
      <c r="A286" s="51"/>
      <c r="B286" s="62"/>
      <c r="C286" s="31"/>
      <c r="D286" s="31"/>
      <c r="E286" s="31"/>
      <c r="F286" s="22"/>
      <c r="G286" s="22"/>
    </row>
    <row r="287" spans="1:7" x14ac:dyDescent="0.3">
      <c r="A287" s="51"/>
      <c r="B287" s="62"/>
      <c r="C287" s="31"/>
      <c r="D287" s="31"/>
      <c r="E287" s="31"/>
      <c r="F287" s="22"/>
      <c r="G287" s="22"/>
    </row>
    <row r="288" spans="1:7" x14ac:dyDescent="0.3">
      <c r="A288" s="51"/>
      <c r="B288" s="62"/>
      <c r="C288" s="31"/>
      <c r="D288" s="31"/>
      <c r="E288" s="31"/>
      <c r="F288" s="22"/>
      <c r="G288" s="22"/>
    </row>
    <row r="289" spans="1:7" x14ac:dyDescent="0.3">
      <c r="A289" s="51"/>
      <c r="B289" s="62"/>
      <c r="C289" s="31"/>
      <c r="D289" s="31"/>
      <c r="E289" s="31"/>
      <c r="F289" s="22"/>
      <c r="G289" s="22"/>
    </row>
    <row r="290" spans="1:7" x14ac:dyDescent="0.3">
      <c r="A290" s="51"/>
      <c r="B290" s="62"/>
      <c r="C290" s="31"/>
      <c r="D290" s="31"/>
      <c r="E290" s="31"/>
      <c r="F290" s="22"/>
      <c r="G290" s="22"/>
    </row>
    <row r="291" spans="1:7" x14ac:dyDescent="0.3">
      <c r="A291" s="51"/>
      <c r="B291" s="62"/>
      <c r="C291" s="31"/>
      <c r="D291" s="31"/>
      <c r="E291" s="31"/>
      <c r="F291" s="22"/>
      <c r="G291" s="22"/>
    </row>
    <row r="292" spans="1:7" x14ac:dyDescent="0.3">
      <c r="A292" s="51"/>
      <c r="B292" s="62"/>
      <c r="C292" s="31"/>
      <c r="D292" s="31"/>
      <c r="E292" s="31"/>
      <c r="F292" s="22"/>
      <c r="G292" s="22"/>
    </row>
    <row r="293" spans="1:7" x14ac:dyDescent="0.3">
      <c r="A293" s="51"/>
      <c r="B293" s="62"/>
      <c r="C293" s="31"/>
      <c r="D293" s="31"/>
      <c r="E293" s="31"/>
      <c r="F293" s="22"/>
      <c r="G293" s="22"/>
    </row>
    <row r="294" spans="1:7" x14ac:dyDescent="0.3">
      <c r="A294" s="51"/>
      <c r="B294" s="62"/>
      <c r="C294" s="31"/>
      <c r="D294" s="31"/>
      <c r="E294" s="31"/>
      <c r="F294" s="22"/>
      <c r="G294" s="22"/>
    </row>
    <row r="295" spans="1:7" x14ac:dyDescent="0.3">
      <c r="A295" s="51"/>
      <c r="B295" s="62"/>
      <c r="C295" s="31"/>
      <c r="D295" s="31"/>
      <c r="E295" s="31"/>
      <c r="F295" s="22"/>
      <c r="G295" s="22"/>
    </row>
    <row r="296" spans="1:7" x14ac:dyDescent="0.3">
      <c r="A296" s="51"/>
      <c r="B296" s="62"/>
      <c r="C296" s="31"/>
      <c r="D296" s="31"/>
      <c r="E296" s="31"/>
      <c r="F296" s="22"/>
      <c r="G296" s="22"/>
    </row>
    <row r="297" spans="1:7" x14ac:dyDescent="0.3">
      <c r="A297" s="51"/>
      <c r="B297" s="62"/>
      <c r="C297" s="31"/>
      <c r="D297" s="31"/>
      <c r="E297" s="31"/>
      <c r="F297" s="22"/>
      <c r="G297" s="22"/>
    </row>
    <row r="298" spans="1:7" x14ac:dyDescent="0.3">
      <c r="A298" s="51"/>
      <c r="B298" s="62"/>
      <c r="C298" s="31"/>
      <c r="D298" s="31"/>
      <c r="E298" s="31"/>
      <c r="F298" s="22"/>
      <c r="G298" s="22"/>
    </row>
    <row r="299" spans="1:7" x14ac:dyDescent="0.3">
      <c r="A299" s="51"/>
      <c r="B299" s="62"/>
      <c r="C299" s="31"/>
      <c r="D299" s="31"/>
      <c r="E299" s="31"/>
      <c r="F299" s="22"/>
      <c r="G299" s="22"/>
    </row>
    <row r="300" spans="1:7" x14ac:dyDescent="0.3">
      <c r="A300" s="51"/>
      <c r="B300" s="62"/>
      <c r="C300" s="31"/>
      <c r="D300" s="31"/>
      <c r="E300" s="31"/>
      <c r="F300" s="22"/>
      <c r="G300" s="22"/>
    </row>
    <row r="301" spans="1:7" x14ac:dyDescent="0.3">
      <c r="A301" s="51"/>
      <c r="B301" s="62"/>
      <c r="C301" s="31"/>
      <c r="D301" s="31"/>
      <c r="E301" s="31"/>
      <c r="F301" s="22"/>
      <c r="G301" s="22"/>
    </row>
    <row r="302" spans="1:7" x14ac:dyDescent="0.3">
      <c r="A302" s="51"/>
      <c r="B302" s="62"/>
      <c r="C302" s="31"/>
      <c r="D302" s="31"/>
      <c r="E302" s="31"/>
      <c r="F302" s="22"/>
      <c r="G302" s="22"/>
    </row>
    <row r="303" spans="1:7" x14ac:dyDescent="0.3">
      <c r="A303" s="51"/>
      <c r="B303" s="62"/>
      <c r="C303" s="31"/>
      <c r="D303" s="31"/>
      <c r="E303" s="31"/>
      <c r="F303" s="22"/>
      <c r="G303" s="22"/>
    </row>
    <row r="304" spans="1:7" x14ac:dyDescent="0.3">
      <c r="A304" s="51"/>
      <c r="B304" s="62"/>
      <c r="C304" s="31"/>
      <c r="D304" s="31"/>
      <c r="E304" s="31"/>
      <c r="F304" s="22"/>
      <c r="G304" s="22"/>
    </row>
    <row r="305" spans="1:7" x14ac:dyDescent="0.3">
      <c r="A305" s="51"/>
      <c r="B305" s="62"/>
      <c r="C305" s="31"/>
      <c r="D305" s="31"/>
      <c r="E305" s="31"/>
      <c r="F305" s="22"/>
      <c r="G305" s="22"/>
    </row>
    <row r="306" spans="1:7" x14ac:dyDescent="0.3">
      <c r="A306" s="51"/>
      <c r="B306" s="62"/>
      <c r="C306" s="31"/>
      <c r="D306" s="31"/>
      <c r="E306" s="31"/>
      <c r="F306" s="22"/>
      <c r="G306" s="22"/>
    </row>
    <row r="307" spans="1:7" x14ac:dyDescent="0.3">
      <c r="A307" s="51"/>
      <c r="B307" s="62"/>
      <c r="C307" s="31"/>
      <c r="D307" s="31"/>
      <c r="E307" s="31"/>
      <c r="F307" s="22"/>
      <c r="G307" s="22"/>
    </row>
    <row r="308" spans="1:7" x14ac:dyDescent="0.3">
      <c r="A308" s="51"/>
      <c r="B308" s="62"/>
      <c r="C308" s="31"/>
      <c r="D308" s="31"/>
      <c r="E308" s="31"/>
      <c r="F308" s="22"/>
      <c r="G308" s="22"/>
    </row>
    <row r="309" spans="1:7" x14ac:dyDescent="0.3">
      <c r="A309" s="51"/>
      <c r="B309" s="62"/>
      <c r="C309" s="31"/>
      <c r="D309" s="31"/>
      <c r="E309" s="31"/>
      <c r="F309" s="22"/>
      <c r="G309" s="22"/>
    </row>
    <row r="310" spans="1:7" x14ac:dyDescent="0.3">
      <c r="A310" s="51"/>
      <c r="B310" s="62"/>
      <c r="C310" s="31"/>
      <c r="D310" s="31"/>
      <c r="E310" s="31"/>
      <c r="F310" s="22"/>
      <c r="G310" s="22"/>
    </row>
    <row r="311" spans="1:7" x14ac:dyDescent="0.3">
      <c r="A311" s="51"/>
      <c r="B311" s="62"/>
      <c r="C311" s="31"/>
      <c r="D311" s="31"/>
      <c r="E311" s="31"/>
      <c r="F311" s="22"/>
      <c r="G311" s="22"/>
    </row>
    <row r="312" spans="1:7" x14ac:dyDescent="0.3">
      <c r="A312" s="51"/>
      <c r="B312" s="62"/>
      <c r="C312" s="31"/>
      <c r="D312" s="31"/>
      <c r="E312" s="31"/>
      <c r="F312" s="22"/>
      <c r="G312" s="22"/>
    </row>
    <row r="313" spans="1:7" x14ac:dyDescent="0.3">
      <c r="A313" s="51"/>
      <c r="B313" s="62"/>
      <c r="C313" s="31"/>
      <c r="D313" s="31"/>
      <c r="E313" s="31"/>
      <c r="F313" s="22"/>
      <c r="G313" s="22"/>
    </row>
    <row r="314" spans="1:7" x14ac:dyDescent="0.3">
      <c r="A314" s="51"/>
      <c r="B314" s="62"/>
      <c r="C314" s="31"/>
      <c r="D314" s="31"/>
      <c r="E314" s="31"/>
      <c r="F314" s="22"/>
      <c r="G314" s="22"/>
    </row>
    <row r="315" spans="1:7" x14ac:dyDescent="0.3">
      <c r="A315" s="51"/>
      <c r="B315" s="62"/>
      <c r="C315" s="31"/>
      <c r="D315" s="31"/>
      <c r="E315" s="31"/>
      <c r="F315" s="22"/>
      <c r="G315" s="22"/>
    </row>
    <row r="316" spans="1:7" x14ac:dyDescent="0.3">
      <c r="A316" s="51"/>
      <c r="B316" s="62"/>
      <c r="C316" s="31"/>
      <c r="D316" s="31"/>
      <c r="E316" s="31"/>
      <c r="F316" s="22"/>
      <c r="G316" s="22"/>
    </row>
    <row r="317" spans="1:7" x14ac:dyDescent="0.3">
      <c r="A317" s="51"/>
      <c r="B317" s="62"/>
      <c r="C317" s="31"/>
      <c r="D317" s="31"/>
      <c r="E317" s="31"/>
      <c r="F317" s="22"/>
      <c r="G317" s="22"/>
    </row>
    <row r="318" spans="1:7" x14ac:dyDescent="0.3">
      <c r="A318" s="51"/>
      <c r="B318" s="62"/>
      <c r="C318" s="31"/>
      <c r="D318" s="31"/>
      <c r="E318" s="31"/>
      <c r="F318" s="22"/>
      <c r="G318" s="22"/>
    </row>
    <row r="319" spans="1:7" x14ac:dyDescent="0.3">
      <c r="A319" s="51"/>
      <c r="B319" s="62"/>
      <c r="C319" s="31"/>
      <c r="D319" s="31"/>
      <c r="E319" s="31"/>
      <c r="F319" s="22"/>
      <c r="G319" s="22"/>
    </row>
    <row r="320" spans="1:7" x14ac:dyDescent="0.3">
      <c r="A320" s="51"/>
      <c r="B320" s="62"/>
      <c r="C320" s="31"/>
      <c r="D320" s="31"/>
      <c r="E320" s="31"/>
      <c r="F320" s="22"/>
      <c r="G320" s="22"/>
    </row>
    <row r="321" spans="1:7" x14ac:dyDescent="0.3">
      <c r="A321" s="51"/>
      <c r="B321" s="62"/>
      <c r="C321" s="31"/>
      <c r="D321" s="31"/>
      <c r="E321" s="31"/>
      <c r="F321" s="22"/>
      <c r="G321" s="22"/>
    </row>
    <row r="322" spans="1:7" x14ac:dyDescent="0.3">
      <c r="A322" s="51"/>
      <c r="B322" s="62"/>
      <c r="C322" s="31"/>
      <c r="D322" s="31"/>
      <c r="E322" s="31"/>
      <c r="F322" s="22"/>
      <c r="G322" s="22"/>
    </row>
    <row r="323" spans="1:7" x14ac:dyDescent="0.3">
      <c r="A323" s="51"/>
      <c r="B323" s="62"/>
      <c r="C323" s="31"/>
      <c r="D323" s="31"/>
      <c r="E323" s="31"/>
      <c r="F323" s="22"/>
      <c r="G323" s="22"/>
    </row>
    <row r="324" spans="1:7" x14ac:dyDescent="0.3">
      <c r="A324" s="51"/>
      <c r="B324" s="62"/>
      <c r="C324" s="31"/>
      <c r="D324" s="31"/>
      <c r="E324" s="31"/>
      <c r="F324" s="22"/>
      <c r="G324" s="22"/>
    </row>
    <row r="325" spans="1:7" x14ac:dyDescent="0.3">
      <c r="A325" s="51"/>
      <c r="B325" s="62"/>
      <c r="C325" s="31"/>
      <c r="D325" s="31"/>
      <c r="E325" s="31"/>
      <c r="F325" s="22"/>
      <c r="G325" s="22"/>
    </row>
    <row r="326" spans="1:7" x14ac:dyDescent="0.3">
      <c r="A326" s="51"/>
      <c r="B326" s="62"/>
      <c r="C326" s="31"/>
      <c r="D326" s="31"/>
      <c r="E326" s="31"/>
      <c r="F326" s="22"/>
      <c r="G326" s="22"/>
    </row>
    <row r="327" spans="1:7" x14ac:dyDescent="0.3">
      <c r="A327" s="51"/>
      <c r="B327" s="62"/>
      <c r="C327" s="31"/>
      <c r="D327" s="31"/>
      <c r="E327" s="31"/>
      <c r="F327" s="22"/>
      <c r="G327" s="22"/>
    </row>
    <row r="328" spans="1:7" x14ac:dyDescent="0.3">
      <c r="A328" s="51"/>
      <c r="B328" s="62"/>
      <c r="C328" s="31"/>
      <c r="D328" s="31"/>
      <c r="E328" s="31"/>
      <c r="F328" s="22"/>
      <c r="G328" s="22"/>
    </row>
    <row r="329" spans="1:7" x14ac:dyDescent="0.3">
      <c r="A329" s="51"/>
      <c r="B329" s="62"/>
      <c r="C329" s="31"/>
      <c r="D329" s="31"/>
      <c r="E329" s="31"/>
      <c r="F329" s="22"/>
      <c r="G329" s="22"/>
    </row>
    <row r="330" spans="1:7" x14ac:dyDescent="0.3">
      <c r="A330" s="51"/>
      <c r="B330" s="62"/>
      <c r="C330" s="31"/>
      <c r="D330" s="31"/>
      <c r="E330" s="31"/>
      <c r="F330" s="22"/>
      <c r="G330" s="22"/>
    </row>
    <row r="331" spans="1:7" x14ac:dyDescent="0.3">
      <c r="A331" s="51"/>
      <c r="B331" s="62"/>
      <c r="C331" s="31"/>
      <c r="D331" s="31"/>
      <c r="E331" s="31"/>
      <c r="F331" s="22"/>
      <c r="G331" s="22"/>
    </row>
    <row r="332" spans="1:7" x14ac:dyDescent="0.3">
      <c r="A332" s="51"/>
      <c r="B332" s="62"/>
      <c r="C332" s="31"/>
      <c r="D332" s="31"/>
      <c r="E332" s="31"/>
      <c r="F332" s="22"/>
      <c r="G332" s="22"/>
    </row>
    <row r="333" spans="1:7" x14ac:dyDescent="0.3">
      <c r="A333" s="51"/>
      <c r="B333" s="62"/>
      <c r="C333" s="31"/>
      <c r="D333" s="31"/>
      <c r="E333" s="31"/>
      <c r="F333" s="22"/>
      <c r="G333" s="22"/>
    </row>
    <row r="334" spans="1:7" x14ac:dyDescent="0.3">
      <c r="A334" s="51"/>
      <c r="B334" s="62"/>
      <c r="C334" s="31"/>
      <c r="D334" s="31"/>
      <c r="E334" s="31"/>
      <c r="F334" s="22"/>
      <c r="G334" s="22"/>
    </row>
    <row r="335" spans="1:7" x14ac:dyDescent="0.3">
      <c r="A335" s="51"/>
      <c r="B335" s="62"/>
      <c r="C335" s="31"/>
      <c r="D335" s="31"/>
      <c r="E335" s="31"/>
      <c r="F335" s="22"/>
      <c r="G335" s="22"/>
    </row>
    <row r="336" spans="1:7" x14ac:dyDescent="0.3">
      <c r="A336" s="51"/>
      <c r="B336" s="62"/>
      <c r="C336" s="31"/>
      <c r="D336" s="31"/>
      <c r="E336" s="31"/>
      <c r="F336" s="22"/>
      <c r="G336" s="22"/>
    </row>
    <row r="337" spans="1:7" x14ac:dyDescent="0.3">
      <c r="A337" s="51"/>
      <c r="B337" s="62"/>
      <c r="C337" s="31"/>
      <c r="D337" s="31"/>
      <c r="E337" s="31"/>
      <c r="F337" s="22"/>
      <c r="G337" s="22"/>
    </row>
    <row r="338" spans="1:7" x14ac:dyDescent="0.3">
      <c r="A338" s="51"/>
      <c r="B338" s="62"/>
      <c r="C338" s="31"/>
      <c r="D338" s="31"/>
      <c r="E338" s="31"/>
      <c r="F338" s="22"/>
      <c r="G338" s="22"/>
    </row>
    <row r="339" spans="1:7" x14ac:dyDescent="0.3">
      <c r="A339" s="51"/>
      <c r="B339" s="62"/>
      <c r="C339" s="31"/>
      <c r="D339" s="31"/>
      <c r="E339" s="31"/>
      <c r="F339" s="22"/>
      <c r="G339" s="22"/>
    </row>
    <row r="340" spans="1:7" x14ac:dyDescent="0.3">
      <c r="A340" s="51"/>
      <c r="B340" s="62"/>
      <c r="C340" s="31"/>
      <c r="D340" s="31"/>
      <c r="E340" s="31"/>
      <c r="F340" s="22"/>
      <c r="G340" s="22"/>
    </row>
    <row r="341" spans="1:7" x14ac:dyDescent="0.3">
      <c r="A341" s="51"/>
      <c r="B341" s="62"/>
      <c r="C341" s="31"/>
      <c r="D341" s="31"/>
      <c r="E341" s="31"/>
      <c r="F341" s="22"/>
      <c r="G341" s="22"/>
    </row>
    <row r="342" spans="1:7" x14ac:dyDescent="0.3">
      <c r="A342" s="51"/>
      <c r="B342" s="62"/>
      <c r="C342" s="31"/>
      <c r="D342" s="31"/>
      <c r="E342" s="31"/>
      <c r="F342" s="22"/>
      <c r="G342" s="22"/>
    </row>
    <row r="343" spans="1:7" x14ac:dyDescent="0.3">
      <c r="A343" s="51"/>
      <c r="B343" s="62"/>
      <c r="C343" s="31"/>
      <c r="D343" s="31"/>
      <c r="E343" s="31"/>
      <c r="F343" s="22"/>
      <c r="G343" s="22"/>
    </row>
    <row r="344" spans="1:7" x14ac:dyDescent="0.3">
      <c r="A344" s="51"/>
      <c r="B344" s="62"/>
      <c r="C344" s="31"/>
      <c r="D344" s="31"/>
      <c r="E344" s="31"/>
      <c r="F344" s="22"/>
      <c r="G344" s="22"/>
    </row>
    <row r="345" spans="1:7" x14ac:dyDescent="0.3">
      <c r="A345" s="51"/>
      <c r="B345" s="62"/>
      <c r="C345" s="31"/>
      <c r="D345" s="31"/>
      <c r="E345" s="31"/>
      <c r="F345" s="22"/>
      <c r="G345" s="22"/>
    </row>
    <row r="346" spans="1:7" x14ac:dyDescent="0.3">
      <c r="A346" s="51"/>
      <c r="B346" s="62"/>
      <c r="C346" s="31"/>
      <c r="D346" s="31"/>
      <c r="E346" s="31"/>
      <c r="F346" s="22"/>
      <c r="G346" s="22"/>
    </row>
    <row r="347" spans="1:7" x14ac:dyDescent="0.3">
      <c r="A347" s="51"/>
      <c r="B347" s="62"/>
      <c r="C347" s="31"/>
      <c r="D347" s="31"/>
      <c r="E347" s="31"/>
      <c r="F347" s="22"/>
      <c r="G347" s="22"/>
    </row>
    <row r="348" spans="1:7" x14ac:dyDescent="0.3">
      <c r="A348" s="51"/>
      <c r="B348" s="62"/>
      <c r="C348" s="31"/>
      <c r="D348" s="31"/>
      <c r="E348" s="31"/>
      <c r="F348" s="22"/>
      <c r="G348" s="22"/>
    </row>
    <row r="349" spans="1:7" x14ac:dyDescent="0.3">
      <c r="A349" s="51"/>
      <c r="B349" s="62"/>
      <c r="C349" s="31"/>
      <c r="D349" s="31"/>
      <c r="E349" s="31"/>
      <c r="F349" s="22"/>
      <c r="G349" s="22"/>
    </row>
    <row r="350" spans="1:7" x14ac:dyDescent="0.3">
      <c r="A350" s="51"/>
      <c r="B350" s="62"/>
      <c r="C350" s="31"/>
      <c r="D350" s="31"/>
      <c r="E350" s="31"/>
      <c r="F350" s="22"/>
      <c r="G350" s="22"/>
    </row>
    <row r="351" spans="1:7" x14ac:dyDescent="0.3">
      <c r="A351" s="51"/>
      <c r="B351" s="62"/>
      <c r="C351" s="31"/>
      <c r="D351" s="31"/>
      <c r="E351" s="31"/>
      <c r="F351" s="22"/>
      <c r="G351" s="22"/>
    </row>
    <row r="352" spans="1:7" x14ac:dyDescent="0.3">
      <c r="A352" s="51"/>
      <c r="B352" s="62"/>
      <c r="C352" s="31"/>
      <c r="D352" s="31"/>
      <c r="E352" s="31"/>
      <c r="F352" s="22"/>
      <c r="G352" s="22"/>
    </row>
    <row r="353" spans="1:7" x14ac:dyDescent="0.3">
      <c r="A353" s="51"/>
      <c r="B353" s="62"/>
      <c r="C353" s="31"/>
      <c r="D353" s="31"/>
      <c r="E353" s="31"/>
      <c r="F353" s="22"/>
      <c r="G353" s="22"/>
    </row>
    <row r="354" spans="1:7" x14ac:dyDescent="0.3">
      <c r="A354" s="51"/>
      <c r="B354" s="62"/>
      <c r="C354" s="31"/>
      <c r="D354" s="31"/>
      <c r="E354" s="31"/>
      <c r="F354" s="22"/>
      <c r="G354" s="22"/>
    </row>
    <row r="355" spans="1:7" x14ac:dyDescent="0.3">
      <c r="A355" s="51"/>
      <c r="B355" s="62"/>
      <c r="C355" s="31"/>
      <c r="D355" s="31"/>
      <c r="E355" s="31"/>
      <c r="F355" s="22"/>
      <c r="G355" s="22"/>
    </row>
    <row r="356" spans="1:7" x14ac:dyDescent="0.3">
      <c r="A356" s="51"/>
      <c r="B356" s="62"/>
      <c r="C356" s="31"/>
      <c r="D356" s="31"/>
      <c r="E356" s="31"/>
      <c r="F356" s="22"/>
      <c r="G356" s="22"/>
    </row>
    <row r="357" spans="1:7" x14ac:dyDescent="0.3">
      <c r="A357" s="51"/>
      <c r="B357" s="62"/>
      <c r="C357" s="31"/>
      <c r="D357" s="31"/>
      <c r="E357" s="31"/>
      <c r="F357" s="22"/>
      <c r="G357" s="22"/>
    </row>
    <row r="358" spans="1:7" x14ac:dyDescent="0.3">
      <c r="A358" s="51"/>
      <c r="B358" s="62"/>
      <c r="C358" s="31"/>
      <c r="D358" s="31"/>
      <c r="E358" s="31"/>
      <c r="F358" s="22"/>
      <c r="G358" s="22"/>
    </row>
    <row r="359" spans="1:7" x14ac:dyDescent="0.3">
      <c r="A359" s="51"/>
      <c r="B359" s="62"/>
      <c r="C359" s="31"/>
      <c r="D359" s="31"/>
      <c r="E359" s="31"/>
      <c r="F359" s="22"/>
      <c r="G359" s="22"/>
    </row>
    <row r="360" spans="1:7" x14ac:dyDescent="0.3">
      <c r="A360" s="51"/>
      <c r="B360" s="62"/>
      <c r="C360" s="31"/>
      <c r="D360" s="31"/>
      <c r="E360" s="31"/>
      <c r="F360" s="22"/>
      <c r="G360" s="22"/>
    </row>
    <row r="361" spans="1:7" x14ac:dyDescent="0.3">
      <c r="A361" s="51"/>
      <c r="B361" s="62"/>
      <c r="C361" s="31"/>
      <c r="D361" s="31"/>
      <c r="E361" s="31"/>
      <c r="F361" s="22"/>
      <c r="G361" s="22"/>
    </row>
    <row r="362" spans="1:7" x14ac:dyDescent="0.3">
      <c r="A362" s="51"/>
      <c r="B362" s="62"/>
      <c r="C362" s="31"/>
      <c r="D362" s="31"/>
      <c r="E362" s="31"/>
      <c r="F362" s="22"/>
      <c r="G362" s="22"/>
    </row>
    <row r="363" spans="1:7" x14ac:dyDescent="0.3">
      <c r="A363" s="51"/>
      <c r="B363" s="62"/>
      <c r="C363" s="31"/>
      <c r="D363" s="31"/>
      <c r="E363" s="31"/>
      <c r="F363" s="22"/>
      <c r="G363" s="22"/>
    </row>
    <row r="364" spans="1:7" x14ac:dyDescent="0.3">
      <c r="A364" s="51"/>
      <c r="B364" s="62"/>
      <c r="C364" s="31"/>
      <c r="D364" s="31"/>
      <c r="E364" s="31"/>
      <c r="F364" s="22"/>
      <c r="G364" s="22"/>
    </row>
    <row r="365" spans="1:7" x14ac:dyDescent="0.3">
      <c r="A365" s="51"/>
      <c r="B365" s="62"/>
      <c r="C365" s="31"/>
      <c r="D365" s="31"/>
      <c r="E365" s="31"/>
      <c r="F365" s="22"/>
      <c r="G365" s="22"/>
    </row>
    <row r="366" spans="1:7" x14ac:dyDescent="0.3">
      <c r="A366" s="51"/>
      <c r="B366" s="62"/>
      <c r="C366" s="31"/>
      <c r="D366" s="31"/>
      <c r="E366" s="31"/>
      <c r="F366" s="22"/>
      <c r="G366" s="22"/>
    </row>
    <row r="367" spans="1:7" x14ac:dyDescent="0.3">
      <c r="A367" s="51"/>
      <c r="B367" s="62"/>
      <c r="C367" s="31"/>
      <c r="D367" s="31"/>
      <c r="E367" s="31"/>
      <c r="F367" s="22"/>
      <c r="G367" s="22"/>
    </row>
    <row r="368" spans="1:7" x14ac:dyDescent="0.3">
      <c r="A368" s="51"/>
      <c r="B368" s="62"/>
      <c r="C368" s="31"/>
      <c r="D368" s="31"/>
      <c r="E368" s="31"/>
      <c r="F368" s="22"/>
      <c r="G368" s="22"/>
    </row>
    <row r="369" spans="1:7" x14ac:dyDescent="0.3">
      <c r="A369" s="51"/>
      <c r="B369" s="62"/>
      <c r="C369" s="31"/>
      <c r="D369" s="31"/>
      <c r="E369" s="31"/>
      <c r="F369" s="22"/>
      <c r="G369" s="22"/>
    </row>
    <row r="370" spans="1:7" x14ac:dyDescent="0.3">
      <c r="A370" s="51"/>
      <c r="B370" s="62"/>
      <c r="C370" s="31"/>
      <c r="D370" s="31"/>
      <c r="E370" s="31"/>
      <c r="F370" s="22"/>
      <c r="G370" s="22"/>
    </row>
    <row r="371" spans="1:7" x14ac:dyDescent="0.3">
      <c r="A371" s="51"/>
      <c r="B371" s="62"/>
      <c r="C371" s="31"/>
      <c r="D371" s="31"/>
      <c r="E371" s="31"/>
      <c r="F371" s="22"/>
      <c r="G371" s="22"/>
    </row>
    <row r="372" spans="1:7" x14ac:dyDescent="0.3">
      <c r="A372" s="51"/>
      <c r="B372" s="62"/>
      <c r="C372" s="31"/>
      <c r="D372" s="31"/>
      <c r="E372" s="31"/>
      <c r="F372" s="22"/>
      <c r="G372" s="22"/>
    </row>
    <row r="373" spans="1:7" x14ac:dyDescent="0.3">
      <c r="A373" s="51"/>
      <c r="B373" s="62"/>
      <c r="C373" s="31"/>
      <c r="D373" s="31"/>
      <c r="E373" s="31"/>
      <c r="F373" s="22"/>
      <c r="G373" s="22"/>
    </row>
    <row r="374" spans="1:7" x14ac:dyDescent="0.3">
      <c r="A374" s="51"/>
      <c r="B374" s="62"/>
      <c r="C374" s="31"/>
      <c r="D374" s="31"/>
      <c r="E374" s="31"/>
      <c r="F374" s="22"/>
      <c r="G374" s="22"/>
    </row>
    <row r="375" spans="1:7" x14ac:dyDescent="0.3">
      <c r="A375" s="51"/>
      <c r="B375" s="62"/>
      <c r="C375" s="31"/>
      <c r="D375" s="31"/>
      <c r="E375" s="31"/>
      <c r="F375" s="22"/>
      <c r="G375" s="22"/>
    </row>
    <row r="376" spans="1:7" x14ac:dyDescent="0.3">
      <c r="A376" s="51"/>
      <c r="B376" s="62"/>
      <c r="C376" s="31"/>
      <c r="D376" s="31"/>
      <c r="E376" s="31"/>
      <c r="F376" s="22"/>
      <c r="G376" s="22"/>
    </row>
    <row r="377" spans="1:7" x14ac:dyDescent="0.3">
      <c r="A377" s="51"/>
      <c r="B377" s="62"/>
      <c r="C377" s="31"/>
      <c r="D377" s="31"/>
      <c r="E377" s="31"/>
      <c r="F377" s="22"/>
      <c r="G377" s="22"/>
    </row>
    <row r="378" spans="1:7" x14ac:dyDescent="0.3">
      <c r="A378" s="51"/>
      <c r="B378" s="62"/>
      <c r="C378" s="31"/>
      <c r="D378" s="31"/>
      <c r="E378" s="31"/>
      <c r="F378" s="22"/>
      <c r="G378" s="22"/>
    </row>
    <row r="379" spans="1:7" x14ac:dyDescent="0.3">
      <c r="A379" s="51"/>
      <c r="B379" s="62"/>
      <c r="C379" s="31"/>
      <c r="D379" s="31"/>
      <c r="E379" s="31"/>
      <c r="F379" s="22"/>
      <c r="G379" s="22"/>
    </row>
    <row r="380" spans="1:7" x14ac:dyDescent="0.3">
      <c r="A380" s="51"/>
      <c r="B380" s="62"/>
      <c r="C380" s="31"/>
      <c r="D380" s="31"/>
      <c r="E380" s="31"/>
      <c r="F380" s="22"/>
      <c r="G380" s="22"/>
    </row>
    <row r="381" spans="1:7" x14ac:dyDescent="0.3">
      <c r="A381" s="51"/>
      <c r="B381" s="62"/>
      <c r="C381" s="31"/>
      <c r="D381" s="31"/>
      <c r="E381" s="31"/>
      <c r="F381" s="22"/>
      <c r="G381" s="22"/>
    </row>
    <row r="382" spans="1:7" x14ac:dyDescent="0.3">
      <c r="A382" s="51"/>
      <c r="B382" s="62"/>
      <c r="C382" s="31"/>
      <c r="D382" s="31"/>
      <c r="E382" s="31"/>
      <c r="F382" s="22"/>
      <c r="G382" s="22"/>
    </row>
    <row r="383" spans="1:7" x14ac:dyDescent="0.3">
      <c r="A383" s="51"/>
      <c r="B383" s="62"/>
      <c r="C383" s="31"/>
      <c r="D383" s="31"/>
      <c r="E383" s="31"/>
      <c r="F383" s="22"/>
      <c r="G383" s="22"/>
    </row>
    <row r="384" spans="1:7" x14ac:dyDescent="0.3">
      <c r="A384" s="51"/>
      <c r="B384" s="62"/>
      <c r="C384" s="31"/>
      <c r="D384" s="31"/>
      <c r="E384" s="31"/>
      <c r="F384" s="22"/>
      <c r="G384" s="22"/>
    </row>
    <row r="385" spans="1:7" x14ac:dyDescent="0.3">
      <c r="A385" s="51"/>
      <c r="B385" s="62"/>
      <c r="C385" s="31"/>
      <c r="D385" s="31"/>
      <c r="E385" s="31"/>
      <c r="F385" s="22"/>
      <c r="G385" s="22"/>
    </row>
    <row r="386" spans="1:7" x14ac:dyDescent="0.3">
      <c r="A386" s="51"/>
      <c r="B386" s="62"/>
      <c r="C386" s="31"/>
      <c r="D386" s="31"/>
      <c r="E386" s="31"/>
      <c r="F386" s="22"/>
      <c r="G386" s="22"/>
    </row>
    <row r="387" spans="1:7" x14ac:dyDescent="0.3">
      <c r="A387" s="51"/>
      <c r="B387" s="62"/>
      <c r="C387" s="31"/>
      <c r="D387" s="31"/>
      <c r="E387" s="31"/>
      <c r="F387" s="22"/>
      <c r="G387" s="22"/>
    </row>
    <row r="388" spans="1:7" x14ac:dyDescent="0.3">
      <c r="A388" s="51"/>
      <c r="B388" s="62"/>
      <c r="C388" s="31"/>
      <c r="D388" s="31"/>
      <c r="E388" s="31"/>
      <c r="F388" s="22"/>
      <c r="G388" s="22"/>
    </row>
    <row r="389" spans="1:7" x14ac:dyDescent="0.3">
      <c r="A389" s="51"/>
      <c r="B389" s="62"/>
      <c r="C389" s="31"/>
      <c r="D389" s="31"/>
      <c r="E389" s="31"/>
      <c r="F389" s="22"/>
      <c r="G389" s="22"/>
    </row>
    <row r="390" spans="1:7" x14ac:dyDescent="0.3">
      <c r="A390" s="51"/>
      <c r="B390" s="62"/>
      <c r="C390" s="31"/>
      <c r="D390" s="31"/>
      <c r="E390" s="31"/>
      <c r="F390" s="22"/>
      <c r="G390" s="22"/>
    </row>
    <row r="391" spans="1:7" x14ac:dyDescent="0.3">
      <c r="A391" s="51"/>
      <c r="B391" s="62"/>
      <c r="C391" s="31"/>
      <c r="D391" s="31"/>
      <c r="E391" s="31"/>
      <c r="F391" s="22"/>
      <c r="G391" s="22"/>
    </row>
    <row r="392" spans="1:7" x14ac:dyDescent="0.3">
      <c r="A392" s="51"/>
      <c r="B392" s="62"/>
      <c r="C392" s="31"/>
      <c r="D392" s="31"/>
      <c r="E392" s="31"/>
      <c r="F392" s="22"/>
      <c r="G392" s="22"/>
    </row>
    <row r="393" spans="1:7" x14ac:dyDescent="0.3">
      <c r="A393" s="51"/>
      <c r="B393" s="62"/>
      <c r="C393" s="31"/>
      <c r="D393" s="31"/>
      <c r="E393" s="31"/>
      <c r="F393" s="22"/>
      <c r="G393" s="22"/>
    </row>
    <row r="394" spans="1:7" x14ac:dyDescent="0.3">
      <c r="A394" s="51"/>
      <c r="B394" s="62"/>
      <c r="C394" s="31"/>
      <c r="D394" s="31"/>
      <c r="E394" s="31"/>
      <c r="F394" s="22"/>
      <c r="G394" s="22"/>
    </row>
    <row r="395" spans="1:7" x14ac:dyDescent="0.3">
      <c r="A395" s="51"/>
      <c r="B395" s="62"/>
      <c r="C395" s="31"/>
      <c r="D395" s="31"/>
      <c r="E395" s="31"/>
      <c r="F395" s="22"/>
      <c r="G395" s="22"/>
    </row>
    <row r="396" spans="1:7" x14ac:dyDescent="0.3">
      <c r="A396" s="51"/>
      <c r="B396" s="62"/>
      <c r="C396" s="31"/>
      <c r="D396" s="31"/>
      <c r="E396" s="31"/>
      <c r="F396" s="22"/>
      <c r="G396" s="22"/>
    </row>
    <row r="397" spans="1:7" x14ac:dyDescent="0.3">
      <c r="A397" s="51"/>
      <c r="B397" s="62"/>
      <c r="C397" s="31"/>
      <c r="D397" s="31"/>
      <c r="E397" s="31"/>
      <c r="F397" s="22"/>
      <c r="G397" s="22"/>
    </row>
    <row r="398" spans="1:7" x14ac:dyDescent="0.3">
      <c r="A398" s="51"/>
      <c r="B398" s="62"/>
      <c r="C398" s="31"/>
      <c r="D398" s="31"/>
      <c r="E398" s="31"/>
      <c r="F398" s="22"/>
      <c r="G398" s="22"/>
    </row>
    <row r="399" spans="1:7" x14ac:dyDescent="0.3">
      <c r="A399" s="51"/>
      <c r="B399" s="62"/>
      <c r="C399" s="31"/>
      <c r="D399" s="31"/>
      <c r="E399" s="31"/>
      <c r="F399" s="22"/>
      <c r="G399" s="22"/>
    </row>
    <row r="400" spans="1:7" x14ac:dyDescent="0.3">
      <c r="A400" s="51"/>
      <c r="B400" s="62"/>
      <c r="C400" s="31"/>
      <c r="D400" s="31"/>
      <c r="E400" s="31"/>
      <c r="F400" s="22"/>
      <c r="G400" s="22"/>
    </row>
    <row r="401" spans="1:7" x14ac:dyDescent="0.3">
      <c r="A401" s="51"/>
      <c r="B401" s="62"/>
      <c r="C401" s="31"/>
      <c r="D401" s="31"/>
      <c r="E401" s="31"/>
      <c r="F401" s="22"/>
      <c r="G401" s="22"/>
    </row>
    <row r="402" spans="1:7" x14ac:dyDescent="0.3">
      <c r="A402" s="51"/>
      <c r="B402" s="62"/>
      <c r="C402" s="31"/>
      <c r="D402" s="31"/>
      <c r="E402" s="31"/>
      <c r="F402" s="22"/>
      <c r="G402" s="22"/>
    </row>
    <row r="403" spans="1:7" x14ac:dyDescent="0.3">
      <c r="A403" s="51"/>
      <c r="B403" s="62"/>
      <c r="C403" s="31"/>
      <c r="D403" s="31"/>
      <c r="E403" s="31"/>
      <c r="F403" s="22"/>
      <c r="G403" s="22"/>
    </row>
    <row r="404" spans="1:7" x14ac:dyDescent="0.3">
      <c r="A404" s="51"/>
      <c r="B404" s="62"/>
      <c r="C404" s="31"/>
      <c r="D404" s="31"/>
      <c r="E404" s="31"/>
      <c r="F404" s="22"/>
      <c r="G404" s="22"/>
    </row>
    <row r="405" spans="1:7" x14ac:dyDescent="0.3">
      <c r="A405" s="51"/>
      <c r="B405" s="62"/>
      <c r="C405" s="31"/>
      <c r="D405" s="31"/>
      <c r="E405" s="31"/>
      <c r="F405" s="22"/>
      <c r="G405" s="22"/>
    </row>
    <row r="406" spans="1:7" x14ac:dyDescent="0.3">
      <c r="A406" s="51"/>
      <c r="B406" s="62"/>
      <c r="C406" s="31"/>
      <c r="D406" s="31"/>
      <c r="E406" s="31"/>
      <c r="F406" s="22"/>
      <c r="G406" s="22"/>
    </row>
    <row r="407" spans="1:7" x14ac:dyDescent="0.3">
      <c r="A407" s="51"/>
      <c r="B407" s="62"/>
      <c r="C407" s="31"/>
      <c r="D407" s="31"/>
      <c r="E407" s="31"/>
      <c r="F407" s="22"/>
      <c r="G407" s="22"/>
    </row>
    <row r="408" spans="1:7" x14ac:dyDescent="0.3">
      <c r="A408" s="51"/>
      <c r="B408" s="62"/>
      <c r="C408" s="31"/>
      <c r="D408" s="31"/>
      <c r="E408" s="31"/>
      <c r="F408" s="22"/>
      <c r="G408" s="22"/>
    </row>
    <row r="409" spans="1:7" x14ac:dyDescent="0.3">
      <c r="A409" s="51"/>
      <c r="B409" s="62"/>
      <c r="C409" s="31"/>
      <c r="D409" s="31"/>
      <c r="E409" s="31"/>
      <c r="F409" s="22"/>
      <c r="G409" s="22"/>
    </row>
    <row r="410" spans="1:7" x14ac:dyDescent="0.3">
      <c r="A410" s="51"/>
      <c r="B410" s="62"/>
      <c r="C410" s="31"/>
      <c r="D410" s="31"/>
      <c r="E410" s="31"/>
      <c r="F410" s="22"/>
      <c r="G410" s="22"/>
    </row>
    <row r="411" spans="1:7" x14ac:dyDescent="0.3">
      <c r="A411" s="51"/>
      <c r="B411" s="62"/>
      <c r="C411" s="31"/>
      <c r="D411" s="31"/>
      <c r="E411" s="31"/>
      <c r="F411" s="22"/>
      <c r="G411" s="22"/>
    </row>
    <row r="412" spans="1:7" x14ac:dyDescent="0.3">
      <c r="A412" s="51"/>
      <c r="B412" s="62"/>
      <c r="C412" s="31"/>
      <c r="D412" s="31"/>
      <c r="E412" s="31"/>
      <c r="F412" s="22"/>
      <c r="G412" s="22"/>
    </row>
    <row r="413" spans="1:7" x14ac:dyDescent="0.3">
      <c r="A413" s="51"/>
      <c r="B413" s="62"/>
      <c r="C413" s="31"/>
      <c r="D413" s="31"/>
      <c r="E413" s="31"/>
      <c r="F413" s="22"/>
      <c r="G413" s="22"/>
    </row>
    <row r="414" spans="1:7" x14ac:dyDescent="0.3">
      <c r="A414" s="51"/>
      <c r="B414" s="62"/>
      <c r="C414" s="31"/>
      <c r="D414" s="31"/>
      <c r="E414" s="31"/>
      <c r="F414" s="22"/>
      <c r="G414" s="22"/>
    </row>
    <row r="415" spans="1:7" x14ac:dyDescent="0.3">
      <c r="A415" s="51"/>
      <c r="B415" s="62"/>
      <c r="C415" s="31"/>
      <c r="D415" s="31"/>
      <c r="E415" s="31"/>
      <c r="F415" s="22"/>
      <c r="G415" s="22"/>
    </row>
    <row r="416" spans="1:7" x14ac:dyDescent="0.3">
      <c r="A416" s="51"/>
      <c r="B416" s="62"/>
      <c r="C416" s="31"/>
      <c r="D416" s="31"/>
      <c r="E416" s="31"/>
      <c r="F416" s="22"/>
      <c r="G416" s="22"/>
    </row>
    <row r="417" spans="1:7" x14ac:dyDescent="0.3">
      <c r="A417" s="51"/>
      <c r="B417" s="62"/>
      <c r="C417" s="31"/>
      <c r="D417" s="31"/>
      <c r="E417" s="31"/>
      <c r="F417" s="22"/>
      <c r="G417" s="22"/>
    </row>
    <row r="418" spans="1:7" x14ac:dyDescent="0.3">
      <c r="A418" s="51"/>
      <c r="B418" s="62"/>
      <c r="C418" s="31"/>
      <c r="D418" s="31"/>
      <c r="E418" s="31"/>
      <c r="F418" s="22"/>
      <c r="G418" s="22"/>
    </row>
    <row r="419" spans="1:7" x14ac:dyDescent="0.3">
      <c r="A419" s="51"/>
      <c r="B419" s="62"/>
      <c r="C419" s="31"/>
      <c r="D419" s="31"/>
      <c r="E419" s="31"/>
      <c r="F419" s="22"/>
      <c r="G419" s="22"/>
    </row>
    <row r="420" spans="1:7" x14ac:dyDescent="0.3">
      <c r="A420" s="51"/>
      <c r="B420" s="62"/>
      <c r="C420" s="31"/>
      <c r="D420" s="31"/>
      <c r="E420" s="31"/>
      <c r="F420" s="22"/>
      <c r="G420" s="22"/>
    </row>
    <row r="421" spans="1:7" x14ac:dyDescent="0.3">
      <c r="A421" s="51"/>
      <c r="B421" s="62"/>
      <c r="C421" s="31"/>
      <c r="D421" s="31"/>
      <c r="E421" s="31"/>
      <c r="F421" s="22"/>
      <c r="G421" s="22"/>
    </row>
    <row r="422" spans="1:7" x14ac:dyDescent="0.3">
      <c r="A422" s="51"/>
      <c r="B422" s="62"/>
      <c r="C422" s="31"/>
      <c r="D422" s="31"/>
      <c r="E422" s="31"/>
      <c r="F422" s="22"/>
      <c r="G422" s="22"/>
    </row>
    <row r="423" spans="1:7" x14ac:dyDescent="0.3">
      <c r="A423" s="51"/>
      <c r="B423" s="62"/>
      <c r="C423" s="31"/>
      <c r="D423" s="31"/>
      <c r="E423" s="31"/>
      <c r="F423" s="22"/>
      <c r="G423" s="22"/>
    </row>
    <row r="424" spans="1:7" x14ac:dyDescent="0.3">
      <c r="A424" s="51"/>
      <c r="B424" s="62"/>
      <c r="C424" s="31"/>
      <c r="D424" s="31"/>
      <c r="E424" s="31"/>
      <c r="F424" s="22"/>
      <c r="G424" s="22"/>
    </row>
    <row r="425" spans="1:7" x14ac:dyDescent="0.3">
      <c r="A425" s="51"/>
      <c r="B425" s="62"/>
      <c r="C425" s="31"/>
      <c r="D425" s="31"/>
      <c r="E425" s="31"/>
      <c r="F425" s="22"/>
      <c r="G425" s="22"/>
    </row>
    <row r="426" spans="1:7" x14ac:dyDescent="0.3">
      <c r="A426" s="51"/>
      <c r="B426" s="62"/>
      <c r="C426" s="31"/>
      <c r="D426" s="31"/>
      <c r="E426" s="31"/>
      <c r="F426" s="22"/>
      <c r="G426" s="22"/>
    </row>
    <row r="427" spans="1:7" x14ac:dyDescent="0.3">
      <c r="A427" s="51"/>
      <c r="B427" s="62"/>
      <c r="C427" s="31"/>
      <c r="D427" s="31"/>
      <c r="E427" s="31"/>
      <c r="F427" s="22"/>
      <c r="G427" s="22"/>
    </row>
    <row r="428" spans="1:7" x14ac:dyDescent="0.3">
      <c r="A428" s="51"/>
      <c r="B428" s="62"/>
      <c r="C428" s="31"/>
      <c r="D428" s="31"/>
      <c r="E428" s="31"/>
      <c r="F428" s="22"/>
      <c r="G428" s="22"/>
    </row>
    <row r="429" spans="1:7" x14ac:dyDescent="0.3">
      <c r="A429" s="51"/>
      <c r="B429" s="62"/>
      <c r="C429" s="31"/>
      <c r="D429" s="31"/>
      <c r="E429" s="31"/>
      <c r="F429" s="22"/>
      <c r="G429" s="22"/>
    </row>
    <row r="430" spans="1:7" x14ac:dyDescent="0.3">
      <c r="A430" s="51"/>
      <c r="B430" s="62"/>
      <c r="C430" s="31"/>
      <c r="D430" s="31"/>
      <c r="E430" s="31"/>
      <c r="F430" s="22"/>
      <c r="G430" s="22"/>
    </row>
    <row r="431" spans="1:7" x14ac:dyDescent="0.3">
      <c r="A431" s="51"/>
      <c r="B431" s="62"/>
      <c r="C431" s="31"/>
      <c r="D431" s="31"/>
      <c r="E431" s="31"/>
      <c r="F431" s="22"/>
      <c r="G431" s="22"/>
    </row>
    <row r="432" spans="1:7" x14ac:dyDescent="0.3">
      <c r="A432" s="51"/>
      <c r="B432" s="62"/>
      <c r="C432" s="31"/>
      <c r="D432" s="31"/>
      <c r="E432" s="31"/>
      <c r="F432" s="22"/>
      <c r="G432" s="22"/>
    </row>
    <row r="433" spans="1:7" x14ac:dyDescent="0.3">
      <c r="A433" s="51"/>
      <c r="B433" s="62"/>
      <c r="C433" s="31"/>
      <c r="D433" s="31"/>
      <c r="E433" s="31"/>
      <c r="F433" s="22"/>
      <c r="G433" s="22"/>
    </row>
    <row r="434" spans="1:7" x14ac:dyDescent="0.3">
      <c r="A434" s="51"/>
      <c r="B434" s="62"/>
      <c r="C434" s="31"/>
      <c r="D434" s="31"/>
      <c r="E434" s="31"/>
      <c r="F434" s="22"/>
      <c r="G434" s="22"/>
    </row>
    <row r="435" spans="1:7" x14ac:dyDescent="0.3">
      <c r="A435" s="51"/>
      <c r="B435" s="62"/>
      <c r="C435" s="31"/>
      <c r="D435" s="31"/>
      <c r="E435" s="31"/>
      <c r="F435" s="22"/>
      <c r="G435" s="22"/>
    </row>
    <row r="436" spans="1:7" x14ac:dyDescent="0.3">
      <c r="A436" s="51"/>
      <c r="B436" s="62"/>
      <c r="C436" s="31"/>
      <c r="D436" s="31"/>
      <c r="E436" s="31"/>
      <c r="F436" s="22"/>
      <c r="G436" s="22"/>
    </row>
    <row r="437" spans="1:7" x14ac:dyDescent="0.3">
      <c r="A437" s="51"/>
      <c r="B437" s="62"/>
      <c r="C437" s="31"/>
      <c r="D437" s="31"/>
      <c r="E437" s="31"/>
      <c r="F437" s="22"/>
      <c r="G437" s="22"/>
    </row>
    <row r="438" spans="1:7" x14ac:dyDescent="0.3">
      <c r="A438" s="51"/>
      <c r="B438" s="62"/>
      <c r="C438" s="31"/>
      <c r="D438" s="31"/>
      <c r="E438" s="31"/>
      <c r="F438" s="22"/>
      <c r="G438" s="22"/>
    </row>
    <row r="439" spans="1:7" x14ac:dyDescent="0.3">
      <c r="A439" s="51"/>
      <c r="B439" s="62"/>
      <c r="C439" s="31"/>
      <c r="D439" s="31"/>
      <c r="E439" s="31"/>
      <c r="F439" s="22"/>
      <c r="G439" s="22"/>
    </row>
    <row r="440" spans="1:7" x14ac:dyDescent="0.3">
      <c r="A440" s="51"/>
      <c r="B440" s="62"/>
      <c r="C440" s="31"/>
      <c r="D440" s="31"/>
      <c r="E440" s="31"/>
      <c r="F440" s="22"/>
      <c r="G440" s="22"/>
    </row>
    <row r="441" spans="1:7" x14ac:dyDescent="0.3">
      <c r="A441" s="51"/>
      <c r="B441" s="62"/>
      <c r="C441" s="31"/>
      <c r="D441" s="31"/>
      <c r="E441" s="31"/>
      <c r="F441" s="22"/>
      <c r="G441" s="22"/>
    </row>
    <row r="442" spans="1:7" x14ac:dyDescent="0.3">
      <c r="A442" s="51"/>
      <c r="B442" s="62"/>
      <c r="C442" s="31"/>
      <c r="D442" s="31"/>
      <c r="E442" s="31"/>
      <c r="F442" s="22"/>
      <c r="G442" s="22"/>
    </row>
    <row r="443" spans="1:7" x14ac:dyDescent="0.3">
      <c r="A443" s="51"/>
      <c r="B443" s="62"/>
      <c r="C443" s="31"/>
      <c r="D443" s="31"/>
      <c r="E443" s="31"/>
      <c r="F443" s="22"/>
      <c r="G443" s="22"/>
    </row>
    <row r="444" spans="1:7" x14ac:dyDescent="0.3">
      <c r="A444" s="51"/>
      <c r="B444" s="62"/>
      <c r="C444" s="31"/>
      <c r="D444" s="31"/>
      <c r="E444" s="31"/>
      <c r="F444" s="22"/>
      <c r="G444" s="22"/>
    </row>
    <row r="445" spans="1:7" x14ac:dyDescent="0.3">
      <c r="A445" s="51"/>
      <c r="B445" s="62"/>
      <c r="C445" s="31"/>
      <c r="D445" s="31"/>
      <c r="E445" s="31"/>
      <c r="F445" s="22"/>
      <c r="G445" s="22"/>
    </row>
    <row r="446" spans="1:7" x14ac:dyDescent="0.3">
      <c r="A446" s="51"/>
      <c r="B446" s="62"/>
      <c r="C446" s="31"/>
      <c r="D446" s="31"/>
      <c r="E446" s="31"/>
      <c r="F446" s="22"/>
      <c r="G446" s="22"/>
    </row>
    <row r="447" spans="1:7" x14ac:dyDescent="0.3">
      <c r="A447" s="51"/>
      <c r="B447" s="62"/>
      <c r="C447" s="31"/>
      <c r="D447" s="31"/>
      <c r="E447" s="31"/>
      <c r="F447" s="22"/>
      <c r="G447" s="22"/>
    </row>
    <row r="448" spans="1:7" x14ac:dyDescent="0.3">
      <c r="A448" s="51"/>
      <c r="B448" s="62"/>
      <c r="C448" s="31"/>
      <c r="D448" s="31"/>
      <c r="E448" s="31"/>
      <c r="F448" s="22"/>
      <c r="G448" s="22"/>
    </row>
    <row r="449" spans="1:7" x14ac:dyDescent="0.3">
      <c r="A449" s="51"/>
      <c r="B449" s="62"/>
      <c r="C449" s="31"/>
      <c r="D449" s="31"/>
      <c r="E449" s="31"/>
      <c r="F449" s="22"/>
      <c r="G449" s="22"/>
    </row>
    <row r="450" spans="1:7" x14ac:dyDescent="0.3">
      <c r="A450" s="51"/>
      <c r="B450" s="62"/>
      <c r="C450" s="31"/>
      <c r="D450" s="31"/>
      <c r="E450" s="31"/>
      <c r="F450" s="22"/>
      <c r="G450" s="22"/>
    </row>
    <row r="451" spans="1:7" x14ac:dyDescent="0.3">
      <c r="A451" s="51"/>
      <c r="B451" s="62"/>
      <c r="C451" s="31"/>
      <c r="D451" s="31"/>
      <c r="E451" s="31"/>
      <c r="F451" s="22"/>
      <c r="G451" s="22"/>
    </row>
    <row r="452" spans="1:7" x14ac:dyDescent="0.3">
      <c r="A452" s="51"/>
      <c r="B452" s="62"/>
      <c r="C452" s="31"/>
      <c r="D452" s="31"/>
      <c r="E452" s="31"/>
      <c r="F452" s="22"/>
      <c r="G452" s="22"/>
    </row>
    <row r="453" spans="1:7" x14ac:dyDescent="0.3">
      <c r="A453" s="51"/>
      <c r="B453" s="62"/>
      <c r="C453" s="31"/>
      <c r="D453" s="31"/>
      <c r="E453" s="31"/>
      <c r="F453" s="22"/>
      <c r="G453" s="22"/>
    </row>
    <row r="454" spans="1:7" x14ac:dyDescent="0.3">
      <c r="A454" s="51"/>
      <c r="B454" s="62"/>
      <c r="C454" s="31"/>
      <c r="D454" s="31"/>
      <c r="E454" s="31"/>
      <c r="F454" s="22"/>
      <c r="G454" s="22"/>
    </row>
    <row r="455" spans="1:7" x14ac:dyDescent="0.3">
      <c r="A455" s="51"/>
      <c r="B455" s="62"/>
      <c r="C455" s="31"/>
      <c r="D455" s="31"/>
      <c r="E455" s="31"/>
      <c r="F455" s="22"/>
      <c r="G455" s="22"/>
    </row>
    <row r="456" spans="1:7" x14ac:dyDescent="0.3">
      <c r="A456" s="51"/>
      <c r="B456" s="62"/>
      <c r="C456" s="31"/>
      <c r="D456" s="31"/>
      <c r="E456" s="31"/>
      <c r="F456" s="22"/>
      <c r="G456" s="22"/>
    </row>
    <row r="457" spans="1:7" x14ac:dyDescent="0.3">
      <c r="A457" s="51"/>
      <c r="B457" s="62"/>
      <c r="C457" s="31"/>
      <c r="D457" s="31"/>
      <c r="E457" s="31"/>
      <c r="F457" s="22"/>
      <c r="G457" s="22"/>
    </row>
    <row r="458" spans="1:7" x14ac:dyDescent="0.3">
      <c r="A458" s="51"/>
      <c r="B458" s="62"/>
      <c r="C458" s="31"/>
      <c r="D458" s="31"/>
      <c r="E458" s="31"/>
      <c r="F458" s="22"/>
      <c r="G458" s="22"/>
    </row>
    <row r="459" spans="1:7" x14ac:dyDescent="0.3">
      <c r="A459" s="51"/>
      <c r="B459" s="62"/>
      <c r="C459" s="31"/>
      <c r="D459" s="31"/>
      <c r="E459" s="31"/>
      <c r="F459" s="22"/>
      <c r="G459" s="22"/>
    </row>
    <row r="460" spans="1:7" x14ac:dyDescent="0.3">
      <c r="A460" s="51"/>
      <c r="B460" s="62"/>
      <c r="C460" s="31"/>
      <c r="D460" s="31"/>
      <c r="E460" s="31"/>
      <c r="F460" s="22"/>
      <c r="G460" s="22"/>
    </row>
    <row r="461" spans="1:7" x14ac:dyDescent="0.3">
      <c r="A461" s="51"/>
      <c r="B461" s="62"/>
      <c r="C461" s="31"/>
      <c r="D461" s="31"/>
      <c r="E461" s="31"/>
      <c r="F461" s="22"/>
      <c r="G461" s="22"/>
    </row>
    <row r="462" spans="1:7" x14ac:dyDescent="0.3">
      <c r="A462" s="51"/>
      <c r="B462" s="62"/>
      <c r="C462" s="31"/>
      <c r="D462" s="31"/>
      <c r="E462" s="31"/>
      <c r="F462" s="22"/>
      <c r="G462" s="22"/>
    </row>
    <row r="463" spans="1:7" x14ac:dyDescent="0.3">
      <c r="A463" s="51"/>
      <c r="B463" s="62"/>
      <c r="C463" s="31"/>
      <c r="D463" s="31"/>
      <c r="E463" s="31"/>
      <c r="F463" s="22"/>
      <c r="G463" s="22"/>
    </row>
    <row r="464" spans="1:7" x14ac:dyDescent="0.3">
      <c r="A464" s="51"/>
      <c r="B464" s="62"/>
      <c r="C464" s="31"/>
      <c r="D464" s="31"/>
      <c r="E464" s="31"/>
      <c r="F464" s="22"/>
      <c r="G464" s="22"/>
    </row>
    <row r="465" spans="1:7" x14ac:dyDescent="0.3">
      <c r="A465" s="51"/>
      <c r="B465" s="62"/>
      <c r="C465" s="31"/>
      <c r="D465" s="31"/>
      <c r="E465" s="31"/>
      <c r="F465" s="22"/>
      <c r="G465" s="22"/>
    </row>
    <row r="466" spans="1:7" x14ac:dyDescent="0.3">
      <c r="A466" s="51"/>
      <c r="B466" s="62"/>
      <c r="C466" s="31"/>
      <c r="D466" s="31"/>
      <c r="E466" s="31"/>
      <c r="F466" s="22"/>
      <c r="G466" s="22"/>
    </row>
    <row r="467" spans="1:7" x14ac:dyDescent="0.3">
      <c r="A467" s="51"/>
      <c r="B467" s="62"/>
      <c r="C467" s="31"/>
      <c r="D467" s="31"/>
      <c r="E467" s="31"/>
      <c r="F467" s="22"/>
      <c r="G467" s="22"/>
    </row>
    <row r="468" spans="1:7" x14ac:dyDescent="0.3">
      <c r="A468" s="51"/>
      <c r="B468" s="62"/>
      <c r="C468" s="31"/>
      <c r="D468" s="31"/>
      <c r="E468" s="31"/>
      <c r="F468" s="22"/>
      <c r="G468" s="22"/>
    </row>
    <row r="469" spans="1:7" x14ac:dyDescent="0.3">
      <c r="A469" s="51"/>
      <c r="B469" s="62"/>
      <c r="C469" s="31"/>
      <c r="D469" s="31"/>
      <c r="E469" s="31"/>
      <c r="F469" s="22"/>
      <c r="G469" s="22"/>
    </row>
    <row r="470" spans="1:7" x14ac:dyDescent="0.3">
      <c r="A470" s="51"/>
      <c r="B470" s="62"/>
      <c r="C470" s="31"/>
      <c r="D470" s="31"/>
      <c r="E470" s="31"/>
      <c r="F470" s="22"/>
      <c r="G470" s="22"/>
    </row>
    <row r="471" spans="1:7" x14ac:dyDescent="0.3">
      <c r="A471" s="51"/>
      <c r="B471" s="62"/>
      <c r="C471" s="31"/>
      <c r="D471" s="31"/>
      <c r="E471" s="31"/>
      <c r="F471" s="22"/>
      <c r="G471" s="22"/>
    </row>
    <row r="472" spans="1:7" x14ac:dyDescent="0.3">
      <c r="A472" s="51"/>
      <c r="B472" s="62"/>
      <c r="C472" s="31"/>
      <c r="D472" s="31"/>
      <c r="E472" s="31"/>
      <c r="F472" s="22"/>
      <c r="G472" s="22"/>
    </row>
    <row r="473" spans="1:7" x14ac:dyDescent="0.3">
      <c r="A473" s="51"/>
      <c r="B473" s="62"/>
      <c r="C473" s="31"/>
      <c r="D473" s="31"/>
      <c r="E473" s="31"/>
      <c r="F473" s="22"/>
      <c r="G473" s="22"/>
    </row>
    <row r="474" spans="1:7" x14ac:dyDescent="0.3">
      <c r="A474" s="51"/>
      <c r="B474" s="62"/>
      <c r="C474" s="31"/>
      <c r="D474" s="31"/>
      <c r="E474" s="31"/>
      <c r="F474" s="22"/>
      <c r="G474" s="22"/>
    </row>
    <row r="475" spans="1:7" x14ac:dyDescent="0.3">
      <c r="A475" s="51"/>
      <c r="B475" s="62"/>
      <c r="C475" s="31"/>
      <c r="D475" s="31"/>
      <c r="E475" s="31"/>
      <c r="F475" s="22"/>
      <c r="G475" s="22"/>
    </row>
    <row r="476" spans="1:7" x14ac:dyDescent="0.3">
      <c r="A476" s="51"/>
      <c r="B476" s="62"/>
      <c r="C476" s="31"/>
      <c r="D476" s="31"/>
      <c r="E476" s="31"/>
      <c r="F476" s="22"/>
      <c r="G476" s="22"/>
    </row>
    <row r="477" spans="1:7" x14ac:dyDescent="0.3">
      <c r="A477" s="51"/>
      <c r="B477" s="62"/>
      <c r="C477" s="31"/>
      <c r="D477" s="31"/>
      <c r="E477" s="31"/>
      <c r="F477" s="22"/>
      <c r="G477" s="22"/>
    </row>
    <row r="478" spans="1:7" x14ac:dyDescent="0.3">
      <c r="A478" s="51"/>
      <c r="B478" s="62"/>
      <c r="C478" s="31"/>
      <c r="D478" s="31"/>
      <c r="E478" s="31"/>
      <c r="F478" s="22"/>
      <c r="G478" s="22"/>
    </row>
    <row r="479" spans="1:7" x14ac:dyDescent="0.3">
      <c r="A479" s="51"/>
      <c r="B479" s="62"/>
      <c r="C479" s="31"/>
      <c r="D479" s="31"/>
      <c r="E479" s="31"/>
      <c r="F479" s="22"/>
      <c r="G479" s="22"/>
    </row>
    <row r="480" spans="1:7" x14ac:dyDescent="0.3">
      <c r="A480" s="51"/>
      <c r="B480" s="62"/>
      <c r="C480" s="31"/>
      <c r="D480" s="31"/>
      <c r="E480" s="31"/>
      <c r="F480" s="22"/>
      <c r="G480" s="22"/>
    </row>
    <row r="481" spans="1:7" x14ac:dyDescent="0.3">
      <c r="A481" s="51"/>
      <c r="B481" s="62"/>
      <c r="C481" s="31"/>
      <c r="D481" s="31"/>
      <c r="E481" s="31"/>
      <c r="F481" s="22"/>
      <c r="G481" s="22"/>
    </row>
    <row r="482" spans="1:7" x14ac:dyDescent="0.3">
      <c r="A482" s="51"/>
      <c r="B482" s="62"/>
      <c r="C482" s="31"/>
      <c r="D482" s="31"/>
      <c r="E482" s="31"/>
      <c r="F482" s="22"/>
      <c r="G482" s="22"/>
    </row>
    <row r="483" spans="1:7" x14ac:dyDescent="0.3">
      <c r="A483" s="51"/>
      <c r="B483" s="62"/>
      <c r="C483" s="31"/>
      <c r="D483" s="31"/>
      <c r="E483" s="31"/>
      <c r="F483" s="22"/>
      <c r="G483" s="22"/>
    </row>
    <row r="484" spans="1:7" x14ac:dyDescent="0.3">
      <c r="A484" s="51"/>
      <c r="B484" s="62"/>
      <c r="C484" s="31"/>
      <c r="D484" s="31"/>
      <c r="E484" s="31"/>
      <c r="F484" s="22"/>
      <c r="G484" s="22"/>
    </row>
    <row r="485" spans="1:7" x14ac:dyDescent="0.3">
      <c r="A485" s="51"/>
      <c r="B485" s="62"/>
      <c r="C485" s="31"/>
      <c r="D485" s="31"/>
      <c r="E485" s="31"/>
      <c r="F485" s="22"/>
      <c r="G485" s="22"/>
    </row>
    <row r="486" spans="1:7" x14ac:dyDescent="0.3">
      <c r="A486" s="51"/>
      <c r="B486" s="62"/>
      <c r="C486" s="31"/>
      <c r="D486" s="31"/>
      <c r="E486" s="31"/>
      <c r="F486" s="22"/>
      <c r="G486" s="22"/>
    </row>
    <row r="487" spans="1:7" x14ac:dyDescent="0.3">
      <c r="A487" s="51"/>
      <c r="B487" s="62"/>
      <c r="C487" s="31"/>
      <c r="D487" s="31"/>
      <c r="E487" s="31"/>
      <c r="F487" s="22"/>
      <c r="G487" s="22"/>
    </row>
    <row r="488" spans="1:7" x14ac:dyDescent="0.3">
      <c r="A488" s="51"/>
      <c r="B488" s="62"/>
      <c r="C488" s="31"/>
      <c r="D488" s="31"/>
      <c r="E488" s="31"/>
      <c r="F488" s="22"/>
      <c r="G488" s="22"/>
    </row>
    <row r="489" spans="1:7" x14ac:dyDescent="0.3">
      <c r="A489" s="51"/>
      <c r="B489" s="62"/>
      <c r="C489" s="31"/>
      <c r="D489" s="31"/>
      <c r="E489" s="31"/>
      <c r="F489" s="22"/>
      <c r="G489" s="22"/>
    </row>
    <row r="490" spans="1:7" x14ac:dyDescent="0.3">
      <c r="A490" s="51"/>
      <c r="B490" s="62"/>
      <c r="C490" s="31"/>
      <c r="D490" s="31"/>
      <c r="E490" s="31"/>
      <c r="F490" s="22"/>
      <c r="G490" s="22"/>
    </row>
    <row r="491" spans="1:7" x14ac:dyDescent="0.3">
      <c r="A491" s="51"/>
      <c r="B491" s="62"/>
      <c r="C491" s="31"/>
      <c r="D491" s="31"/>
      <c r="E491" s="31"/>
      <c r="F491" s="22"/>
      <c r="G491" s="22"/>
    </row>
    <row r="492" spans="1:7" x14ac:dyDescent="0.3">
      <c r="A492" s="51"/>
      <c r="B492" s="62"/>
      <c r="C492" s="31"/>
      <c r="D492" s="31"/>
      <c r="E492" s="31"/>
      <c r="F492" s="22"/>
      <c r="G492" s="22"/>
    </row>
    <row r="493" spans="1:7" x14ac:dyDescent="0.3">
      <c r="A493" s="51"/>
      <c r="B493" s="62"/>
      <c r="C493" s="31"/>
      <c r="D493" s="31"/>
      <c r="E493" s="31"/>
      <c r="F493" s="22"/>
      <c r="G493" s="22"/>
    </row>
    <row r="494" spans="1:7" x14ac:dyDescent="0.3">
      <c r="A494" s="51"/>
      <c r="B494" s="62"/>
      <c r="C494" s="31"/>
      <c r="D494" s="31"/>
      <c r="E494" s="31"/>
      <c r="F494" s="22"/>
      <c r="G494" s="22"/>
    </row>
    <row r="495" spans="1:7" x14ac:dyDescent="0.3">
      <c r="A495" s="51"/>
      <c r="B495" s="62"/>
      <c r="C495" s="31"/>
      <c r="D495" s="31"/>
      <c r="E495" s="31"/>
      <c r="F495" s="22"/>
      <c r="G495" s="22"/>
    </row>
    <row r="496" spans="1:7" x14ac:dyDescent="0.3">
      <c r="A496" s="51"/>
      <c r="B496" s="62"/>
      <c r="C496" s="31"/>
      <c r="D496" s="31"/>
      <c r="E496" s="31"/>
      <c r="F496" s="22"/>
      <c r="G496" s="22"/>
    </row>
    <row r="497" spans="1:7" x14ac:dyDescent="0.3">
      <c r="A497" s="59"/>
      <c r="B497" s="63"/>
      <c r="C497" s="59"/>
      <c r="D497" s="59"/>
      <c r="E497" s="59"/>
      <c r="F497" s="59"/>
      <c r="G497" s="5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5790B-BD1F-47B2-83E8-53CA37AFFCF7}">
  <sheetPr codeName="Sheet8"/>
  <dimension ref="A1:G497"/>
  <sheetViews>
    <sheetView workbookViewId="0">
      <selection activeCell="C14" sqref="C14"/>
    </sheetView>
  </sheetViews>
  <sheetFormatPr defaultRowHeight="14.4" x14ac:dyDescent="0.3"/>
  <cols>
    <col min="1" max="7" width="20.6640625" style="21" customWidth="1"/>
  </cols>
  <sheetData>
    <row r="1" spans="1:7" x14ac:dyDescent="0.3">
      <c r="A1" s="50" t="s">
        <v>0</v>
      </c>
      <c r="B1" s="50" t="s">
        <v>281</v>
      </c>
      <c r="C1" s="50" t="s">
        <v>282</v>
      </c>
      <c r="D1" s="50" t="s">
        <v>283</v>
      </c>
      <c r="E1" s="50"/>
      <c r="F1" s="50"/>
      <c r="G1" s="50" t="s">
        <v>7</v>
      </c>
    </row>
    <row r="2" spans="1:7" x14ac:dyDescent="0.3">
      <c r="A2" s="51" t="s">
        <v>385</v>
      </c>
      <c r="B2" s="23">
        <v>7.5</v>
      </c>
      <c r="C2" s="66">
        <v>10</v>
      </c>
      <c r="D2" s="52">
        <v>5280000</v>
      </c>
      <c r="E2" s="52"/>
      <c r="F2" s="60"/>
      <c r="G2" s="22"/>
    </row>
    <row r="3" spans="1:7" x14ac:dyDescent="0.3">
      <c r="A3" s="51" t="s">
        <v>386</v>
      </c>
      <c r="B3" s="23">
        <v>9.5</v>
      </c>
      <c r="C3" s="66">
        <v>11.5</v>
      </c>
      <c r="D3" s="52">
        <v>2050000</v>
      </c>
      <c r="E3" s="52"/>
      <c r="F3" s="22"/>
      <c r="G3" s="22"/>
    </row>
    <row r="4" spans="1:7" x14ac:dyDescent="0.3">
      <c r="A4" s="51" t="s">
        <v>387</v>
      </c>
      <c r="B4" s="23">
        <v>35</v>
      </c>
      <c r="C4" s="23">
        <v>65</v>
      </c>
      <c r="D4" s="52">
        <v>290000</v>
      </c>
      <c r="E4" s="52"/>
      <c r="F4" s="22"/>
      <c r="G4" s="22"/>
    </row>
    <row r="5" spans="1:7" ht="15.6" x14ac:dyDescent="0.3">
      <c r="A5" s="51" t="s">
        <v>388</v>
      </c>
      <c r="B5" s="22">
        <v>570</v>
      </c>
      <c r="C5" s="22">
        <v>570</v>
      </c>
      <c r="D5" s="22">
        <v>2000</v>
      </c>
      <c r="E5" s="52"/>
      <c r="F5" s="22"/>
      <c r="G5" s="83" t="s">
        <v>361</v>
      </c>
    </row>
    <row r="6" spans="1:7" x14ac:dyDescent="0.3">
      <c r="A6" s="51"/>
      <c r="B6" s="22"/>
      <c r="C6" s="31"/>
      <c r="D6" s="52"/>
      <c r="E6" s="52"/>
      <c r="F6" s="22"/>
      <c r="G6" s="22"/>
    </row>
    <row r="7" spans="1:7" x14ac:dyDescent="0.3">
      <c r="A7" s="51"/>
      <c r="B7" s="22"/>
      <c r="C7" s="52"/>
      <c r="D7" s="52"/>
      <c r="E7" s="52"/>
      <c r="F7" s="22"/>
      <c r="G7" s="22"/>
    </row>
    <row r="8" spans="1:7" x14ac:dyDescent="0.3">
      <c r="A8" s="51"/>
      <c r="B8" s="22"/>
      <c r="C8" s="52"/>
      <c r="D8" s="52"/>
      <c r="E8" s="52"/>
      <c r="F8" s="22"/>
      <c r="G8" s="22"/>
    </row>
    <row r="9" spans="1:7" x14ac:dyDescent="0.3">
      <c r="A9" s="51"/>
      <c r="B9" s="22"/>
      <c r="C9" s="52"/>
      <c r="D9" s="52"/>
      <c r="E9" s="52"/>
      <c r="F9" s="22"/>
      <c r="G9" s="22"/>
    </row>
    <row r="10" spans="1:7" x14ac:dyDescent="0.3">
      <c r="A10" s="51"/>
      <c r="B10" s="22"/>
      <c r="C10" s="52"/>
      <c r="D10" s="52"/>
      <c r="E10" s="52"/>
      <c r="F10" s="22"/>
      <c r="G10" s="22"/>
    </row>
    <row r="11" spans="1:7" x14ac:dyDescent="0.3">
      <c r="A11" s="51"/>
      <c r="B11" s="22"/>
      <c r="C11" s="52"/>
      <c r="D11" s="52"/>
      <c r="E11" s="52"/>
      <c r="F11" s="22"/>
      <c r="G11" s="22"/>
    </row>
    <row r="12" spans="1:7" x14ac:dyDescent="0.3">
      <c r="A12" s="51"/>
      <c r="B12" s="22"/>
      <c r="C12" s="52"/>
      <c r="D12" s="52"/>
      <c r="E12" s="52"/>
      <c r="F12" s="22"/>
      <c r="G12" s="22"/>
    </row>
    <row r="13" spans="1:7" x14ac:dyDescent="0.3">
      <c r="A13" s="51"/>
      <c r="B13" s="22"/>
      <c r="C13" s="31"/>
      <c r="D13" s="31"/>
      <c r="E13" s="52"/>
      <c r="F13" s="22"/>
      <c r="G13" s="22"/>
    </row>
    <row r="14" spans="1:7" x14ac:dyDescent="0.3">
      <c r="A14" s="51"/>
      <c r="B14" s="22"/>
      <c r="C14" s="31"/>
      <c r="D14" s="31"/>
      <c r="E14" s="31"/>
      <c r="F14" s="22"/>
      <c r="G14" s="22"/>
    </row>
    <row r="15" spans="1:7" x14ac:dyDescent="0.3">
      <c r="A15" s="51"/>
      <c r="B15" s="22"/>
      <c r="C15" s="31"/>
      <c r="D15" s="31"/>
      <c r="E15" s="31"/>
      <c r="F15" s="22"/>
      <c r="G15" s="22"/>
    </row>
    <row r="16" spans="1:7" x14ac:dyDescent="0.3">
      <c r="A16" s="51"/>
      <c r="B16" s="22"/>
      <c r="C16" s="31"/>
      <c r="D16" s="31"/>
      <c r="E16" s="31"/>
      <c r="F16" s="22"/>
      <c r="G16" s="22"/>
    </row>
    <row r="17" spans="1:7" x14ac:dyDescent="0.3">
      <c r="A17" s="51"/>
      <c r="B17" s="22"/>
      <c r="C17" s="31"/>
      <c r="D17" s="31"/>
      <c r="E17" s="31"/>
      <c r="F17" s="22"/>
      <c r="G17" s="22"/>
    </row>
    <row r="18" spans="1:7" x14ac:dyDescent="0.3">
      <c r="A18" s="51"/>
      <c r="B18" s="22"/>
      <c r="C18" s="31"/>
      <c r="D18" s="31"/>
      <c r="E18" s="31"/>
      <c r="F18" s="22"/>
      <c r="G18" s="22"/>
    </row>
    <row r="19" spans="1:7" x14ac:dyDescent="0.3">
      <c r="A19" s="51"/>
      <c r="B19" s="22"/>
      <c r="C19" s="31"/>
      <c r="D19" s="31"/>
      <c r="E19" s="31"/>
      <c r="F19" s="22"/>
      <c r="G19" s="22"/>
    </row>
    <row r="20" spans="1:7" x14ac:dyDescent="0.3">
      <c r="A20" s="51"/>
      <c r="B20" s="22"/>
      <c r="C20" s="31"/>
      <c r="D20" s="31"/>
      <c r="E20" s="31"/>
      <c r="F20" s="22"/>
      <c r="G20" s="22"/>
    </row>
    <row r="21" spans="1:7" x14ac:dyDescent="0.3">
      <c r="A21" s="51"/>
      <c r="B21" s="22"/>
      <c r="C21" s="31"/>
      <c r="D21" s="31"/>
      <c r="E21" s="31"/>
      <c r="F21" s="22"/>
      <c r="G21" s="22"/>
    </row>
    <row r="22" spans="1:7" x14ac:dyDescent="0.3">
      <c r="A22" s="51"/>
      <c r="B22" s="22"/>
      <c r="C22" s="31"/>
      <c r="D22" s="31"/>
      <c r="E22" s="31"/>
      <c r="F22" s="22"/>
      <c r="G22" s="22"/>
    </row>
    <row r="23" spans="1:7" x14ac:dyDescent="0.3">
      <c r="A23" s="51"/>
      <c r="B23" s="22"/>
      <c r="C23" s="31"/>
      <c r="D23" s="31"/>
      <c r="E23" s="31"/>
      <c r="F23" s="22"/>
      <c r="G23" s="22"/>
    </row>
    <row r="24" spans="1:7" x14ac:dyDescent="0.3">
      <c r="A24" s="51"/>
      <c r="B24" s="22"/>
      <c r="C24" s="31"/>
      <c r="D24" s="31"/>
      <c r="E24" s="31"/>
      <c r="F24" s="22"/>
      <c r="G24" s="22"/>
    </row>
    <row r="25" spans="1:7" x14ac:dyDescent="0.3">
      <c r="A25" s="51"/>
      <c r="B25" s="22"/>
      <c r="C25" s="31"/>
      <c r="D25" s="31"/>
      <c r="E25" s="31"/>
      <c r="F25" s="22"/>
      <c r="G25" s="22"/>
    </row>
    <row r="26" spans="1:7" x14ac:dyDescent="0.3">
      <c r="A26" s="51"/>
      <c r="B26" s="22"/>
      <c r="C26" s="31"/>
      <c r="D26" s="31"/>
      <c r="E26" s="31"/>
      <c r="F26" s="22"/>
      <c r="G26" s="22"/>
    </row>
    <row r="27" spans="1:7" x14ac:dyDescent="0.3">
      <c r="A27" s="51"/>
      <c r="B27" s="22"/>
      <c r="C27" s="31"/>
      <c r="D27" s="31"/>
      <c r="E27" s="31"/>
      <c r="F27" s="22"/>
      <c r="G27" s="22"/>
    </row>
    <row r="28" spans="1:7" x14ac:dyDescent="0.3">
      <c r="A28" s="51"/>
      <c r="B28" s="22"/>
      <c r="C28" s="31"/>
      <c r="D28" s="31"/>
      <c r="E28" s="31"/>
      <c r="F28" s="22"/>
      <c r="G28" s="22"/>
    </row>
    <row r="29" spans="1:7" x14ac:dyDescent="0.3">
      <c r="A29" s="51"/>
      <c r="B29" s="22"/>
      <c r="C29" s="31"/>
      <c r="D29" s="31"/>
      <c r="E29" s="31"/>
      <c r="F29" s="22"/>
      <c r="G29" s="22"/>
    </row>
    <row r="30" spans="1:7" x14ac:dyDescent="0.3">
      <c r="A30" s="51"/>
      <c r="B30" s="22"/>
      <c r="C30" s="31"/>
      <c r="D30" s="31"/>
      <c r="E30" s="31"/>
      <c r="F30" s="22"/>
      <c r="G30" s="22"/>
    </row>
    <row r="31" spans="1:7" x14ac:dyDescent="0.3">
      <c r="A31" s="51"/>
      <c r="B31" s="22"/>
      <c r="C31" s="31"/>
      <c r="D31" s="31"/>
      <c r="E31" s="31"/>
      <c r="F31" s="22"/>
      <c r="G31" s="22"/>
    </row>
    <row r="32" spans="1:7" x14ac:dyDescent="0.3">
      <c r="A32" s="51"/>
      <c r="B32" s="22"/>
      <c r="C32" s="31"/>
      <c r="D32" s="31"/>
      <c r="E32" s="31"/>
      <c r="F32" s="22"/>
      <c r="G32" s="22"/>
    </row>
    <row r="33" spans="1:7" x14ac:dyDescent="0.3">
      <c r="A33" s="51"/>
      <c r="B33" s="22"/>
      <c r="C33" s="31"/>
      <c r="D33" s="31"/>
      <c r="E33" s="31"/>
      <c r="F33" s="22"/>
      <c r="G33" s="22"/>
    </row>
    <row r="34" spans="1:7" x14ac:dyDescent="0.3">
      <c r="A34" s="51"/>
      <c r="B34" s="22"/>
      <c r="C34" s="31"/>
      <c r="D34" s="31"/>
      <c r="E34" s="31"/>
      <c r="F34" s="22"/>
      <c r="G34" s="22"/>
    </row>
    <row r="35" spans="1:7" x14ac:dyDescent="0.3">
      <c r="A35" s="51"/>
      <c r="B35" s="22"/>
      <c r="C35" s="31"/>
      <c r="D35" s="31"/>
      <c r="E35" s="31"/>
      <c r="F35" s="22"/>
      <c r="G35" s="22"/>
    </row>
    <row r="36" spans="1:7" x14ac:dyDescent="0.3">
      <c r="A36" s="51"/>
      <c r="B36" s="22"/>
      <c r="C36" s="31"/>
      <c r="D36" s="31"/>
      <c r="E36" s="31"/>
      <c r="F36" s="22"/>
      <c r="G36" s="22"/>
    </row>
    <row r="37" spans="1:7" x14ac:dyDescent="0.3">
      <c r="A37" s="51"/>
      <c r="B37" s="22"/>
      <c r="C37" s="31"/>
      <c r="D37" s="31"/>
      <c r="E37" s="31"/>
      <c r="F37" s="22"/>
      <c r="G37" s="22"/>
    </row>
    <row r="38" spans="1:7" x14ac:dyDescent="0.3">
      <c r="A38" s="51"/>
      <c r="B38" s="22"/>
      <c r="C38" s="31"/>
      <c r="D38" s="31"/>
      <c r="E38" s="31"/>
      <c r="F38" s="22"/>
      <c r="G38" s="22"/>
    </row>
    <row r="39" spans="1:7" x14ac:dyDescent="0.3">
      <c r="A39" s="51"/>
      <c r="B39" s="22"/>
      <c r="C39" s="31"/>
      <c r="D39" s="31"/>
      <c r="E39" s="31"/>
      <c r="F39" s="22"/>
      <c r="G39" s="22"/>
    </row>
    <row r="40" spans="1:7" x14ac:dyDescent="0.3">
      <c r="A40" s="51"/>
      <c r="B40" s="22"/>
      <c r="C40" s="31"/>
      <c r="D40" s="31"/>
      <c r="E40" s="31"/>
      <c r="F40" s="22"/>
      <c r="G40" s="22"/>
    </row>
    <row r="41" spans="1:7" x14ac:dyDescent="0.3">
      <c r="A41" s="51"/>
      <c r="B41" s="22"/>
      <c r="C41" s="31"/>
      <c r="D41" s="31"/>
      <c r="E41" s="31"/>
      <c r="F41" s="22"/>
      <c r="G41" s="22"/>
    </row>
    <row r="42" spans="1:7" x14ac:dyDescent="0.3">
      <c r="A42" s="51"/>
      <c r="B42" s="22"/>
      <c r="C42" s="31"/>
      <c r="D42" s="31"/>
      <c r="E42" s="31"/>
      <c r="F42" s="22"/>
      <c r="G42" s="22"/>
    </row>
    <row r="43" spans="1:7" x14ac:dyDescent="0.3">
      <c r="A43" s="51"/>
      <c r="B43" s="22"/>
      <c r="C43" s="31"/>
      <c r="D43" s="31"/>
      <c r="E43" s="31"/>
      <c r="F43" s="22"/>
      <c r="G43" s="22"/>
    </row>
    <row r="44" spans="1:7" x14ac:dyDescent="0.3">
      <c r="A44" s="51"/>
      <c r="B44" s="22"/>
      <c r="C44" s="31"/>
      <c r="D44" s="31"/>
      <c r="E44" s="31"/>
      <c r="F44" s="22"/>
      <c r="G44" s="22"/>
    </row>
    <row r="45" spans="1:7" x14ac:dyDescent="0.3">
      <c r="A45" s="51"/>
      <c r="B45" s="22"/>
      <c r="C45" s="31"/>
      <c r="D45" s="31"/>
      <c r="E45" s="31"/>
      <c r="F45" s="22"/>
      <c r="G45" s="22"/>
    </row>
    <row r="46" spans="1:7" x14ac:dyDescent="0.3">
      <c r="A46" s="51"/>
      <c r="B46" s="22"/>
      <c r="C46" s="31"/>
      <c r="D46" s="31"/>
      <c r="E46" s="31"/>
      <c r="F46" s="22"/>
      <c r="G46" s="22"/>
    </row>
    <row r="47" spans="1:7" x14ac:dyDescent="0.3">
      <c r="A47" s="51"/>
      <c r="B47" s="22"/>
      <c r="C47" s="31"/>
      <c r="D47" s="31"/>
      <c r="E47" s="31"/>
      <c r="F47" s="22"/>
      <c r="G47" s="22"/>
    </row>
    <row r="48" spans="1:7" x14ac:dyDescent="0.3">
      <c r="A48" s="51"/>
      <c r="B48" s="22"/>
      <c r="C48" s="31"/>
      <c r="D48" s="31"/>
      <c r="E48" s="31"/>
      <c r="F48" s="22"/>
      <c r="G48" s="22"/>
    </row>
    <row r="49" spans="1:7" x14ac:dyDescent="0.3">
      <c r="A49" s="51"/>
      <c r="B49" s="22"/>
      <c r="C49" s="31"/>
      <c r="D49" s="31"/>
      <c r="E49" s="31"/>
      <c r="F49" s="22"/>
      <c r="G49" s="22"/>
    </row>
    <row r="50" spans="1:7" x14ac:dyDescent="0.3">
      <c r="A50" s="51"/>
      <c r="B50" s="22"/>
      <c r="C50" s="31"/>
      <c r="D50" s="31"/>
      <c r="E50" s="31"/>
      <c r="F50" s="22"/>
      <c r="G50" s="22"/>
    </row>
    <row r="51" spans="1:7" x14ac:dyDescent="0.3">
      <c r="A51" s="51"/>
      <c r="B51" s="22"/>
      <c r="C51" s="31"/>
      <c r="D51" s="31"/>
      <c r="E51" s="31"/>
      <c r="F51" s="22"/>
      <c r="G51" s="22"/>
    </row>
    <row r="52" spans="1:7" x14ac:dyDescent="0.3">
      <c r="A52" s="51"/>
      <c r="B52" s="22"/>
      <c r="C52" s="31"/>
      <c r="D52" s="31"/>
      <c r="E52" s="31"/>
      <c r="F52" s="22"/>
      <c r="G52" s="22"/>
    </row>
    <row r="53" spans="1:7" x14ac:dyDescent="0.3">
      <c r="A53" s="51"/>
      <c r="B53" s="22"/>
      <c r="C53" s="31"/>
      <c r="D53" s="31"/>
      <c r="E53" s="31"/>
      <c r="F53" s="22"/>
      <c r="G53" s="22"/>
    </row>
    <row r="54" spans="1:7" x14ac:dyDescent="0.3">
      <c r="A54" s="51"/>
      <c r="B54" s="22"/>
      <c r="C54" s="31"/>
      <c r="D54" s="31"/>
      <c r="E54" s="31"/>
      <c r="F54" s="22"/>
      <c r="G54" s="22"/>
    </row>
    <row r="55" spans="1:7" x14ac:dyDescent="0.3">
      <c r="A55" s="51"/>
      <c r="B55" s="22"/>
      <c r="C55" s="31"/>
      <c r="D55" s="31"/>
      <c r="E55" s="31"/>
      <c r="F55" s="22"/>
      <c r="G55" s="22"/>
    </row>
    <row r="56" spans="1:7" x14ac:dyDescent="0.3">
      <c r="A56" s="51"/>
      <c r="B56" s="22"/>
      <c r="C56" s="31"/>
      <c r="D56" s="31"/>
      <c r="E56" s="31"/>
      <c r="F56" s="22"/>
      <c r="G56" s="22"/>
    </row>
    <row r="57" spans="1:7" x14ac:dyDescent="0.3">
      <c r="A57" s="51"/>
      <c r="B57" s="22"/>
      <c r="C57" s="31"/>
      <c r="D57" s="31"/>
      <c r="E57" s="31"/>
      <c r="F57" s="22"/>
      <c r="G57" s="22"/>
    </row>
    <row r="58" spans="1:7" x14ac:dyDescent="0.3">
      <c r="A58" s="51"/>
      <c r="B58" s="22"/>
      <c r="C58" s="31"/>
      <c r="D58" s="31"/>
      <c r="E58" s="31"/>
      <c r="F58" s="22"/>
      <c r="G58" s="22"/>
    </row>
    <row r="59" spans="1:7" x14ac:dyDescent="0.3">
      <c r="A59" s="51"/>
      <c r="B59" s="22"/>
      <c r="C59" s="31"/>
      <c r="D59" s="31"/>
      <c r="E59" s="31"/>
      <c r="F59" s="22"/>
      <c r="G59" s="22"/>
    </row>
    <row r="60" spans="1:7" x14ac:dyDescent="0.3">
      <c r="A60" s="51"/>
      <c r="B60" s="22"/>
      <c r="C60" s="31"/>
      <c r="D60" s="31"/>
      <c r="E60" s="31"/>
      <c r="F60" s="22"/>
      <c r="G60" s="22"/>
    </row>
    <row r="61" spans="1:7" x14ac:dyDescent="0.3">
      <c r="A61" s="51"/>
      <c r="B61" s="22"/>
      <c r="C61" s="31"/>
      <c r="D61" s="31"/>
      <c r="E61" s="31"/>
      <c r="F61" s="22"/>
      <c r="G61" s="22"/>
    </row>
    <row r="62" spans="1:7" x14ac:dyDescent="0.3">
      <c r="A62" s="51"/>
      <c r="B62" s="22"/>
      <c r="C62" s="31"/>
      <c r="D62" s="31"/>
      <c r="E62" s="31"/>
      <c r="F62" s="22"/>
      <c r="G62" s="22"/>
    </row>
    <row r="63" spans="1:7" x14ac:dyDescent="0.3">
      <c r="A63" s="51"/>
      <c r="B63" s="22"/>
      <c r="C63" s="31"/>
      <c r="D63" s="31"/>
      <c r="E63" s="31"/>
      <c r="F63" s="22"/>
      <c r="G63" s="22"/>
    </row>
    <row r="64" spans="1:7" x14ac:dyDescent="0.3">
      <c r="A64" s="51"/>
      <c r="B64" s="22"/>
      <c r="C64" s="31"/>
      <c r="D64" s="31"/>
      <c r="E64" s="31"/>
      <c r="F64" s="22"/>
      <c r="G64" s="22"/>
    </row>
    <row r="65" spans="1:7" x14ac:dyDescent="0.3">
      <c r="A65" s="51"/>
      <c r="B65" s="22"/>
      <c r="C65" s="31"/>
      <c r="D65" s="31"/>
      <c r="E65" s="31"/>
      <c r="F65" s="22"/>
      <c r="G65" s="22"/>
    </row>
    <row r="66" spans="1:7" x14ac:dyDescent="0.3">
      <c r="A66" s="51"/>
      <c r="B66" s="22"/>
      <c r="C66" s="31"/>
      <c r="D66" s="31"/>
      <c r="E66" s="31"/>
      <c r="F66" s="22"/>
      <c r="G66" s="22"/>
    </row>
    <row r="67" spans="1:7" x14ac:dyDescent="0.3">
      <c r="A67" s="51"/>
      <c r="B67" s="22"/>
      <c r="C67" s="31"/>
      <c r="D67" s="31"/>
      <c r="E67" s="31"/>
      <c r="F67" s="22"/>
      <c r="G67" s="22"/>
    </row>
    <row r="68" spans="1:7" x14ac:dyDescent="0.3">
      <c r="A68" s="51"/>
      <c r="B68" s="22"/>
      <c r="C68" s="31"/>
      <c r="D68" s="31"/>
      <c r="E68" s="31"/>
      <c r="F68" s="22"/>
      <c r="G68" s="22"/>
    </row>
    <row r="69" spans="1:7" x14ac:dyDescent="0.3">
      <c r="A69" s="51"/>
      <c r="B69" s="22"/>
      <c r="C69" s="31"/>
      <c r="D69" s="31"/>
      <c r="E69" s="31"/>
      <c r="F69" s="22"/>
      <c r="G69" s="22"/>
    </row>
    <row r="70" spans="1:7" x14ac:dyDescent="0.3">
      <c r="A70" s="51"/>
      <c r="B70" s="22"/>
      <c r="C70" s="31"/>
      <c r="D70" s="31"/>
      <c r="E70" s="31"/>
      <c r="F70" s="22"/>
      <c r="G70" s="22"/>
    </row>
    <row r="71" spans="1:7" x14ac:dyDescent="0.3">
      <c r="A71" s="51"/>
      <c r="B71" s="22"/>
      <c r="C71" s="31"/>
      <c r="D71" s="31"/>
      <c r="E71" s="31"/>
      <c r="F71" s="22"/>
      <c r="G71" s="22"/>
    </row>
    <row r="72" spans="1:7" x14ac:dyDescent="0.3">
      <c r="A72" s="51"/>
      <c r="B72" s="22"/>
      <c r="C72" s="31"/>
      <c r="D72" s="31"/>
      <c r="E72" s="31"/>
      <c r="F72" s="22"/>
      <c r="G72" s="22"/>
    </row>
    <row r="73" spans="1:7" x14ac:dyDescent="0.3">
      <c r="A73" s="51"/>
      <c r="B73" s="22"/>
      <c r="C73" s="31"/>
      <c r="D73" s="31"/>
      <c r="E73" s="31"/>
      <c r="F73" s="22"/>
      <c r="G73" s="22"/>
    </row>
    <row r="74" spans="1:7" x14ac:dyDescent="0.3">
      <c r="A74" s="51"/>
      <c r="B74" s="22"/>
      <c r="C74" s="31"/>
      <c r="D74" s="31"/>
      <c r="E74" s="31"/>
      <c r="F74" s="22"/>
      <c r="G74" s="22"/>
    </row>
    <row r="75" spans="1:7" x14ac:dyDescent="0.3">
      <c r="A75" s="51"/>
      <c r="B75" s="22"/>
      <c r="C75" s="31"/>
      <c r="D75" s="31"/>
      <c r="E75" s="31"/>
      <c r="F75" s="22"/>
      <c r="G75" s="22"/>
    </row>
    <row r="76" spans="1:7" x14ac:dyDescent="0.3">
      <c r="A76" s="51"/>
      <c r="B76" s="22"/>
      <c r="C76" s="31"/>
      <c r="D76" s="31"/>
      <c r="E76" s="31"/>
      <c r="F76" s="22"/>
      <c r="G76" s="22"/>
    </row>
    <row r="77" spans="1:7" x14ac:dyDescent="0.3">
      <c r="A77" s="51"/>
      <c r="B77" s="22"/>
      <c r="C77" s="31"/>
      <c r="D77" s="31"/>
      <c r="E77" s="31"/>
      <c r="F77" s="22"/>
      <c r="G77" s="22"/>
    </row>
    <row r="78" spans="1:7" x14ac:dyDescent="0.3">
      <c r="A78" s="51"/>
      <c r="B78" s="22"/>
      <c r="C78" s="31"/>
      <c r="D78" s="31"/>
      <c r="E78" s="31"/>
      <c r="F78" s="22"/>
      <c r="G78" s="22"/>
    </row>
    <row r="79" spans="1:7" x14ac:dyDescent="0.3">
      <c r="A79" s="51"/>
      <c r="B79" s="22"/>
      <c r="C79" s="31"/>
      <c r="D79" s="31"/>
      <c r="E79" s="31"/>
      <c r="F79" s="22"/>
      <c r="G79" s="22"/>
    </row>
    <row r="80" spans="1:7" x14ac:dyDescent="0.3">
      <c r="A80" s="51"/>
      <c r="B80" s="22"/>
      <c r="C80" s="31"/>
      <c r="D80" s="31"/>
      <c r="E80" s="31"/>
      <c r="F80" s="22"/>
      <c r="G80" s="22"/>
    </row>
    <row r="81" spans="1:7" x14ac:dyDescent="0.3">
      <c r="A81" s="51"/>
      <c r="B81" s="22"/>
      <c r="C81" s="31"/>
      <c r="D81" s="31"/>
      <c r="E81" s="31"/>
      <c r="F81" s="22"/>
      <c r="G81" s="22"/>
    </row>
    <row r="82" spans="1:7" x14ac:dyDescent="0.3">
      <c r="A82" s="51"/>
      <c r="B82" s="22"/>
      <c r="C82" s="31"/>
      <c r="D82" s="31"/>
      <c r="E82" s="31"/>
      <c r="F82" s="22"/>
      <c r="G82" s="22"/>
    </row>
    <row r="83" spans="1:7" x14ac:dyDescent="0.3">
      <c r="A83" s="51"/>
      <c r="B83" s="22"/>
      <c r="C83" s="31"/>
      <c r="D83" s="31"/>
      <c r="E83" s="31"/>
      <c r="F83" s="22"/>
      <c r="G83" s="22"/>
    </row>
    <row r="84" spans="1:7" x14ac:dyDescent="0.3">
      <c r="A84" s="51"/>
      <c r="B84" s="22"/>
      <c r="C84" s="31"/>
      <c r="D84" s="31"/>
      <c r="E84" s="31"/>
      <c r="F84" s="22"/>
      <c r="G84" s="22"/>
    </row>
    <row r="85" spans="1:7" x14ac:dyDescent="0.3">
      <c r="A85" s="51"/>
      <c r="B85" s="22"/>
      <c r="C85" s="31"/>
      <c r="D85" s="31"/>
      <c r="E85" s="31"/>
      <c r="F85" s="22"/>
      <c r="G85" s="22"/>
    </row>
    <row r="86" spans="1:7" x14ac:dyDescent="0.3">
      <c r="A86" s="51"/>
      <c r="B86" s="22"/>
      <c r="C86" s="31"/>
      <c r="D86" s="31"/>
      <c r="E86" s="31"/>
      <c r="F86" s="22"/>
      <c r="G86" s="22"/>
    </row>
    <row r="87" spans="1:7" x14ac:dyDescent="0.3">
      <c r="A87" s="51"/>
      <c r="B87" s="22"/>
      <c r="C87" s="31"/>
      <c r="D87" s="31"/>
      <c r="E87" s="31"/>
      <c r="F87" s="22"/>
      <c r="G87" s="22"/>
    </row>
    <row r="88" spans="1:7" x14ac:dyDescent="0.3">
      <c r="A88" s="51"/>
      <c r="B88" s="22"/>
      <c r="C88" s="31"/>
      <c r="D88" s="31"/>
      <c r="E88" s="31"/>
      <c r="F88" s="22"/>
      <c r="G88" s="22"/>
    </row>
    <row r="89" spans="1:7" x14ac:dyDescent="0.3">
      <c r="A89" s="51"/>
      <c r="B89" s="22"/>
      <c r="C89" s="31"/>
      <c r="D89" s="31"/>
      <c r="E89" s="31"/>
      <c r="F89" s="22"/>
      <c r="G89" s="22"/>
    </row>
    <row r="90" spans="1:7" x14ac:dyDescent="0.3">
      <c r="A90" s="51"/>
      <c r="B90" s="22"/>
      <c r="C90" s="31"/>
      <c r="D90" s="31"/>
      <c r="E90" s="31"/>
      <c r="F90" s="22"/>
      <c r="G90" s="22"/>
    </row>
    <row r="91" spans="1:7" x14ac:dyDescent="0.3">
      <c r="A91" s="51"/>
      <c r="B91" s="22"/>
      <c r="C91" s="31"/>
      <c r="D91" s="31"/>
      <c r="E91" s="31"/>
      <c r="F91" s="22"/>
      <c r="G91" s="22"/>
    </row>
    <row r="92" spans="1:7" x14ac:dyDescent="0.3">
      <c r="A92" s="51"/>
      <c r="B92" s="22"/>
      <c r="C92" s="31"/>
      <c r="D92" s="31"/>
      <c r="E92" s="31"/>
      <c r="F92" s="22"/>
      <c r="G92" s="22"/>
    </row>
    <row r="93" spans="1:7" x14ac:dyDescent="0.3">
      <c r="A93" s="51"/>
      <c r="B93" s="22"/>
      <c r="C93" s="31"/>
      <c r="D93" s="31"/>
      <c r="E93" s="31"/>
      <c r="F93" s="22"/>
      <c r="G93" s="22"/>
    </row>
    <row r="94" spans="1:7" x14ac:dyDescent="0.3">
      <c r="A94" s="51"/>
      <c r="B94" s="22"/>
      <c r="C94" s="31"/>
      <c r="D94" s="31"/>
      <c r="E94" s="31"/>
      <c r="F94" s="22"/>
      <c r="G94" s="22"/>
    </row>
    <row r="95" spans="1:7" x14ac:dyDescent="0.3">
      <c r="A95" s="51"/>
      <c r="B95" s="22"/>
      <c r="C95" s="31"/>
      <c r="D95" s="31"/>
      <c r="E95" s="31"/>
      <c r="F95" s="22"/>
      <c r="G95" s="22"/>
    </row>
    <row r="96" spans="1:7" x14ac:dyDescent="0.3">
      <c r="A96" s="51"/>
      <c r="B96" s="22"/>
      <c r="C96" s="31"/>
      <c r="D96" s="31"/>
      <c r="E96" s="31"/>
      <c r="F96" s="22"/>
      <c r="G96" s="22"/>
    </row>
    <row r="97" spans="1:7" x14ac:dyDescent="0.3">
      <c r="A97" s="51"/>
      <c r="B97" s="22"/>
      <c r="C97" s="31"/>
      <c r="D97" s="31"/>
      <c r="E97" s="31"/>
      <c r="F97" s="22"/>
      <c r="G97" s="22"/>
    </row>
    <row r="98" spans="1:7" x14ac:dyDescent="0.3">
      <c r="A98" s="51"/>
      <c r="B98" s="22"/>
      <c r="C98" s="31"/>
      <c r="D98" s="31"/>
      <c r="E98" s="31"/>
      <c r="F98" s="22"/>
      <c r="G98" s="22"/>
    </row>
    <row r="99" spans="1:7" x14ac:dyDescent="0.3">
      <c r="A99" s="51"/>
      <c r="B99" s="22"/>
      <c r="C99" s="31"/>
      <c r="D99" s="31"/>
      <c r="E99" s="31"/>
      <c r="F99" s="22"/>
      <c r="G99" s="22"/>
    </row>
    <row r="100" spans="1:7" x14ac:dyDescent="0.3">
      <c r="A100" s="51"/>
      <c r="B100" s="22"/>
      <c r="C100" s="31"/>
      <c r="D100" s="31"/>
      <c r="E100" s="31"/>
      <c r="F100" s="22"/>
      <c r="G100" s="22"/>
    </row>
    <row r="101" spans="1:7" x14ac:dyDescent="0.3">
      <c r="A101" s="51"/>
      <c r="B101" s="22"/>
      <c r="C101" s="31"/>
      <c r="D101" s="31"/>
      <c r="E101" s="31"/>
      <c r="F101" s="22"/>
      <c r="G101" s="22"/>
    </row>
    <row r="102" spans="1:7" x14ac:dyDescent="0.3">
      <c r="A102" s="51"/>
      <c r="B102" s="22"/>
      <c r="C102" s="31"/>
      <c r="D102" s="31"/>
      <c r="E102" s="31"/>
      <c r="F102" s="22"/>
      <c r="G102" s="22"/>
    </row>
    <row r="103" spans="1:7" x14ac:dyDescent="0.3">
      <c r="A103" s="51"/>
      <c r="B103" s="22"/>
      <c r="C103" s="31"/>
      <c r="D103" s="31"/>
      <c r="E103" s="31"/>
      <c r="F103" s="22"/>
      <c r="G103" s="22"/>
    </row>
    <row r="104" spans="1:7" x14ac:dyDescent="0.3">
      <c r="A104" s="51"/>
      <c r="B104" s="22"/>
      <c r="C104" s="31"/>
      <c r="D104" s="31"/>
      <c r="E104" s="31"/>
      <c r="F104" s="22"/>
      <c r="G104" s="22"/>
    </row>
    <row r="105" spans="1:7" x14ac:dyDescent="0.3">
      <c r="A105" s="51"/>
      <c r="B105" s="22"/>
      <c r="C105" s="31"/>
      <c r="D105" s="31"/>
      <c r="E105" s="31"/>
      <c r="F105" s="22"/>
      <c r="G105" s="22"/>
    </row>
    <row r="106" spans="1:7" x14ac:dyDescent="0.3">
      <c r="A106" s="51"/>
      <c r="B106" s="22"/>
      <c r="C106" s="31"/>
      <c r="D106" s="31"/>
      <c r="E106" s="31"/>
      <c r="F106" s="22"/>
      <c r="G106" s="22"/>
    </row>
    <row r="107" spans="1:7" x14ac:dyDescent="0.3">
      <c r="A107" s="51"/>
      <c r="B107" s="22"/>
      <c r="C107" s="31"/>
      <c r="D107" s="31"/>
      <c r="E107" s="31"/>
      <c r="F107" s="22"/>
      <c r="G107" s="22"/>
    </row>
    <row r="108" spans="1:7" x14ac:dyDescent="0.3">
      <c r="A108" s="51"/>
      <c r="B108" s="22"/>
      <c r="C108" s="31"/>
      <c r="D108" s="31"/>
      <c r="E108" s="31"/>
      <c r="F108" s="22"/>
      <c r="G108" s="22"/>
    </row>
    <row r="109" spans="1:7" x14ac:dyDescent="0.3">
      <c r="A109" s="51"/>
      <c r="B109" s="22"/>
      <c r="C109" s="31"/>
      <c r="D109" s="31"/>
      <c r="E109" s="31"/>
      <c r="F109" s="22"/>
      <c r="G109" s="22"/>
    </row>
    <row r="110" spans="1:7" x14ac:dyDescent="0.3">
      <c r="A110" s="51"/>
      <c r="B110" s="22"/>
      <c r="C110" s="31"/>
      <c r="D110" s="31"/>
      <c r="E110" s="31"/>
      <c r="F110" s="22"/>
      <c r="G110" s="22"/>
    </row>
    <row r="111" spans="1:7" x14ac:dyDescent="0.3">
      <c r="A111" s="51"/>
      <c r="B111" s="22"/>
      <c r="C111" s="31"/>
      <c r="D111" s="31"/>
      <c r="E111" s="31"/>
      <c r="F111" s="22"/>
      <c r="G111" s="22"/>
    </row>
    <row r="112" spans="1:7" x14ac:dyDescent="0.3">
      <c r="A112" s="51"/>
      <c r="B112" s="22"/>
      <c r="C112" s="31"/>
      <c r="D112" s="31"/>
      <c r="E112" s="31"/>
      <c r="F112" s="22"/>
      <c r="G112" s="22"/>
    </row>
    <row r="113" spans="1:7" x14ac:dyDescent="0.3">
      <c r="A113" s="51"/>
      <c r="B113" s="22"/>
      <c r="C113" s="31"/>
      <c r="D113" s="31"/>
      <c r="E113" s="31"/>
      <c r="F113" s="22"/>
      <c r="G113" s="22"/>
    </row>
    <row r="114" spans="1:7" x14ac:dyDescent="0.3">
      <c r="A114" s="51"/>
      <c r="B114" s="22"/>
      <c r="C114" s="31"/>
      <c r="D114" s="31"/>
      <c r="E114" s="31"/>
      <c r="F114" s="22"/>
      <c r="G114" s="22"/>
    </row>
    <row r="115" spans="1:7" x14ac:dyDescent="0.3">
      <c r="A115" s="51"/>
      <c r="B115" s="22"/>
      <c r="C115" s="31"/>
      <c r="D115" s="31"/>
      <c r="E115" s="31"/>
      <c r="F115" s="22"/>
      <c r="G115" s="22"/>
    </row>
    <row r="116" spans="1:7" x14ac:dyDescent="0.3">
      <c r="A116" s="51"/>
      <c r="B116" s="22"/>
      <c r="C116" s="31"/>
      <c r="D116" s="31"/>
      <c r="E116" s="31"/>
      <c r="F116" s="22"/>
      <c r="G116" s="22"/>
    </row>
    <row r="117" spans="1:7" x14ac:dyDescent="0.3">
      <c r="A117" s="51"/>
      <c r="B117" s="22"/>
      <c r="C117" s="31"/>
      <c r="D117" s="31"/>
      <c r="E117" s="31"/>
      <c r="F117" s="22"/>
      <c r="G117" s="22"/>
    </row>
    <row r="118" spans="1:7" x14ac:dyDescent="0.3">
      <c r="A118" s="51"/>
      <c r="B118" s="22"/>
      <c r="C118" s="31"/>
      <c r="D118" s="31"/>
      <c r="E118" s="31"/>
      <c r="F118" s="22"/>
      <c r="G118" s="22"/>
    </row>
    <row r="119" spans="1:7" x14ac:dyDescent="0.3">
      <c r="A119" s="51"/>
      <c r="B119" s="22"/>
      <c r="C119" s="31"/>
      <c r="D119" s="31"/>
      <c r="E119" s="31"/>
      <c r="F119" s="22"/>
      <c r="G119" s="22"/>
    </row>
    <row r="120" spans="1:7" x14ac:dyDescent="0.3">
      <c r="A120" s="51"/>
      <c r="B120" s="22"/>
      <c r="C120" s="31"/>
      <c r="D120" s="31"/>
      <c r="E120" s="31"/>
      <c r="F120" s="22"/>
      <c r="G120" s="22"/>
    </row>
    <row r="121" spans="1:7" x14ac:dyDescent="0.3">
      <c r="A121" s="51"/>
      <c r="B121" s="22"/>
      <c r="C121" s="31"/>
      <c r="D121" s="31"/>
      <c r="E121" s="31"/>
      <c r="F121" s="22"/>
      <c r="G121" s="22"/>
    </row>
    <row r="122" spans="1:7" x14ac:dyDescent="0.3">
      <c r="A122" s="51"/>
      <c r="B122" s="22"/>
      <c r="C122" s="31"/>
      <c r="D122" s="31"/>
      <c r="E122" s="31"/>
      <c r="F122" s="22"/>
      <c r="G122" s="22"/>
    </row>
    <row r="123" spans="1:7" x14ac:dyDescent="0.3">
      <c r="A123" s="51"/>
      <c r="B123" s="22"/>
      <c r="C123" s="31"/>
      <c r="D123" s="31"/>
      <c r="E123" s="31"/>
      <c r="F123" s="22"/>
      <c r="G123" s="22"/>
    </row>
    <row r="124" spans="1:7" x14ac:dyDescent="0.3">
      <c r="A124" s="51"/>
      <c r="B124" s="22"/>
      <c r="C124" s="31"/>
      <c r="D124" s="31"/>
      <c r="E124" s="31"/>
      <c r="F124" s="22"/>
      <c r="G124" s="22"/>
    </row>
    <row r="125" spans="1:7" x14ac:dyDescent="0.3">
      <c r="A125" s="51"/>
      <c r="B125" s="22"/>
      <c r="C125" s="31"/>
      <c r="D125" s="31"/>
      <c r="E125" s="31"/>
      <c r="F125" s="22"/>
      <c r="G125" s="22"/>
    </row>
    <row r="126" spans="1:7" x14ac:dyDescent="0.3">
      <c r="A126" s="51"/>
      <c r="B126" s="22"/>
      <c r="C126" s="31"/>
      <c r="D126" s="31"/>
      <c r="E126" s="31"/>
      <c r="F126" s="22"/>
      <c r="G126" s="22"/>
    </row>
    <row r="127" spans="1:7" x14ac:dyDescent="0.3">
      <c r="A127" s="51"/>
      <c r="B127" s="22"/>
      <c r="C127" s="31"/>
      <c r="D127" s="31"/>
      <c r="E127" s="31"/>
      <c r="F127" s="22"/>
      <c r="G127" s="22"/>
    </row>
    <row r="128" spans="1:7" x14ac:dyDescent="0.3">
      <c r="A128" s="51"/>
      <c r="B128" s="22"/>
      <c r="C128" s="31"/>
      <c r="D128" s="31"/>
      <c r="E128" s="31"/>
      <c r="F128" s="22"/>
      <c r="G128" s="22"/>
    </row>
    <row r="129" spans="1:7" x14ac:dyDescent="0.3">
      <c r="A129" s="51"/>
      <c r="B129" s="22"/>
      <c r="C129" s="31"/>
      <c r="D129" s="31"/>
      <c r="E129" s="31"/>
      <c r="F129" s="22"/>
      <c r="G129" s="22"/>
    </row>
    <row r="130" spans="1:7" x14ac:dyDescent="0.3">
      <c r="A130" s="51"/>
      <c r="B130" s="22"/>
      <c r="C130" s="31"/>
      <c r="D130" s="31"/>
      <c r="E130" s="31"/>
      <c r="F130" s="22"/>
      <c r="G130" s="22"/>
    </row>
    <row r="131" spans="1:7" x14ac:dyDescent="0.3">
      <c r="A131" s="51"/>
      <c r="B131" s="22"/>
      <c r="C131" s="31"/>
      <c r="D131" s="31"/>
      <c r="E131" s="31"/>
      <c r="F131" s="22"/>
      <c r="G131" s="22"/>
    </row>
    <row r="132" spans="1:7" x14ac:dyDescent="0.3">
      <c r="A132" s="51"/>
      <c r="B132" s="22"/>
      <c r="C132" s="31"/>
      <c r="D132" s="31"/>
      <c r="E132" s="31"/>
      <c r="F132" s="22"/>
      <c r="G132" s="22"/>
    </row>
    <row r="133" spans="1:7" x14ac:dyDescent="0.3">
      <c r="A133" s="51"/>
      <c r="B133" s="22"/>
      <c r="C133" s="31"/>
      <c r="D133" s="31"/>
      <c r="E133" s="31"/>
      <c r="F133" s="22"/>
      <c r="G133" s="22"/>
    </row>
    <row r="134" spans="1:7" x14ac:dyDescent="0.3">
      <c r="A134" s="51"/>
      <c r="B134" s="22"/>
      <c r="C134" s="31"/>
      <c r="D134" s="31"/>
      <c r="E134" s="31"/>
      <c r="F134" s="22"/>
      <c r="G134" s="22"/>
    </row>
    <row r="135" spans="1:7" x14ac:dyDescent="0.3">
      <c r="A135" s="51"/>
      <c r="B135" s="22"/>
      <c r="C135" s="31"/>
      <c r="D135" s="31"/>
      <c r="E135" s="31"/>
      <c r="F135" s="22"/>
      <c r="G135" s="22"/>
    </row>
    <row r="136" spans="1:7" x14ac:dyDescent="0.3">
      <c r="A136" s="51"/>
      <c r="B136" s="22"/>
      <c r="C136" s="31"/>
      <c r="D136" s="31"/>
      <c r="E136" s="31"/>
      <c r="F136" s="22"/>
      <c r="G136" s="22"/>
    </row>
    <row r="137" spans="1:7" x14ac:dyDescent="0.3">
      <c r="A137" s="51"/>
      <c r="B137" s="22"/>
      <c r="C137" s="31"/>
      <c r="D137" s="31"/>
      <c r="E137" s="31"/>
      <c r="F137" s="22"/>
      <c r="G137" s="22"/>
    </row>
    <row r="138" spans="1:7" x14ac:dyDescent="0.3">
      <c r="A138" s="51"/>
      <c r="B138" s="22"/>
      <c r="C138" s="31"/>
      <c r="D138" s="31"/>
      <c r="E138" s="31"/>
      <c r="F138" s="22"/>
      <c r="G138" s="22"/>
    </row>
    <row r="139" spans="1:7" x14ac:dyDescent="0.3">
      <c r="A139" s="51"/>
      <c r="B139" s="22"/>
      <c r="C139" s="31"/>
      <c r="D139" s="31"/>
      <c r="E139" s="31"/>
      <c r="F139" s="22"/>
      <c r="G139" s="22"/>
    </row>
    <row r="140" spans="1:7" x14ac:dyDescent="0.3">
      <c r="A140" s="51"/>
      <c r="B140" s="22"/>
      <c r="C140" s="31"/>
      <c r="D140" s="31"/>
      <c r="E140" s="31"/>
      <c r="F140" s="22"/>
      <c r="G140" s="22"/>
    </row>
    <row r="141" spans="1:7" x14ac:dyDescent="0.3">
      <c r="A141" s="51"/>
      <c r="B141" s="22"/>
      <c r="C141" s="31"/>
      <c r="D141" s="31"/>
      <c r="E141" s="31"/>
      <c r="F141" s="22"/>
      <c r="G141" s="22"/>
    </row>
    <row r="142" spans="1:7" x14ac:dyDescent="0.3">
      <c r="A142" s="51"/>
      <c r="B142" s="22"/>
      <c r="C142" s="31"/>
      <c r="D142" s="31"/>
      <c r="E142" s="31"/>
      <c r="F142" s="22"/>
      <c r="G142" s="22"/>
    </row>
    <row r="143" spans="1:7" x14ac:dyDescent="0.3">
      <c r="A143" s="51"/>
      <c r="B143" s="22"/>
      <c r="C143" s="31"/>
      <c r="D143" s="31"/>
      <c r="E143" s="31"/>
      <c r="F143" s="22"/>
      <c r="G143" s="22"/>
    </row>
    <row r="144" spans="1:7" x14ac:dyDescent="0.3">
      <c r="A144" s="51"/>
      <c r="B144" s="22"/>
      <c r="C144" s="31"/>
      <c r="D144" s="31"/>
      <c r="E144" s="31"/>
      <c r="F144" s="22"/>
      <c r="G144" s="22"/>
    </row>
    <row r="145" spans="1:7" x14ac:dyDescent="0.3">
      <c r="A145" s="51"/>
      <c r="B145" s="22"/>
      <c r="C145" s="31"/>
      <c r="D145" s="31"/>
      <c r="E145" s="31"/>
      <c r="F145" s="22"/>
      <c r="G145" s="22"/>
    </row>
    <row r="146" spans="1:7" x14ac:dyDescent="0.3">
      <c r="A146" s="51"/>
      <c r="B146" s="22"/>
      <c r="C146" s="31"/>
      <c r="D146" s="31"/>
      <c r="E146" s="31"/>
      <c r="F146" s="22"/>
      <c r="G146" s="22"/>
    </row>
    <row r="147" spans="1:7" x14ac:dyDescent="0.3">
      <c r="A147" s="51"/>
      <c r="B147" s="22"/>
      <c r="C147" s="31"/>
      <c r="D147" s="31"/>
      <c r="E147" s="31"/>
      <c r="F147" s="22"/>
      <c r="G147" s="22"/>
    </row>
    <row r="148" spans="1:7" x14ac:dyDescent="0.3">
      <c r="A148" s="51"/>
      <c r="B148" s="22"/>
      <c r="C148" s="31"/>
      <c r="D148" s="31"/>
      <c r="E148" s="31"/>
      <c r="F148" s="22"/>
      <c r="G148" s="22"/>
    </row>
    <row r="149" spans="1:7" x14ac:dyDescent="0.3">
      <c r="A149" s="51"/>
      <c r="B149" s="22"/>
      <c r="C149" s="31"/>
      <c r="D149" s="31"/>
      <c r="E149" s="31"/>
      <c r="F149" s="22"/>
      <c r="G149" s="22"/>
    </row>
    <row r="150" spans="1:7" x14ac:dyDescent="0.3">
      <c r="A150" s="51"/>
      <c r="B150" s="22"/>
      <c r="C150" s="31"/>
      <c r="D150" s="31"/>
      <c r="E150" s="31"/>
      <c r="F150" s="22"/>
      <c r="G150" s="22"/>
    </row>
    <row r="151" spans="1:7" x14ac:dyDescent="0.3">
      <c r="A151" s="51"/>
      <c r="B151" s="22"/>
      <c r="C151" s="31"/>
      <c r="D151" s="31"/>
      <c r="E151" s="31"/>
      <c r="F151" s="22"/>
      <c r="G151" s="22"/>
    </row>
    <row r="152" spans="1:7" x14ac:dyDescent="0.3">
      <c r="A152" s="51"/>
      <c r="B152" s="22"/>
      <c r="C152" s="31"/>
      <c r="D152" s="31"/>
      <c r="E152" s="31"/>
      <c r="F152" s="22"/>
      <c r="G152" s="22"/>
    </row>
    <row r="153" spans="1:7" x14ac:dyDescent="0.3">
      <c r="A153" s="51"/>
      <c r="B153" s="22"/>
      <c r="C153" s="31"/>
      <c r="D153" s="31"/>
      <c r="E153" s="31"/>
      <c r="F153" s="22"/>
      <c r="G153" s="22"/>
    </row>
    <row r="154" spans="1:7" x14ac:dyDescent="0.3">
      <c r="A154" s="51"/>
      <c r="B154" s="22"/>
      <c r="C154" s="31"/>
      <c r="D154" s="31"/>
      <c r="E154" s="31"/>
      <c r="F154" s="22"/>
      <c r="G154" s="22"/>
    </row>
    <row r="155" spans="1:7" x14ac:dyDescent="0.3">
      <c r="A155" s="51"/>
      <c r="B155" s="22"/>
      <c r="C155" s="31"/>
      <c r="D155" s="31"/>
      <c r="E155" s="31"/>
      <c r="F155" s="22"/>
      <c r="G155" s="22"/>
    </row>
    <row r="156" spans="1:7" x14ac:dyDescent="0.3">
      <c r="A156" s="51"/>
      <c r="B156" s="22"/>
      <c r="C156" s="31"/>
      <c r="D156" s="31"/>
      <c r="E156" s="31"/>
      <c r="F156" s="22"/>
      <c r="G156" s="22"/>
    </row>
    <row r="157" spans="1:7" x14ac:dyDescent="0.3">
      <c r="A157" s="51"/>
      <c r="B157" s="22"/>
      <c r="C157" s="31"/>
      <c r="D157" s="31"/>
      <c r="E157" s="31"/>
      <c r="F157" s="22"/>
      <c r="G157" s="22"/>
    </row>
    <row r="158" spans="1:7" x14ac:dyDescent="0.3">
      <c r="A158" s="51"/>
      <c r="B158" s="22"/>
      <c r="C158" s="31"/>
      <c r="D158" s="31"/>
      <c r="E158" s="31"/>
      <c r="F158" s="22"/>
      <c r="G158" s="22"/>
    </row>
    <row r="159" spans="1:7" x14ac:dyDescent="0.3">
      <c r="A159" s="51"/>
      <c r="B159" s="22"/>
      <c r="C159" s="31"/>
      <c r="D159" s="31"/>
      <c r="E159" s="31"/>
      <c r="F159" s="22"/>
      <c r="G159" s="22"/>
    </row>
    <row r="160" spans="1:7" x14ac:dyDescent="0.3">
      <c r="A160" s="51"/>
      <c r="B160" s="22"/>
      <c r="C160" s="31"/>
      <c r="D160" s="31"/>
      <c r="E160" s="31"/>
      <c r="F160" s="22"/>
      <c r="G160" s="22"/>
    </row>
    <row r="161" spans="1:7" x14ac:dyDescent="0.3">
      <c r="A161" s="51"/>
      <c r="B161" s="22"/>
      <c r="C161" s="31"/>
      <c r="D161" s="31"/>
      <c r="E161" s="31"/>
      <c r="F161" s="22"/>
      <c r="G161" s="22"/>
    </row>
    <row r="162" spans="1:7" x14ac:dyDescent="0.3">
      <c r="A162" s="51"/>
      <c r="B162" s="22"/>
      <c r="C162" s="31"/>
      <c r="D162" s="31"/>
      <c r="E162" s="31"/>
      <c r="F162" s="22"/>
      <c r="G162" s="22"/>
    </row>
    <row r="163" spans="1:7" x14ac:dyDescent="0.3">
      <c r="A163" s="51"/>
      <c r="B163" s="22"/>
      <c r="C163" s="31"/>
      <c r="D163" s="31"/>
      <c r="E163" s="31"/>
      <c r="F163" s="22"/>
      <c r="G163" s="22"/>
    </row>
    <row r="164" spans="1:7" x14ac:dyDescent="0.3">
      <c r="A164" s="51"/>
      <c r="B164" s="22"/>
      <c r="C164" s="31"/>
      <c r="D164" s="31"/>
      <c r="E164" s="31"/>
      <c r="F164" s="22"/>
      <c r="G164" s="22"/>
    </row>
    <row r="165" spans="1:7" x14ac:dyDescent="0.3">
      <c r="A165" s="51"/>
      <c r="B165" s="22"/>
      <c r="C165" s="31"/>
      <c r="D165" s="31"/>
      <c r="E165" s="31"/>
      <c r="F165" s="22"/>
      <c r="G165" s="22"/>
    </row>
    <row r="166" spans="1:7" x14ac:dyDescent="0.3">
      <c r="A166" s="51"/>
      <c r="B166" s="22"/>
      <c r="C166" s="31"/>
      <c r="D166" s="31"/>
      <c r="E166" s="31"/>
      <c r="F166" s="22"/>
      <c r="G166" s="22"/>
    </row>
    <row r="167" spans="1:7" x14ac:dyDescent="0.3">
      <c r="A167" s="51"/>
      <c r="B167" s="22"/>
      <c r="C167" s="31"/>
      <c r="D167" s="31"/>
      <c r="E167" s="31"/>
      <c r="F167" s="22"/>
      <c r="G167" s="22"/>
    </row>
    <row r="168" spans="1:7" x14ac:dyDescent="0.3">
      <c r="A168" s="51"/>
      <c r="B168" s="22"/>
      <c r="C168" s="31"/>
      <c r="D168" s="31"/>
      <c r="E168" s="31"/>
      <c r="F168" s="22"/>
      <c r="G168" s="22"/>
    </row>
    <row r="169" spans="1:7" x14ac:dyDescent="0.3">
      <c r="A169" s="51"/>
      <c r="B169" s="22"/>
      <c r="C169" s="31"/>
      <c r="D169" s="31"/>
      <c r="E169" s="31"/>
      <c r="F169" s="22"/>
      <c r="G169" s="22"/>
    </row>
    <row r="170" spans="1:7" x14ac:dyDescent="0.3">
      <c r="A170" s="51"/>
      <c r="B170" s="22"/>
      <c r="C170" s="31"/>
      <c r="D170" s="31"/>
      <c r="E170" s="31"/>
      <c r="F170" s="22"/>
      <c r="G170" s="22"/>
    </row>
    <row r="171" spans="1:7" x14ac:dyDescent="0.3">
      <c r="A171" s="51"/>
      <c r="B171" s="22"/>
      <c r="C171" s="31"/>
      <c r="D171" s="31"/>
      <c r="E171" s="31"/>
      <c r="F171" s="22"/>
      <c r="G171" s="22"/>
    </row>
    <row r="172" spans="1:7" x14ac:dyDescent="0.3">
      <c r="A172" s="51"/>
      <c r="B172" s="22"/>
      <c r="C172" s="31"/>
      <c r="D172" s="31"/>
      <c r="E172" s="31"/>
      <c r="F172" s="22"/>
      <c r="G172" s="22"/>
    </row>
    <row r="173" spans="1:7" x14ac:dyDescent="0.3">
      <c r="A173" s="51"/>
      <c r="B173" s="22"/>
      <c r="C173" s="31"/>
      <c r="D173" s="31"/>
      <c r="E173" s="31"/>
      <c r="F173" s="22"/>
      <c r="G173" s="22"/>
    </row>
    <row r="174" spans="1:7" x14ac:dyDescent="0.3">
      <c r="A174" s="51"/>
      <c r="B174" s="22"/>
      <c r="C174" s="31"/>
      <c r="D174" s="31"/>
      <c r="E174" s="31"/>
      <c r="F174" s="22"/>
      <c r="G174" s="22"/>
    </row>
    <row r="175" spans="1:7" x14ac:dyDescent="0.3">
      <c r="A175" s="51"/>
      <c r="B175" s="22"/>
      <c r="C175" s="31"/>
      <c r="D175" s="31"/>
      <c r="E175" s="31"/>
      <c r="F175" s="22"/>
      <c r="G175" s="22"/>
    </row>
    <row r="176" spans="1:7" x14ac:dyDescent="0.3">
      <c r="A176" s="51"/>
      <c r="B176" s="22"/>
      <c r="C176" s="31"/>
      <c r="D176" s="31"/>
      <c r="E176" s="31"/>
      <c r="F176" s="22"/>
      <c r="G176" s="22"/>
    </row>
    <row r="177" spans="1:7" x14ac:dyDescent="0.3">
      <c r="A177" s="51"/>
      <c r="B177" s="22"/>
      <c r="C177" s="31"/>
      <c r="D177" s="31"/>
      <c r="E177" s="31"/>
      <c r="F177" s="22"/>
      <c r="G177" s="22"/>
    </row>
    <row r="178" spans="1:7" x14ac:dyDescent="0.3">
      <c r="A178" s="51"/>
      <c r="B178" s="22"/>
      <c r="C178" s="31"/>
      <c r="D178" s="31"/>
      <c r="E178" s="31"/>
      <c r="F178" s="22"/>
      <c r="G178" s="22"/>
    </row>
    <row r="179" spans="1:7" x14ac:dyDescent="0.3">
      <c r="A179" s="51"/>
      <c r="B179" s="22"/>
      <c r="C179" s="31"/>
      <c r="D179" s="31"/>
      <c r="E179" s="31"/>
      <c r="F179" s="22"/>
      <c r="G179" s="22"/>
    </row>
    <row r="180" spans="1:7" x14ac:dyDescent="0.3">
      <c r="A180" s="51"/>
      <c r="B180" s="22"/>
      <c r="C180" s="31"/>
      <c r="D180" s="31"/>
      <c r="E180" s="31"/>
      <c r="F180" s="22"/>
      <c r="G180" s="22"/>
    </row>
    <row r="181" spans="1:7" x14ac:dyDescent="0.3">
      <c r="A181" s="51"/>
      <c r="B181" s="22"/>
      <c r="C181" s="31"/>
      <c r="D181" s="31"/>
      <c r="E181" s="31"/>
      <c r="F181" s="22"/>
      <c r="G181" s="22"/>
    </row>
    <row r="182" spans="1:7" x14ac:dyDescent="0.3">
      <c r="A182" s="51"/>
      <c r="B182" s="22"/>
      <c r="C182" s="31"/>
      <c r="D182" s="31"/>
      <c r="E182" s="31"/>
      <c r="F182" s="22"/>
      <c r="G182" s="22"/>
    </row>
    <row r="183" spans="1:7" x14ac:dyDescent="0.3">
      <c r="A183" s="51"/>
      <c r="B183" s="22"/>
      <c r="C183" s="31"/>
      <c r="D183" s="31"/>
      <c r="E183" s="31"/>
      <c r="F183" s="22"/>
      <c r="G183" s="22"/>
    </row>
    <row r="184" spans="1:7" x14ac:dyDescent="0.3">
      <c r="A184" s="51"/>
      <c r="B184" s="22"/>
      <c r="C184" s="31"/>
      <c r="D184" s="31"/>
      <c r="E184" s="31"/>
      <c r="F184" s="22"/>
      <c r="G184" s="22"/>
    </row>
    <row r="185" spans="1:7" x14ac:dyDescent="0.3">
      <c r="A185" s="51"/>
      <c r="B185" s="22"/>
      <c r="C185" s="31"/>
      <c r="D185" s="31"/>
      <c r="E185" s="31"/>
      <c r="F185" s="22"/>
      <c r="G185" s="22"/>
    </row>
    <row r="186" spans="1:7" x14ac:dyDescent="0.3">
      <c r="A186" s="51"/>
      <c r="B186" s="22"/>
      <c r="C186" s="31"/>
      <c r="D186" s="31"/>
      <c r="E186" s="31"/>
      <c r="F186" s="22"/>
      <c r="G186" s="22"/>
    </row>
    <row r="187" spans="1:7" x14ac:dyDescent="0.3">
      <c r="A187" s="51"/>
      <c r="B187" s="22"/>
      <c r="C187" s="31"/>
      <c r="D187" s="31"/>
      <c r="E187" s="31"/>
      <c r="F187" s="22"/>
      <c r="G187" s="22"/>
    </row>
    <row r="188" spans="1:7" x14ac:dyDescent="0.3">
      <c r="A188" s="51"/>
      <c r="B188" s="22"/>
      <c r="C188" s="31"/>
      <c r="D188" s="31"/>
      <c r="E188" s="31"/>
      <c r="F188" s="22"/>
      <c r="G188" s="22"/>
    </row>
    <row r="189" spans="1:7" x14ac:dyDescent="0.3">
      <c r="A189" s="51"/>
      <c r="B189" s="22"/>
      <c r="C189" s="31"/>
      <c r="D189" s="31"/>
      <c r="E189" s="31"/>
      <c r="F189" s="22"/>
      <c r="G189" s="22"/>
    </row>
    <row r="190" spans="1:7" x14ac:dyDescent="0.3">
      <c r="A190" s="51"/>
      <c r="B190" s="22"/>
      <c r="C190" s="31"/>
      <c r="D190" s="31"/>
      <c r="E190" s="31"/>
      <c r="F190" s="22"/>
      <c r="G190" s="22"/>
    </row>
    <row r="191" spans="1:7" x14ac:dyDescent="0.3">
      <c r="A191" s="51"/>
      <c r="B191" s="22"/>
      <c r="C191" s="31"/>
      <c r="D191" s="31"/>
      <c r="E191" s="31"/>
      <c r="F191" s="22"/>
      <c r="G191" s="22"/>
    </row>
    <row r="192" spans="1:7" x14ac:dyDescent="0.3">
      <c r="A192" s="51"/>
      <c r="B192" s="22"/>
      <c r="C192" s="31"/>
      <c r="D192" s="31"/>
      <c r="E192" s="31"/>
      <c r="F192" s="22"/>
      <c r="G192" s="22"/>
    </row>
    <row r="193" spans="1:7" x14ac:dyDescent="0.3">
      <c r="A193" s="51"/>
      <c r="B193" s="22"/>
      <c r="C193" s="31"/>
      <c r="D193" s="31"/>
      <c r="E193" s="31"/>
      <c r="F193" s="22"/>
      <c r="G193" s="22"/>
    </row>
    <row r="194" spans="1:7" x14ac:dyDescent="0.3">
      <c r="A194" s="51"/>
      <c r="B194" s="22"/>
      <c r="C194" s="31"/>
      <c r="D194" s="31"/>
      <c r="E194" s="31"/>
      <c r="F194" s="22"/>
      <c r="G194" s="22"/>
    </row>
    <row r="195" spans="1:7" x14ac:dyDescent="0.3">
      <c r="A195" s="51"/>
      <c r="B195" s="22"/>
      <c r="C195" s="31"/>
      <c r="D195" s="31"/>
      <c r="E195" s="31"/>
      <c r="F195" s="22"/>
      <c r="G195" s="22"/>
    </row>
    <row r="196" spans="1:7" x14ac:dyDescent="0.3">
      <c r="A196" s="51"/>
      <c r="B196" s="22"/>
      <c r="C196" s="31"/>
      <c r="D196" s="31"/>
      <c r="E196" s="31"/>
      <c r="F196" s="22"/>
      <c r="G196" s="22"/>
    </row>
    <row r="197" spans="1:7" x14ac:dyDescent="0.3">
      <c r="A197" s="51"/>
      <c r="B197" s="22"/>
      <c r="C197" s="31"/>
      <c r="D197" s="31"/>
      <c r="E197" s="31"/>
      <c r="F197" s="22"/>
      <c r="G197" s="22"/>
    </row>
    <row r="198" spans="1:7" x14ac:dyDescent="0.3">
      <c r="A198" s="51"/>
      <c r="B198" s="22"/>
      <c r="C198" s="31"/>
      <c r="D198" s="31"/>
      <c r="E198" s="31"/>
      <c r="F198" s="22"/>
      <c r="G198" s="22"/>
    </row>
    <row r="199" spans="1:7" x14ac:dyDescent="0.3">
      <c r="A199" s="51"/>
      <c r="B199" s="22"/>
      <c r="C199" s="31"/>
      <c r="D199" s="31"/>
      <c r="E199" s="31"/>
      <c r="F199" s="22"/>
      <c r="G199" s="22"/>
    </row>
    <row r="200" spans="1:7" x14ac:dyDescent="0.3">
      <c r="A200" s="51"/>
      <c r="B200" s="22"/>
      <c r="C200" s="31"/>
      <c r="D200" s="31"/>
      <c r="E200" s="31"/>
      <c r="F200" s="22"/>
      <c r="G200" s="22"/>
    </row>
    <row r="201" spans="1:7" x14ac:dyDescent="0.3">
      <c r="A201" s="51"/>
      <c r="B201" s="22"/>
      <c r="C201" s="31"/>
      <c r="D201" s="31"/>
      <c r="E201" s="31"/>
      <c r="F201" s="22"/>
      <c r="G201" s="22"/>
    </row>
    <row r="202" spans="1:7" x14ac:dyDescent="0.3">
      <c r="A202" s="51"/>
      <c r="B202" s="22"/>
      <c r="C202" s="31"/>
      <c r="D202" s="31"/>
      <c r="E202" s="31"/>
      <c r="F202" s="22"/>
      <c r="G202" s="22"/>
    </row>
    <row r="203" spans="1:7" x14ac:dyDescent="0.3">
      <c r="A203" s="51"/>
      <c r="B203" s="22"/>
      <c r="C203" s="31"/>
      <c r="D203" s="31"/>
      <c r="E203" s="31"/>
      <c r="F203" s="22"/>
      <c r="G203" s="22"/>
    </row>
    <row r="204" spans="1:7" x14ac:dyDescent="0.3">
      <c r="A204" s="51"/>
      <c r="B204" s="22"/>
      <c r="C204" s="31"/>
      <c r="D204" s="31"/>
      <c r="E204" s="31"/>
      <c r="F204" s="22"/>
      <c r="G204" s="22"/>
    </row>
    <row r="205" spans="1:7" x14ac:dyDescent="0.3">
      <c r="A205" s="51"/>
      <c r="B205" s="22"/>
      <c r="C205" s="31"/>
      <c r="D205" s="31"/>
      <c r="E205" s="31"/>
      <c r="F205" s="22"/>
      <c r="G205" s="22"/>
    </row>
    <row r="206" spans="1:7" x14ac:dyDescent="0.3">
      <c r="A206" s="51"/>
      <c r="B206" s="22"/>
      <c r="C206" s="31"/>
      <c r="D206" s="31"/>
      <c r="E206" s="31"/>
      <c r="F206" s="22"/>
      <c r="G206" s="22"/>
    </row>
    <row r="207" spans="1:7" x14ac:dyDescent="0.3">
      <c r="A207" s="51"/>
      <c r="B207" s="22"/>
      <c r="C207" s="31"/>
      <c r="D207" s="31"/>
      <c r="E207" s="31"/>
      <c r="F207" s="22"/>
      <c r="G207" s="22"/>
    </row>
    <row r="208" spans="1:7" x14ac:dyDescent="0.3">
      <c r="A208" s="51"/>
      <c r="B208" s="22"/>
      <c r="C208" s="31"/>
      <c r="D208" s="31"/>
      <c r="E208" s="31"/>
      <c r="F208" s="22"/>
      <c r="G208" s="22"/>
    </row>
    <row r="209" spans="1:7" x14ac:dyDescent="0.3">
      <c r="A209" s="51"/>
      <c r="B209" s="22"/>
      <c r="C209" s="31"/>
      <c r="D209" s="31"/>
      <c r="E209" s="31"/>
      <c r="F209" s="22"/>
      <c r="G209" s="22"/>
    </row>
    <row r="210" spans="1:7" x14ac:dyDescent="0.3">
      <c r="A210" s="51"/>
      <c r="B210" s="22"/>
      <c r="C210" s="31"/>
      <c r="D210" s="31"/>
      <c r="E210" s="31"/>
      <c r="F210" s="22"/>
      <c r="G210" s="22"/>
    </row>
    <row r="211" spans="1:7" x14ac:dyDescent="0.3">
      <c r="A211" s="51"/>
      <c r="B211" s="22"/>
      <c r="C211" s="31"/>
      <c r="D211" s="31"/>
      <c r="E211" s="31"/>
      <c r="F211" s="22"/>
      <c r="G211" s="22"/>
    </row>
    <row r="212" spans="1:7" x14ac:dyDescent="0.3">
      <c r="A212" s="51"/>
      <c r="B212" s="22"/>
      <c r="C212" s="31"/>
      <c r="D212" s="31"/>
      <c r="E212" s="31"/>
      <c r="F212" s="22"/>
      <c r="G212" s="22"/>
    </row>
    <row r="213" spans="1:7" x14ac:dyDescent="0.3">
      <c r="A213" s="51"/>
      <c r="B213" s="22"/>
      <c r="C213" s="31"/>
      <c r="D213" s="31"/>
      <c r="E213" s="31"/>
      <c r="F213" s="22"/>
      <c r="G213" s="22"/>
    </row>
    <row r="214" spans="1:7" x14ac:dyDescent="0.3">
      <c r="A214" s="51"/>
      <c r="B214" s="22"/>
      <c r="C214" s="31"/>
      <c r="D214" s="31"/>
      <c r="E214" s="31"/>
      <c r="F214" s="22"/>
      <c r="G214" s="22"/>
    </row>
    <row r="215" spans="1:7" x14ac:dyDescent="0.3">
      <c r="A215" s="51"/>
      <c r="B215" s="22"/>
      <c r="C215" s="31"/>
      <c r="D215" s="31"/>
      <c r="E215" s="31"/>
      <c r="F215" s="22"/>
      <c r="G215" s="22"/>
    </row>
    <row r="216" spans="1:7" x14ac:dyDescent="0.3">
      <c r="A216" s="51"/>
      <c r="B216" s="22"/>
      <c r="C216" s="31"/>
      <c r="D216" s="31"/>
      <c r="E216" s="31"/>
      <c r="F216" s="22"/>
      <c r="G216" s="22"/>
    </row>
    <row r="217" spans="1:7" x14ac:dyDescent="0.3">
      <c r="A217" s="51"/>
      <c r="B217" s="22"/>
      <c r="C217" s="31"/>
      <c r="D217" s="31"/>
      <c r="E217" s="31"/>
      <c r="F217" s="22"/>
      <c r="G217" s="22"/>
    </row>
    <row r="218" spans="1:7" x14ac:dyDescent="0.3">
      <c r="A218" s="51"/>
      <c r="B218" s="22"/>
      <c r="C218" s="31"/>
      <c r="D218" s="31"/>
      <c r="E218" s="31"/>
      <c r="F218" s="22"/>
      <c r="G218" s="22"/>
    </row>
    <row r="219" spans="1:7" x14ac:dyDescent="0.3">
      <c r="A219" s="51"/>
      <c r="B219" s="22"/>
      <c r="C219" s="31"/>
      <c r="D219" s="31"/>
      <c r="E219" s="31"/>
      <c r="F219" s="22"/>
      <c r="G219" s="22"/>
    </row>
    <row r="220" spans="1:7" x14ac:dyDescent="0.3">
      <c r="A220" s="51"/>
      <c r="B220" s="22"/>
      <c r="C220" s="31"/>
      <c r="D220" s="31"/>
      <c r="E220" s="31"/>
      <c r="F220" s="22"/>
      <c r="G220" s="22"/>
    </row>
    <row r="221" spans="1:7" x14ac:dyDescent="0.3">
      <c r="A221" s="51"/>
      <c r="B221" s="22"/>
      <c r="C221" s="31"/>
      <c r="D221" s="31"/>
      <c r="E221" s="31"/>
      <c r="F221" s="22"/>
      <c r="G221" s="22"/>
    </row>
    <row r="222" spans="1:7" x14ac:dyDescent="0.3">
      <c r="A222" s="51"/>
      <c r="B222" s="22"/>
      <c r="C222" s="31"/>
      <c r="D222" s="31"/>
      <c r="E222" s="31"/>
      <c r="F222" s="22"/>
      <c r="G222" s="22"/>
    </row>
    <row r="223" spans="1:7" x14ac:dyDescent="0.3">
      <c r="A223" s="51"/>
      <c r="B223" s="22"/>
      <c r="C223" s="31"/>
      <c r="D223" s="31"/>
      <c r="E223" s="31"/>
      <c r="F223" s="22"/>
      <c r="G223" s="22"/>
    </row>
    <row r="224" spans="1:7" x14ac:dyDescent="0.3">
      <c r="A224" s="51"/>
      <c r="B224" s="22"/>
      <c r="C224" s="31"/>
      <c r="D224" s="31"/>
      <c r="E224" s="31"/>
      <c r="F224" s="22"/>
      <c r="G224" s="22"/>
    </row>
    <row r="225" spans="1:7" x14ac:dyDescent="0.3">
      <c r="A225" s="51"/>
      <c r="B225" s="22"/>
      <c r="C225" s="31"/>
      <c r="D225" s="31"/>
      <c r="E225" s="31"/>
      <c r="F225" s="22"/>
      <c r="G225" s="22"/>
    </row>
    <row r="226" spans="1:7" x14ac:dyDescent="0.3">
      <c r="A226" s="51"/>
      <c r="B226" s="22"/>
      <c r="C226" s="31"/>
      <c r="D226" s="31"/>
      <c r="E226" s="31"/>
      <c r="F226" s="22"/>
      <c r="G226" s="22"/>
    </row>
    <row r="227" spans="1:7" x14ac:dyDescent="0.3">
      <c r="A227" s="51"/>
      <c r="B227" s="22"/>
      <c r="C227" s="31"/>
      <c r="D227" s="31"/>
      <c r="E227" s="31"/>
      <c r="F227" s="22"/>
      <c r="G227" s="22"/>
    </row>
    <row r="228" spans="1:7" x14ac:dyDescent="0.3">
      <c r="A228" s="51"/>
      <c r="B228" s="22"/>
      <c r="C228" s="31"/>
      <c r="D228" s="31"/>
      <c r="E228" s="31"/>
      <c r="F228" s="22"/>
      <c r="G228" s="22"/>
    </row>
    <row r="229" spans="1:7" x14ac:dyDescent="0.3">
      <c r="A229" s="51"/>
      <c r="B229" s="22"/>
      <c r="C229" s="31"/>
      <c r="D229" s="31"/>
      <c r="E229" s="31"/>
      <c r="F229" s="22"/>
      <c r="G229" s="22"/>
    </row>
    <row r="230" spans="1:7" x14ac:dyDescent="0.3">
      <c r="A230" s="51"/>
      <c r="B230" s="22"/>
      <c r="C230" s="31"/>
      <c r="D230" s="31"/>
      <c r="E230" s="31"/>
      <c r="F230" s="22"/>
      <c r="G230" s="22"/>
    </row>
    <row r="231" spans="1:7" x14ac:dyDescent="0.3">
      <c r="A231" s="51"/>
      <c r="B231" s="22"/>
      <c r="C231" s="31"/>
      <c r="D231" s="31"/>
      <c r="E231" s="31"/>
      <c r="F231" s="22"/>
      <c r="G231" s="22"/>
    </row>
    <row r="232" spans="1:7" x14ac:dyDescent="0.3">
      <c r="A232" s="51"/>
      <c r="B232" s="22"/>
      <c r="C232" s="31"/>
      <c r="D232" s="31"/>
      <c r="E232" s="31"/>
      <c r="F232" s="22"/>
      <c r="G232" s="22"/>
    </row>
    <row r="233" spans="1:7" x14ac:dyDescent="0.3">
      <c r="A233" s="51"/>
      <c r="B233" s="22"/>
      <c r="C233" s="31"/>
      <c r="D233" s="31"/>
      <c r="E233" s="31"/>
      <c r="F233" s="22"/>
      <c r="G233" s="22"/>
    </row>
    <row r="234" spans="1:7" x14ac:dyDescent="0.3">
      <c r="A234" s="51"/>
      <c r="B234" s="22"/>
      <c r="C234" s="31"/>
      <c r="D234" s="31"/>
      <c r="E234" s="31"/>
      <c r="F234" s="22"/>
      <c r="G234" s="22"/>
    </row>
    <row r="235" spans="1:7" x14ac:dyDescent="0.3">
      <c r="A235" s="51"/>
      <c r="B235" s="22"/>
      <c r="C235" s="31"/>
      <c r="D235" s="31"/>
      <c r="E235" s="31"/>
      <c r="F235" s="22"/>
      <c r="G235" s="22"/>
    </row>
    <row r="236" spans="1:7" x14ac:dyDescent="0.3">
      <c r="A236" s="51"/>
      <c r="B236" s="22"/>
      <c r="C236" s="31"/>
      <c r="D236" s="31"/>
      <c r="E236" s="31"/>
      <c r="F236" s="22"/>
      <c r="G236" s="22"/>
    </row>
    <row r="237" spans="1:7" x14ac:dyDescent="0.3">
      <c r="A237" s="51"/>
      <c r="B237" s="22"/>
      <c r="C237" s="31"/>
      <c r="D237" s="31"/>
      <c r="E237" s="31"/>
      <c r="F237" s="22"/>
      <c r="G237" s="22"/>
    </row>
    <row r="238" spans="1:7" x14ac:dyDescent="0.3">
      <c r="A238" s="51"/>
      <c r="B238" s="22"/>
      <c r="C238" s="31"/>
      <c r="D238" s="31"/>
      <c r="E238" s="31"/>
      <c r="F238" s="22"/>
      <c r="G238" s="22"/>
    </row>
    <row r="239" spans="1:7" x14ac:dyDescent="0.3">
      <c r="A239" s="51"/>
      <c r="B239" s="22"/>
      <c r="C239" s="31"/>
      <c r="D239" s="31"/>
      <c r="E239" s="31"/>
      <c r="F239" s="22"/>
      <c r="G239" s="22"/>
    </row>
    <row r="240" spans="1:7" x14ac:dyDescent="0.3">
      <c r="A240" s="51"/>
      <c r="B240" s="22"/>
      <c r="C240" s="31"/>
      <c r="D240" s="31"/>
      <c r="E240" s="31"/>
      <c r="F240" s="22"/>
      <c r="G240" s="22"/>
    </row>
    <row r="241" spans="1:7" x14ac:dyDescent="0.3">
      <c r="A241" s="51"/>
      <c r="B241" s="22"/>
      <c r="C241" s="31"/>
      <c r="D241" s="31"/>
      <c r="E241" s="31"/>
      <c r="F241" s="22"/>
      <c r="G241" s="22"/>
    </row>
    <row r="242" spans="1:7" x14ac:dyDescent="0.3">
      <c r="A242" s="51"/>
      <c r="B242" s="22"/>
      <c r="C242" s="31"/>
      <c r="D242" s="31"/>
      <c r="E242" s="31"/>
      <c r="F242" s="22"/>
      <c r="G242" s="22"/>
    </row>
    <row r="243" spans="1:7" x14ac:dyDescent="0.3">
      <c r="A243" s="51"/>
      <c r="B243" s="22"/>
      <c r="C243" s="31"/>
      <c r="D243" s="31"/>
      <c r="E243" s="31"/>
      <c r="F243" s="22"/>
      <c r="G243" s="22"/>
    </row>
    <row r="244" spans="1:7" x14ac:dyDescent="0.3">
      <c r="A244" s="51"/>
      <c r="B244" s="22"/>
      <c r="C244" s="31"/>
      <c r="D244" s="31"/>
      <c r="E244" s="31"/>
      <c r="F244" s="22"/>
      <c r="G244" s="22"/>
    </row>
    <row r="245" spans="1:7" x14ac:dyDescent="0.3">
      <c r="A245" s="51"/>
      <c r="B245" s="22"/>
      <c r="C245" s="31"/>
      <c r="D245" s="31"/>
      <c r="E245" s="31"/>
      <c r="F245" s="22"/>
      <c r="G245" s="22"/>
    </row>
    <row r="246" spans="1:7" x14ac:dyDescent="0.3">
      <c r="A246" s="51"/>
      <c r="B246" s="22"/>
      <c r="C246" s="31"/>
      <c r="D246" s="31"/>
      <c r="E246" s="31"/>
      <c r="F246" s="22"/>
      <c r="G246" s="22"/>
    </row>
    <row r="247" spans="1:7" x14ac:dyDescent="0.3">
      <c r="A247" s="51"/>
      <c r="B247" s="22"/>
      <c r="C247" s="31"/>
      <c r="D247" s="31"/>
      <c r="E247" s="31"/>
      <c r="F247" s="22"/>
      <c r="G247" s="22"/>
    </row>
    <row r="248" spans="1:7" x14ac:dyDescent="0.3">
      <c r="A248" s="51"/>
      <c r="B248" s="22"/>
      <c r="C248" s="31"/>
      <c r="D248" s="31"/>
      <c r="E248" s="31"/>
      <c r="F248" s="22"/>
      <c r="G248" s="22"/>
    </row>
    <row r="249" spans="1:7" x14ac:dyDescent="0.3">
      <c r="A249" s="51"/>
      <c r="B249" s="22"/>
      <c r="C249" s="31"/>
      <c r="D249" s="31"/>
      <c r="E249" s="31"/>
      <c r="F249" s="22"/>
      <c r="G249" s="22"/>
    </row>
    <row r="250" spans="1:7" x14ac:dyDescent="0.3">
      <c r="A250" s="51"/>
      <c r="B250" s="22"/>
      <c r="C250" s="31"/>
      <c r="D250" s="31"/>
      <c r="E250" s="31"/>
      <c r="F250" s="22"/>
      <c r="G250" s="22"/>
    </row>
    <row r="251" spans="1:7" x14ac:dyDescent="0.3">
      <c r="A251" s="51"/>
      <c r="B251" s="22"/>
      <c r="C251" s="31"/>
      <c r="D251" s="31"/>
      <c r="E251" s="31"/>
      <c r="F251" s="22"/>
      <c r="G251" s="22"/>
    </row>
    <row r="252" spans="1:7" x14ac:dyDescent="0.3">
      <c r="A252" s="51"/>
      <c r="B252" s="22"/>
      <c r="C252" s="31"/>
      <c r="D252" s="31"/>
      <c r="E252" s="31"/>
      <c r="F252" s="22"/>
      <c r="G252" s="22"/>
    </row>
    <row r="253" spans="1:7" x14ac:dyDescent="0.3">
      <c r="A253" s="51"/>
      <c r="B253" s="22"/>
      <c r="C253" s="31"/>
      <c r="D253" s="31"/>
      <c r="E253" s="31"/>
      <c r="F253" s="22"/>
      <c r="G253" s="22"/>
    </row>
    <row r="254" spans="1:7" x14ac:dyDescent="0.3">
      <c r="A254" s="51"/>
      <c r="B254" s="22"/>
      <c r="C254" s="31"/>
      <c r="D254" s="31"/>
      <c r="E254" s="31"/>
      <c r="F254" s="22"/>
      <c r="G254" s="22"/>
    </row>
    <row r="255" spans="1:7" x14ac:dyDescent="0.3">
      <c r="A255" s="51"/>
      <c r="B255" s="22"/>
      <c r="C255" s="31"/>
      <c r="D255" s="31"/>
      <c r="E255" s="31"/>
      <c r="F255" s="22"/>
      <c r="G255" s="22"/>
    </row>
    <row r="256" spans="1:7" x14ac:dyDescent="0.3">
      <c r="A256" s="51"/>
      <c r="B256" s="22"/>
      <c r="C256" s="31"/>
      <c r="D256" s="31"/>
      <c r="E256" s="31"/>
      <c r="F256" s="22"/>
      <c r="G256" s="22"/>
    </row>
    <row r="257" spans="1:7" x14ac:dyDescent="0.3">
      <c r="A257" s="51"/>
      <c r="B257" s="22"/>
      <c r="C257" s="31"/>
      <c r="D257" s="31"/>
      <c r="E257" s="31"/>
      <c r="F257" s="22"/>
      <c r="G257" s="22"/>
    </row>
    <row r="258" spans="1:7" x14ac:dyDescent="0.3">
      <c r="A258" s="51"/>
      <c r="B258" s="22"/>
      <c r="C258" s="31"/>
      <c r="D258" s="31"/>
      <c r="E258" s="31"/>
      <c r="F258" s="22"/>
      <c r="G258" s="22"/>
    </row>
    <row r="259" spans="1:7" x14ac:dyDescent="0.3">
      <c r="A259" s="51"/>
      <c r="B259" s="22"/>
      <c r="C259" s="31"/>
      <c r="D259" s="31"/>
      <c r="E259" s="31"/>
      <c r="F259" s="22"/>
      <c r="G259" s="22"/>
    </row>
    <row r="260" spans="1:7" x14ac:dyDescent="0.3">
      <c r="A260" s="51"/>
      <c r="B260" s="22"/>
      <c r="C260" s="31"/>
      <c r="D260" s="31"/>
      <c r="E260" s="31"/>
      <c r="F260" s="22"/>
      <c r="G260" s="22"/>
    </row>
    <row r="261" spans="1:7" x14ac:dyDescent="0.3">
      <c r="A261" s="51"/>
      <c r="B261" s="22"/>
      <c r="C261" s="31"/>
      <c r="D261" s="31"/>
      <c r="E261" s="31"/>
      <c r="F261" s="22"/>
      <c r="G261" s="22"/>
    </row>
    <row r="262" spans="1:7" x14ac:dyDescent="0.3">
      <c r="A262" s="51"/>
      <c r="B262" s="22"/>
      <c r="C262" s="31"/>
      <c r="D262" s="31"/>
      <c r="E262" s="31"/>
      <c r="F262" s="22"/>
      <c r="G262" s="22"/>
    </row>
    <row r="263" spans="1:7" x14ac:dyDescent="0.3">
      <c r="A263" s="51"/>
      <c r="B263" s="22"/>
      <c r="C263" s="31"/>
      <c r="D263" s="31"/>
      <c r="E263" s="31"/>
      <c r="F263" s="22"/>
      <c r="G263" s="22"/>
    </row>
    <row r="264" spans="1:7" x14ac:dyDescent="0.3">
      <c r="A264" s="51"/>
      <c r="B264" s="22"/>
      <c r="C264" s="31"/>
      <c r="D264" s="31"/>
      <c r="E264" s="31"/>
      <c r="F264" s="22"/>
      <c r="G264" s="22"/>
    </row>
    <row r="265" spans="1:7" x14ac:dyDescent="0.3">
      <c r="A265" s="51"/>
      <c r="B265" s="22"/>
      <c r="C265" s="31"/>
      <c r="D265" s="31"/>
      <c r="E265" s="31"/>
      <c r="F265" s="22"/>
      <c r="G265" s="22"/>
    </row>
    <row r="266" spans="1:7" x14ac:dyDescent="0.3">
      <c r="A266" s="51"/>
      <c r="B266" s="22"/>
      <c r="C266" s="31"/>
      <c r="D266" s="31"/>
      <c r="E266" s="31"/>
      <c r="F266" s="22"/>
      <c r="G266" s="22"/>
    </row>
    <row r="267" spans="1:7" x14ac:dyDescent="0.3">
      <c r="A267" s="51"/>
      <c r="B267" s="22"/>
      <c r="C267" s="31"/>
      <c r="D267" s="31"/>
      <c r="E267" s="31"/>
      <c r="F267" s="22"/>
      <c r="G267" s="22"/>
    </row>
    <row r="268" spans="1:7" x14ac:dyDescent="0.3">
      <c r="A268" s="51"/>
      <c r="B268" s="22"/>
      <c r="C268" s="31"/>
      <c r="D268" s="31"/>
      <c r="E268" s="31"/>
      <c r="F268" s="22"/>
      <c r="G268" s="22"/>
    </row>
    <row r="269" spans="1:7" x14ac:dyDescent="0.3">
      <c r="A269" s="51"/>
      <c r="B269" s="22"/>
      <c r="C269" s="31"/>
      <c r="D269" s="31"/>
      <c r="E269" s="31"/>
      <c r="F269" s="22"/>
      <c r="G269" s="22"/>
    </row>
    <row r="270" spans="1:7" x14ac:dyDescent="0.3">
      <c r="A270" s="51"/>
      <c r="B270" s="22"/>
      <c r="C270" s="31"/>
      <c r="D270" s="31"/>
      <c r="E270" s="31"/>
      <c r="F270" s="22"/>
      <c r="G270" s="22"/>
    </row>
    <row r="271" spans="1:7" x14ac:dyDescent="0.3">
      <c r="A271" s="51"/>
      <c r="B271" s="22"/>
      <c r="C271" s="31"/>
      <c r="D271" s="31"/>
      <c r="E271" s="31"/>
      <c r="F271" s="22"/>
      <c r="G271" s="22"/>
    </row>
    <row r="272" spans="1:7" x14ac:dyDescent="0.3">
      <c r="A272" s="51"/>
      <c r="B272" s="22"/>
      <c r="C272" s="31"/>
      <c r="D272" s="31"/>
      <c r="E272" s="31"/>
      <c r="F272" s="22"/>
      <c r="G272" s="22"/>
    </row>
    <row r="273" spans="1:7" x14ac:dyDescent="0.3">
      <c r="A273" s="51"/>
      <c r="B273" s="22"/>
      <c r="C273" s="31"/>
      <c r="D273" s="31"/>
      <c r="E273" s="31"/>
      <c r="F273" s="22"/>
      <c r="G273" s="22"/>
    </row>
    <row r="274" spans="1:7" x14ac:dyDescent="0.3">
      <c r="A274" s="51"/>
      <c r="B274" s="22"/>
      <c r="C274" s="31"/>
      <c r="D274" s="31"/>
      <c r="E274" s="31"/>
      <c r="F274" s="22"/>
      <c r="G274" s="22"/>
    </row>
    <row r="275" spans="1:7" x14ac:dyDescent="0.3">
      <c r="A275" s="51"/>
      <c r="B275" s="22"/>
      <c r="C275" s="31"/>
      <c r="D275" s="31"/>
      <c r="E275" s="31"/>
      <c r="F275" s="22"/>
      <c r="G275" s="22"/>
    </row>
    <row r="276" spans="1:7" x14ac:dyDescent="0.3">
      <c r="A276" s="51"/>
      <c r="B276" s="22"/>
      <c r="C276" s="31"/>
      <c r="D276" s="31"/>
      <c r="E276" s="31"/>
      <c r="F276" s="22"/>
      <c r="G276" s="22"/>
    </row>
    <row r="277" spans="1:7" x14ac:dyDescent="0.3">
      <c r="A277" s="51"/>
      <c r="B277" s="22"/>
      <c r="C277" s="31"/>
      <c r="D277" s="31"/>
      <c r="E277" s="31"/>
      <c r="F277" s="22"/>
      <c r="G277" s="22"/>
    </row>
    <row r="278" spans="1:7" x14ac:dyDescent="0.3">
      <c r="A278" s="51"/>
      <c r="B278" s="22"/>
      <c r="C278" s="31"/>
      <c r="D278" s="31"/>
      <c r="E278" s="31"/>
      <c r="F278" s="22"/>
      <c r="G278" s="22"/>
    </row>
    <row r="279" spans="1:7" x14ac:dyDescent="0.3">
      <c r="A279" s="51"/>
      <c r="B279" s="22"/>
      <c r="C279" s="31"/>
      <c r="D279" s="31"/>
      <c r="E279" s="31"/>
      <c r="F279" s="22"/>
      <c r="G279" s="22"/>
    </row>
    <row r="280" spans="1:7" x14ac:dyDescent="0.3">
      <c r="A280" s="51"/>
      <c r="B280" s="22"/>
      <c r="C280" s="31"/>
      <c r="D280" s="31"/>
      <c r="E280" s="31"/>
      <c r="F280" s="22"/>
      <c r="G280" s="22"/>
    </row>
    <row r="281" spans="1:7" x14ac:dyDescent="0.3">
      <c r="A281" s="51"/>
      <c r="B281" s="22"/>
      <c r="C281" s="31"/>
      <c r="D281" s="31"/>
      <c r="E281" s="31"/>
      <c r="F281" s="22"/>
      <c r="G281" s="22"/>
    </row>
    <row r="282" spans="1:7" x14ac:dyDescent="0.3">
      <c r="A282" s="51"/>
      <c r="B282" s="22"/>
      <c r="C282" s="31"/>
      <c r="D282" s="31"/>
      <c r="E282" s="31"/>
      <c r="F282" s="22"/>
      <c r="G282" s="22"/>
    </row>
    <row r="283" spans="1:7" x14ac:dyDescent="0.3">
      <c r="A283" s="51"/>
      <c r="B283" s="22"/>
      <c r="C283" s="31"/>
      <c r="D283" s="31"/>
      <c r="E283" s="31"/>
      <c r="F283" s="22"/>
      <c r="G283" s="22"/>
    </row>
    <row r="284" spans="1:7" x14ac:dyDescent="0.3">
      <c r="A284" s="51"/>
      <c r="B284" s="22"/>
      <c r="C284" s="31"/>
      <c r="D284" s="31"/>
      <c r="E284" s="31"/>
      <c r="F284" s="22"/>
      <c r="G284" s="22"/>
    </row>
    <row r="285" spans="1:7" x14ac:dyDescent="0.3">
      <c r="A285" s="51"/>
      <c r="B285" s="22"/>
      <c r="C285" s="31"/>
      <c r="D285" s="31"/>
      <c r="E285" s="31"/>
      <c r="F285" s="22"/>
      <c r="G285" s="22"/>
    </row>
    <row r="286" spans="1:7" x14ac:dyDescent="0.3">
      <c r="A286" s="51"/>
      <c r="B286" s="22"/>
      <c r="C286" s="31"/>
      <c r="D286" s="31"/>
      <c r="E286" s="31"/>
      <c r="F286" s="22"/>
      <c r="G286" s="22"/>
    </row>
    <row r="287" spans="1:7" x14ac:dyDescent="0.3">
      <c r="A287" s="51"/>
      <c r="B287" s="22"/>
      <c r="C287" s="31"/>
      <c r="D287" s="31"/>
      <c r="E287" s="31"/>
      <c r="F287" s="22"/>
      <c r="G287" s="22"/>
    </row>
    <row r="288" spans="1:7" x14ac:dyDescent="0.3">
      <c r="A288" s="51"/>
      <c r="B288" s="22"/>
      <c r="C288" s="31"/>
      <c r="D288" s="31"/>
      <c r="E288" s="31"/>
      <c r="F288" s="22"/>
      <c r="G288" s="22"/>
    </row>
    <row r="289" spans="1:7" x14ac:dyDescent="0.3">
      <c r="A289" s="51"/>
      <c r="B289" s="22"/>
      <c r="C289" s="31"/>
      <c r="D289" s="31"/>
      <c r="E289" s="31"/>
      <c r="F289" s="22"/>
      <c r="G289" s="22"/>
    </row>
    <row r="290" spans="1:7" x14ac:dyDescent="0.3">
      <c r="A290" s="51"/>
      <c r="B290" s="22"/>
      <c r="C290" s="31"/>
      <c r="D290" s="31"/>
      <c r="E290" s="31"/>
      <c r="F290" s="22"/>
      <c r="G290" s="22"/>
    </row>
    <row r="291" spans="1:7" x14ac:dyDescent="0.3">
      <c r="A291" s="51"/>
      <c r="B291" s="22"/>
      <c r="C291" s="31"/>
      <c r="D291" s="31"/>
      <c r="E291" s="31"/>
      <c r="F291" s="22"/>
      <c r="G291" s="22"/>
    </row>
    <row r="292" spans="1:7" x14ac:dyDescent="0.3">
      <c r="A292" s="51"/>
      <c r="B292" s="22"/>
      <c r="C292" s="31"/>
      <c r="D292" s="31"/>
      <c r="E292" s="31"/>
      <c r="F292" s="22"/>
      <c r="G292" s="22"/>
    </row>
    <row r="293" spans="1:7" x14ac:dyDescent="0.3">
      <c r="A293" s="51"/>
      <c r="B293" s="22"/>
      <c r="C293" s="31"/>
      <c r="D293" s="31"/>
      <c r="E293" s="31"/>
      <c r="F293" s="22"/>
      <c r="G293" s="22"/>
    </row>
    <row r="294" spans="1:7" x14ac:dyDescent="0.3">
      <c r="A294" s="51"/>
      <c r="B294" s="22"/>
      <c r="C294" s="31"/>
      <c r="D294" s="31"/>
      <c r="E294" s="31"/>
      <c r="F294" s="22"/>
      <c r="G294" s="22"/>
    </row>
    <row r="295" spans="1:7" x14ac:dyDescent="0.3">
      <c r="A295" s="51"/>
      <c r="B295" s="22"/>
      <c r="C295" s="31"/>
      <c r="D295" s="31"/>
      <c r="E295" s="31"/>
      <c r="F295" s="22"/>
      <c r="G295" s="22"/>
    </row>
    <row r="296" spans="1:7" x14ac:dyDescent="0.3">
      <c r="A296" s="51"/>
      <c r="B296" s="22"/>
      <c r="C296" s="31"/>
      <c r="D296" s="31"/>
      <c r="E296" s="31"/>
      <c r="F296" s="22"/>
      <c r="G296" s="22"/>
    </row>
    <row r="297" spans="1:7" x14ac:dyDescent="0.3">
      <c r="A297" s="51"/>
      <c r="B297" s="22"/>
      <c r="C297" s="31"/>
      <c r="D297" s="31"/>
      <c r="E297" s="31"/>
      <c r="F297" s="22"/>
      <c r="G297" s="22"/>
    </row>
    <row r="298" spans="1:7" x14ac:dyDescent="0.3">
      <c r="A298" s="51"/>
      <c r="B298" s="22"/>
      <c r="C298" s="31"/>
      <c r="D298" s="31"/>
      <c r="E298" s="31"/>
      <c r="F298" s="22"/>
      <c r="G298" s="22"/>
    </row>
    <row r="299" spans="1:7" x14ac:dyDescent="0.3">
      <c r="A299" s="51"/>
      <c r="B299" s="22"/>
      <c r="C299" s="31"/>
      <c r="D299" s="31"/>
      <c r="E299" s="31"/>
      <c r="F299" s="22"/>
      <c r="G299" s="22"/>
    </row>
    <row r="300" spans="1:7" x14ac:dyDescent="0.3">
      <c r="A300" s="51"/>
      <c r="B300" s="22"/>
      <c r="C300" s="31"/>
      <c r="D300" s="31"/>
      <c r="E300" s="31"/>
      <c r="F300" s="22"/>
      <c r="G300" s="22"/>
    </row>
    <row r="301" spans="1:7" x14ac:dyDescent="0.3">
      <c r="A301" s="51"/>
      <c r="B301" s="22"/>
      <c r="C301" s="31"/>
      <c r="D301" s="31"/>
      <c r="E301" s="31"/>
      <c r="F301" s="22"/>
      <c r="G301" s="22"/>
    </row>
    <row r="302" spans="1:7" x14ac:dyDescent="0.3">
      <c r="A302" s="51"/>
      <c r="B302" s="22"/>
      <c r="C302" s="31"/>
      <c r="D302" s="31"/>
      <c r="E302" s="31"/>
      <c r="F302" s="22"/>
      <c r="G302" s="22"/>
    </row>
    <row r="303" spans="1:7" x14ac:dyDescent="0.3">
      <c r="A303" s="51"/>
      <c r="B303" s="22"/>
      <c r="C303" s="31"/>
      <c r="D303" s="31"/>
      <c r="E303" s="31"/>
      <c r="F303" s="22"/>
      <c r="G303" s="22"/>
    </row>
    <row r="304" spans="1:7" x14ac:dyDescent="0.3">
      <c r="A304" s="51"/>
      <c r="B304" s="22"/>
      <c r="C304" s="31"/>
      <c r="D304" s="31"/>
      <c r="E304" s="31"/>
      <c r="F304" s="22"/>
      <c r="G304" s="22"/>
    </row>
    <row r="305" spans="1:7" x14ac:dyDescent="0.3">
      <c r="A305" s="51"/>
      <c r="B305" s="22"/>
      <c r="C305" s="31"/>
      <c r="D305" s="31"/>
      <c r="E305" s="31"/>
      <c r="F305" s="22"/>
      <c r="G305" s="22"/>
    </row>
    <row r="306" spans="1:7" x14ac:dyDescent="0.3">
      <c r="A306" s="51"/>
      <c r="B306" s="22"/>
      <c r="C306" s="31"/>
      <c r="D306" s="31"/>
      <c r="E306" s="31"/>
      <c r="F306" s="22"/>
      <c r="G306" s="22"/>
    </row>
    <row r="307" spans="1:7" x14ac:dyDescent="0.3">
      <c r="A307" s="51"/>
      <c r="B307" s="22"/>
      <c r="C307" s="31"/>
      <c r="D307" s="31"/>
      <c r="E307" s="31"/>
      <c r="F307" s="22"/>
      <c r="G307" s="22"/>
    </row>
    <row r="308" spans="1:7" x14ac:dyDescent="0.3">
      <c r="A308" s="51"/>
      <c r="B308" s="22"/>
      <c r="C308" s="31"/>
      <c r="D308" s="31"/>
      <c r="E308" s="31"/>
      <c r="F308" s="22"/>
      <c r="G308" s="22"/>
    </row>
    <row r="309" spans="1:7" x14ac:dyDescent="0.3">
      <c r="A309" s="51"/>
      <c r="B309" s="22"/>
      <c r="C309" s="31"/>
      <c r="D309" s="31"/>
      <c r="E309" s="31"/>
      <c r="F309" s="22"/>
      <c r="G309" s="22"/>
    </row>
    <row r="310" spans="1:7" x14ac:dyDescent="0.3">
      <c r="A310" s="51"/>
      <c r="B310" s="22"/>
      <c r="C310" s="31"/>
      <c r="D310" s="31"/>
      <c r="E310" s="31"/>
      <c r="F310" s="22"/>
      <c r="G310" s="22"/>
    </row>
    <row r="311" spans="1:7" x14ac:dyDescent="0.3">
      <c r="A311" s="51"/>
      <c r="B311" s="22"/>
      <c r="C311" s="31"/>
      <c r="D311" s="31"/>
      <c r="E311" s="31"/>
      <c r="F311" s="22"/>
      <c r="G311" s="22"/>
    </row>
    <row r="312" spans="1:7" x14ac:dyDescent="0.3">
      <c r="A312" s="51"/>
      <c r="B312" s="22"/>
      <c r="C312" s="31"/>
      <c r="D312" s="31"/>
      <c r="E312" s="31"/>
      <c r="F312" s="22"/>
      <c r="G312" s="22"/>
    </row>
    <row r="313" spans="1:7" x14ac:dyDescent="0.3">
      <c r="A313" s="51"/>
      <c r="B313" s="22"/>
      <c r="C313" s="31"/>
      <c r="D313" s="31"/>
      <c r="E313" s="31"/>
      <c r="F313" s="22"/>
      <c r="G313" s="22"/>
    </row>
    <row r="314" spans="1:7" x14ac:dyDescent="0.3">
      <c r="A314" s="51"/>
      <c r="B314" s="22"/>
      <c r="C314" s="31"/>
      <c r="D314" s="31"/>
      <c r="E314" s="31"/>
      <c r="F314" s="22"/>
      <c r="G314" s="22"/>
    </row>
    <row r="315" spans="1:7" x14ac:dyDescent="0.3">
      <c r="A315" s="51"/>
      <c r="B315" s="22"/>
      <c r="C315" s="31"/>
      <c r="D315" s="31"/>
      <c r="E315" s="31"/>
      <c r="F315" s="22"/>
      <c r="G315" s="22"/>
    </row>
    <row r="316" spans="1:7" x14ac:dyDescent="0.3">
      <c r="A316" s="51"/>
      <c r="B316" s="22"/>
      <c r="C316" s="31"/>
      <c r="D316" s="31"/>
      <c r="E316" s="31"/>
      <c r="F316" s="22"/>
      <c r="G316" s="22"/>
    </row>
    <row r="317" spans="1:7" x14ac:dyDescent="0.3">
      <c r="A317" s="51"/>
      <c r="B317" s="22"/>
      <c r="C317" s="31"/>
      <c r="D317" s="31"/>
      <c r="E317" s="31"/>
      <c r="F317" s="22"/>
      <c r="G317" s="22"/>
    </row>
    <row r="318" spans="1:7" x14ac:dyDescent="0.3">
      <c r="A318" s="51"/>
      <c r="B318" s="22"/>
      <c r="C318" s="31"/>
      <c r="D318" s="31"/>
      <c r="E318" s="31"/>
      <c r="F318" s="22"/>
      <c r="G318" s="22"/>
    </row>
    <row r="319" spans="1:7" x14ac:dyDescent="0.3">
      <c r="A319" s="51"/>
      <c r="B319" s="22"/>
      <c r="C319" s="31"/>
      <c r="D319" s="31"/>
      <c r="E319" s="31"/>
      <c r="F319" s="22"/>
      <c r="G319" s="22"/>
    </row>
    <row r="320" spans="1:7" x14ac:dyDescent="0.3">
      <c r="A320" s="51"/>
      <c r="B320" s="22"/>
      <c r="C320" s="31"/>
      <c r="D320" s="31"/>
      <c r="E320" s="31"/>
      <c r="F320" s="22"/>
      <c r="G320" s="22"/>
    </row>
    <row r="321" spans="1:7" x14ac:dyDescent="0.3">
      <c r="A321" s="51"/>
      <c r="B321" s="22"/>
      <c r="C321" s="31"/>
      <c r="D321" s="31"/>
      <c r="E321" s="31"/>
      <c r="F321" s="22"/>
      <c r="G321" s="22"/>
    </row>
    <row r="322" spans="1:7" x14ac:dyDescent="0.3">
      <c r="A322" s="51"/>
      <c r="B322" s="22"/>
      <c r="C322" s="31"/>
      <c r="D322" s="31"/>
      <c r="E322" s="31"/>
      <c r="F322" s="22"/>
      <c r="G322" s="22"/>
    </row>
    <row r="323" spans="1:7" x14ac:dyDescent="0.3">
      <c r="A323" s="51"/>
      <c r="B323" s="22"/>
      <c r="C323" s="31"/>
      <c r="D323" s="31"/>
      <c r="E323" s="31"/>
      <c r="F323" s="22"/>
      <c r="G323" s="22"/>
    </row>
    <row r="324" spans="1:7" x14ac:dyDescent="0.3">
      <c r="A324" s="51"/>
      <c r="B324" s="22"/>
      <c r="C324" s="31"/>
      <c r="D324" s="31"/>
      <c r="E324" s="31"/>
      <c r="F324" s="22"/>
      <c r="G324" s="22"/>
    </row>
    <row r="325" spans="1:7" x14ac:dyDescent="0.3">
      <c r="A325" s="51"/>
      <c r="B325" s="22"/>
      <c r="C325" s="31"/>
      <c r="D325" s="31"/>
      <c r="E325" s="31"/>
      <c r="F325" s="22"/>
      <c r="G325" s="22"/>
    </row>
    <row r="326" spans="1:7" x14ac:dyDescent="0.3">
      <c r="A326" s="51"/>
      <c r="B326" s="22"/>
      <c r="C326" s="31"/>
      <c r="D326" s="31"/>
      <c r="E326" s="31"/>
      <c r="F326" s="22"/>
      <c r="G326" s="22"/>
    </row>
    <row r="327" spans="1:7" x14ac:dyDescent="0.3">
      <c r="A327" s="51"/>
      <c r="B327" s="22"/>
      <c r="C327" s="31"/>
      <c r="D327" s="31"/>
      <c r="E327" s="31"/>
      <c r="F327" s="22"/>
      <c r="G327" s="22"/>
    </row>
    <row r="328" spans="1:7" x14ac:dyDescent="0.3">
      <c r="A328" s="51"/>
      <c r="B328" s="22"/>
      <c r="C328" s="31"/>
      <c r="D328" s="31"/>
      <c r="E328" s="31"/>
      <c r="F328" s="22"/>
      <c r="G328" s="22"/>
    </row>
    <row r="329" spans="1:7" x14ac:dyDescent="0.3">
      <c r="A329" s="51"/>
      <c r="B329" s="22"/>
      <c r="C329" s="31"/>
      <c r="D329" s="31"/>
      <c r="E329" s="31"/>
      <c r="F329" s="22"/>
      <c r="G329" s="22"/>
    </row>
    <row r="330" spans="1:7" x14ac:dyDescent="0.3">
      <c r="A330" s="51"/>
      <c r="B330" s="22"/>
      <c r="C330" s="31"/>
      <c r="D330" s="31"/>
      <c r="E330" s="31"/>
      <c r="F330" s="22"/>
      <c r="G330" s="22"/>
    </row>
    <row r="331" spans="1:7" x14ac:dyDescent="0.3">
      <c r="A331" s="51"/>
      <c r="B331" s="22"/>
      <c r="C331" s="31"/>
      <c r="D331" s="31"/>
      <c r="E331" s="31"/>
      <c r="F331" s="22"/>
      <c r="G331" s="22"/>
    </row>
    <row r="332" spans="1:7" x14ac:dyDescent="0.3">
      <c r="A332" s="51"/>
      <c r="B332" s="22"/>
      <c r="C332" s="31"/>
      <c r="D332" s="31"/>
      <c r="E332" s="31"/>
      <c r="F332" s="22"/>
      <c r="G332" s="22"/>
    </row>
    <row r="333" spans="1:7" x14ac:dyDescent="0.3">
      <c r="A333" s="51"/>
      <c r="B333" s="22"/>
      <c r="C333" s="31"/>
      <c r="D333" s="31"/>
      <c r="E333" s="31"/>
      <c r="F333" s="22"/>
      <c r="G333" s="22"/>
    </row>
    <row r="334" spans="1:7" x14ac:dyDescent="0.3">
      <c r="A334" s="51"/>
      <c r="B334" s="22"/>
      <c r="C334" s="31"/>
      <c r="D334" s="31"/>
      <c r="E334" s="31"/>
      <c r="F334" s="22"/>
      <c r="G334" s="22"/>
    </row>
    <row r="335" spans="1:7" x14ac:dyDescent="0.3">
      <c r="A335" s="51"/>
      <c r="B335" s="22"/>
      <c r="C335" s="31"/>
      <c r="D335" s="31"/>
      <c r="E335" s="31"/>
      <c r="F335" s="22"/>
      <c r="G335" s="22"/>
    </row>
    <row r="336" spans="1:7" x14ac:dyDescent="0.3">
      <c r="A336" s="51"/>
      <c r="B336" s="22"/>
      <c r="C336" s="31"/>
      <c r="D336" s="31"/>
      <c r="E336" s="31"/>
      <c r="F336" s="22"/>
      <c r="G336" s="22"/>
    </row>
    <row r="337" spans="1:7" x14ac:dyDescent="0.3">
      <c r="A337" s="51"/>
      <c r="B337" s="22"/>
      <c r="C337" s="31"/>
      <c r="D337" s="31"/>
      <c r="E337" s="31"/>
      <c r="F337" s="22"/>
      <c r="G337" s="22"/>
    </row>
    <row r="338" spans="1:7" x14ac:dyDescent="0.3">
      <c r="A338" s="51"/>
      <c r="B338" s="22"/>
      <c r="C338" s="31"/>
      <c r="D338" s="31"/>
      <c r="E338" s="31"/>
      <c r="F338" s="22"/>
      <c r="G338" s="22"/>
    </row>
    <row r="339" spans="1:7" x14ac:dyDescent="0.3">
      <c r="A339" s="51"/>
      <c r="B339" s="22"/>
      <c r="C339" s="31"/>
      <c r="D339" s="31"/>
      <c r="E339" s="31"/>
      <c r="F339" s="22"/>
      <c r="G339" s="22"/>
    </row>
    <row r="340" spans="1:7" x14ac:dyDescent="0.3">
      <c r="A340" s="51"/>
      <c r="B340" s="22"/>
      <c r="C340" s="31"/>
      <c r="D340" s="31"/>
      <c r="E340" s="31"/>
      <c r="F340" s="22"/>
      <c r="G340" s="22"/>
    </row>
    <row r="341" spans="1:7" x14ac:dyDescent="0.3">
      <c r="A341" s="51"/>
      <c r="B341" s="22"/>
      <c r="C341" s="31"/>
      <c r="D341" s="31"/>
      <c r="E341" s="31"/>
      <c r="F341" s="22"/>
      <c r="G341" s="22"/>
    </row>
    <row r="342" spans="1:7" x14ac:dyDescent="0.3">
      <c r="A342" s="51"/>
      <c r="B342" s="22"/>
      <c r="C342" s="31"/>
      <c r="D342" s="31"/>
      <c r="E342" s="31"/>
      <c r="F342" s="22"/>
      <c r="G342" s="22"/>
    </row>
    <row r="343" spans="1:7" x14ac:dyDescent="0.3">
      <c r="A343" s="51"/>
      <c r="B343" s="22"/>
      <c r="C343" s="31"/>
      <c r="D343" s="31"/>
      <c r="E343" s="31"/>
      <c r="F343" s="22"/>
      <c r="G343" s="22"/>
    </row>
    <row r="344" spans="1:7" x14ac:dyDescent="0.3">
      <c r="A344" s="51"/>
      <c r="B344" s="22"/>
      <c r="C344" s="31"/>
      <c r="D344" s="31"/>
      <c r="E344" s="31"/>
      <c r="F344" s="22"/>
      <c r="G344" s="22"/>
    </row>
    <row r="345" spans="1:7" x14ac:dyDescent="0.3">
      <c r="A345" s="51"/>
      <c r="B345" s="22"/>
      <c r="C345" s="31"/>
      <c r="D345" s="31"/>
      <c r="E345" s="31"/>
      <c r="F345" s="22"/>
      <c r="G345" s="22"/>
    </row>
    <row r="346" spans="1:7" x14ac:dyDescent="0.3">
      <c r="A346" s="51"/>
      <c r="B346" s="22"/>
      <c r="C346" s="31"/>
      <c r="D346" s="31"/>
      <c r="E346" s="31"/>
      <c r="F346" s="22"/>
      <c r="G346" s="22"/>
    </row>
    <row r="347" spans="1:7" x14ac:dyDescent="0.3">
      <c r="A347" s="51"/>
      <c r="B347" s="22"/>
      <c r="C347" s="31"/>
      <c r="D347" s="31"/>
      <c r="E347" s="31"/>
      <c r="F347" s="22"/>
      <c r="G347" s="22"/>
    </row>
    <row r="348" spans="1:7" x14ac:dyDescent="0.3">
      <c r="A348" s="51"/>
      <c r="B348" s="22"/>
      <c r="C348" s="31"/>
      <c r="D348" s="31"/>
      <c r="E348" s="31"/>
      <c r="F348" s="22"/>
      <c r="G348" s="22"/>
    </row>
    <row r="349" spans="1:7" x14ac:dyDescent="0.3">
      <c r="A349" s="51"/>
      <c r="B349" s="22"/>
      <c r="C349" s="31"/>
      <c r="D349" s="31"/>
      <c r="E349" s="31"/>
      <c r="F349" s="22"/>
      <c r="G349" s="22"/>
    </row>
    <row r="350" spans="1:7" x14ac:dyDescent="0.3">
      <c r="A350" s="51"/>
      <c r="B350" s="22"/>
      <c r="C350" s="31"/>
      <c r="D350" s="31"/>
      <c r="E350" s="31"/>
      <c r="F350" s="22"/>
      <c r="G350" s="22"/>
    </row>
    <row r="351" spans="1:7" x14ac:dyDescent="0.3">
      <c r="A351" s="51"/>
      <c r="B351" s="22"/>
      <c r="C351" s="31"/>
      <c r="D351" s="31"/>
      <c r="E351" s="31"/>
      <c r="F351" s="22"/>
      <c r="G351" s="22"/>
    </row>
    <row r="352" spans="1:7" x14ac:dyDescent="0.3">
      <c r="A352" s="51"/>
      <c r="B352" s="22"/>
      <c r="C352" s="31"/>
      <c r="D352" s="31"/>
      <c r="E352" s="31"/>
      <c r="F352" s="22"/>
      <c r="G352" s="22"/>
    </row>
    <row r="353" spans="1:7" x14ac:dyDescent="0.3">
      <c r="A353" s="51"/>
      <c r="B353" s="22"/>
      <c r="C353" s="31"/>
      <c r="D353" s="31"/>
      <c r="E353" s="31"/>
      <c r="F353" s="22"/>
      <c r="G353" s="22"/>
    </row>
    <row r="354" spans="1:7" x14ac:dyDescent="0.3">
      <c r="A354" s="51"/>
      <c r="B354" s="22"/>
      <c r="C354" s="31"/>
      <c r="D354" s="31"/>
      <c r="E354" s="31"/>
      <c r="F354" s="22"/>
      <c r="G354" s="22"/>
    </row>
    <row r="355" spans="1:7" x14ac:dyDescent="0.3">
      <c r="A355" s="51"/>
      <c r="B355" s="22"/>
      <c r="C355" s="31"/>
      <c r="D355" s="31"/>
      <c r="E355" s="31"/>
      <c r="F355" s="22"/>
      <c r="G355" s="22"/>
    </row>
    <row r="356" spans="1:7" x14ac:dyDescent="0.3">
      <c r="A356" s="51"/>
      <c r="B356" s="22"/>
      <c r="C356" s="31"/>
      <c r="D356" s="31"/>
      <c r="E356" s="31"/>
      <c r="F356" s="22"/>
      <c r="G356" s="22"/>
    </row>
    <row r="357" spans="1:7" x14ac:dyDescent="0.3">
      <c r="A357" s="51"/>
      <c r="B357" s="22"/>
      <c r="C357" s="31"/>
      <c r="D357" s="31"/>
      <c r="E357" s="31"/>
      <c r="F357" s="22"/>
      <c r="G357" s="22"/>
    </row>
    <row r="358" spans="1:7" x14ac:dyDescent="0.3">
      <c r="A358" s="51"/>
      <c r="B358" s="22"/>
      <c r="C358" s="31"/>
      <c r="D358" s="31"/>
      <c r="E358" s="31"/>
      <c r="F358" s="22"/>
      <c r="G358" s="22"/>
    </row>
    <row r="359" spans="1:7" x14ac:dyDescent="0.3">
      <c r="A359" s="51"/>
      <c r="B359" s="22"/>
      <c r="C359" s="31"/>
      <c r="D359" s="31"/>
      <c r="E359" s="31"/>
      <c r="F359" s="22"/>
      <c r="G359" s="22"/>
    </row>
    <row r="360" spans="1:7" x14ac:dyDescent="0.3">
      <c r="A360" s="51"/>
      <c r="B360" s="22"/>
      <c r="C360" s="31"/>
      <c r="D360" s="31"/>
      <c r="E360" s="31"/>
      <c r="F360" s="22"/>
      <c r="G360" s="22"/>
    </row>
    <row r="361" spans="1:7" x14ac:dyDescent="0.3">
      <c r="A361" s="51"/>
      <c r="B361" s="22"/>
      <c r="C361" s="31"/>
      <c r="D361" s="31"/>
      <c r="E361" s="31"/>
      <c r="F361" s="22"/>
      <c r="G361" s="22"/>
    </row>
    <row r="362" spans="1:7" x14ac:dyDescent="0.3">
      <c r="A362" s="51"/>
      <c r="B362" s="22"/>
      <c r="C362" s="31"/>
      <c r="D362" s="31"/>
      <c r="E362" s="31"/>
      <c r="F362" s="22"/>
      <c r="G362" s="22"/>
    </row>
    <row r="363" spans="1:7" x14ac:dyDescent="0.3">
      <c r="A363" s="51"/>
      <c r="B363" s="22"/>
      <c r="C363" s="31"/>
      <c r="D363" s="31"/>
      <c r="E363" s="31"/>
      <c r="F363" s="22"/>
      <c r="G363" s="22"/>
    </row>
    <row r="364" spans="1:7" x14ac:dyDescent="0.3">
      <c r="A364" s="51"/>
      <c r="B364" s="22"/>
      <c r="C364" s="31"/>
      <c r="D364" s="31"/>
      <c r="E364" s="31"/>
      <c r="F364" s="22"/>
      <c r="G364" s="22"/>
    </row>
    <row r="365" spans="1:7" x14ac:dyDescent="0.3">
      <c r="A365" s="51"/>
      <c r="B365" s="22"/>
      <c r="C365" s="31"/>
      <c r="D365" s="31"/>
      <c r="E365" s="31"/>
      <c r="F365" s="22"/>
      <c r="G365" s="22"/>
    </row>
    <row r="366" spans="1:7" x14ac:dyDescent="0.3">
      <c r="A366" s="51"/>
      <c r="B366" s="22"/>
      <c r="C366" s="31"/>
      <c r="D366" s="31"/>
      <c r="E366" s="31"/>
      <c r="F366" s="22"/>
      <c r="G366" s="22"/>
    </row>
    <row r="367" spans="1:7" x14ac:dyDescent="0.3">
      <c r="A367" s="51"/>
      <c r="B367" s="22"/>
      <c r="C367" s="31"/>
      <c r="D367" s="31"/>
      <c r="E367" s="31"/>
      <c r="F367" s="22"/>
      <c r="G367" s="22"/>
    </row>
    <row r="368" spans="1:7" x14ac:dyDescent="0.3">
      <c r="A368" s="51"/>
      <c r="B368" s="22"/>
      <c r="C368" s="31"/>
      <c r="D368" s="31"/>
      <c r="E368" s="31"/>
      <c r="F368" s="22"/>
      <c r="G368" s="22"/>
    </row>
    <row r="369" spans="1:7" x14ac:dyDescent="0.3">
      <c r="A369" s="51"/>
      <c r="B369" s="22"/>
      <c r="C369" s="31"/>
      <c r="D369" s="31"/>
      <c r="E369" s="31"/>
      <c r="F369" s="22"/>
      <c r="G369" s="22"/>
    </row>
    <row r="370" spans="1:7" x14ac:dyDescent="0.3">
      <c r="A370" s="51"/>
      <c r="B370" s="22"/>
      <c r="C370" s="31"/>
      <c r="D370" s="31"/>
      <c r="E370" s="31"/>
      <c r="F370" s="22"/>
      <c r="G370" s="22"/>
    </row>
    <row r="371" spans="1:7" x14ac:dyDescent="0.3">
      <c r="A371" s="51"/>
      <c r="B371" s="22"/>
      <c r="C371" s="31"/>
      <c r="D371" s="31"/>
      <c r="E371" s="31"/>
      <c r="F371" s="22"/>
      <c r="G371" s="22"/>
    </row>
    <row r="372" spans="1:7" x14ac:dyDescent="0.3">
      <c r="A372" s="51"/>
      <c r="B372" s="22"/>
      <c r="C372" s="31"/>
      <c r="D372" s="31"/>
      <c r="E372" s="31"/>
      <c r="F372" s="22"/>
      <c r="G372" s="22"/>
    </row>
    <row r="373" spans="1:7" x14ac:dyDescent="0.3">
      <c r="A373" s="51"/>
      <c r="B373" s="22"/>
      <c r="C373" s="31"/>
      <c r="D373" s="31"/>
      <c r="E373" s="31"/>
      <c r="F373" s="22"/>
      <c r="G373" s="22"/>
    </row>
    <row r="374" spans="1:7" x14ac:dyDescent="0.3">
      <c r="A374" s="51"/>
      <c r="B374" s="22"/>
      <c r="C374" s="31"/>
      <c r="D374" s="31"/>
      <c r="E374" s="31"/>
      <c r="F374" s="22"/>
      <c r="G374" s="22"/>
    </row>
    <row r="375" spans="1:7" x14ac:dyDescent="0.3">
      <c r="A375" s="51"/>
      <c r="B375" s="22"/>
      <c r="C375" s="31"/>
      <c r="D375" s="31"/>
      <c r="E375" s="31"/>
      <c r="F375" s="22"/>
      <c r="G375" s="22"/>
    </row>
    <row r="376" spans="1:7" x14ac:dyDescent="0.3">
      <c r="A376" s="51"/>
      <c r="B376" s="22"/>
      <c r="C376" s="31"/>
      <c r="D376" s="31"/>
      <c r="E376" s="31"/>
      <c r="F376" s="22"/>
      <c r="G376" s="22"/>
    </row>
    <row r="377" spans="1:7" x14ac:dyDescent="0.3">
      <c r="A377" s="51"/>
      <c r="B377" s="22"/>
      <c r="C377" s="31"/>
      <c r="D377" s="31"/>
      <c r="E377" s="31"/>
      <c r="F377" s="22"/>
      <c r="G377" s="22"/>
    </row>
    <row r="378" spans="1:7" x14ac:dyDescent="0.3">
      <c r="A378" s="51"/>
      <c r="B378" s="22"/>
      <c r="C378" s="31"/>
      <c r="D378" s="31"/>
      <c r="E378" s="31"/>
      <c r="F378" s="22"/>
      <c r="G378" s="22"/>
    </row>
    <row r="379" spans="1:7" x14ac:dyDescent="0.3">
      <c r="A379" s="51"/>
      <c r="B379" s="22"/>
      <c r="C379" s="31"/>
      <c r="D379" s="31"/>
      <c r="E379" s="31"/>
      <c r="F379" s="22"/>
      <c r="G379" s="22"/>
    </row>
    <row r="380" spans="1:7" x14ac:dyDescent="0.3">
      <c r="A380" s="51"/>
      <c r="B380" s="22"/>
      <c r="C380" s="31"/>
      <c r="D380" s="31"/>
      <c r="E380" s="31"/>
      <c r="F380" s="22"/>
      <c r="G380" s="22"/>
    </row>
    <row r="381" spans="1:7" x14ac:dyDescent="0.3">
      <c r="A381" s="51"/>
      <c r="B381" s="22"/>
      <c r="C381" s="31"/>
      <c r="D381" s="31"/>
      <c r="E381" s="31"/>
      <c r="F381" s="22"/>
      <c r="G381" s="22"/>
    </row>
    <row r="382" spans="1:7" x14ac:dyDescent="0.3">
      <c r="A382" s="51"/>
      <c r="B382" s="22"/>
      <c r="C382" s="31"/>
      <c r="D382" s="31"/>
      <c r="E382" s="31"/>
      <c r="F382" s="22"/>
      <c r="G382" s="22"/>
    </row>
    <row r="383" spans="1:7" x14ac:dyDescent="0.3">
      <c r="A383" s="51"/>
      <c r="B383" s="22"/>
      <c r="C383" s="31"/>
      <c r="D383" s="31"/>
      <c r="E383" s="31"/>
      <c r="F383" s="22"/>
      <c r="G383" s="22"/>
    </row>
    <row r="384" spans="1:7" x14ac:dyDescent="0.3">
      <c r="A384" s="51"/>
      <c r="B384" s="22"/>
      <c r="C384" s="31"/>
      <c r="D384" s="31"/>
      <c r="E384" s="31"/>
      <c r="F384" s="22"/>
      <c r="G384" s="22"/>
    </row>
    <row r="385" spans="1:7" x14ac:dyDescent="0.3">
      <c r="A385" s="51"/>
      <c r="B385" s="22"/>
      <c r="C385" s="31"/>
      <c r="D385" s="31"/>
      <c r="E385" s="31"/>
      <c r="F385" s="22"/>
      <c r="G385" s="22"/>
    </row>
    <row r="386" spans="1:7" x14ac:dyDescent="0.3">
      <c r="A386" s="51"/>
      <c r="B386" s="22"/>
      <c r="C386" s="31"/>
      <c r="D386" s="31"/>
      <c r="E386" s="31"/>
      <c r="F386" s="22"/>
      <c r="G386" s="22"/>
    </row>
    <row r="387" spans="1:7" x14ac:dyDescent="0.3">
      <c r="A387" s="51"/>
      <c r="B387" s="22"/>
      <c r="C387" s="31"/>
      <c r="D387" s="31"/>
      <c r="E387" s="31"/>
      <c r="F387" s="22"/>
      <c r="G387" s="22"/>
    </row>
    <row r="388" spans="1:7" x14ac:dyDescent="0.3">
      <c r="A388" s="51"/>
      <c r="B388" s="22"/>
      <c r="C388" s="31"/>
      <c r="D388" s="31"/>
      <c r="E388" s="31"/>
      <c r="F388" s="22"/>
      <c r="G388" s="22"/>
    </row>
    <row r="389" spans="1:7" x14ac:dyDescent="0.3">
      <c r="A389" s="51"/>
      <c r="B389" s="22"/>
      <c r="C389" s="31"/>
      <c r="D389" s="31"/>
      <c r="E389" s="31"/>
      <c r="F389" s="22"/>
      <c r="G389" s="22"/>
    </row>
    <row r="390" spans="1:7" x14ac:dyDescent="0.3">
      <c r="A390" s="51"/>
      <c r="B390" s="22"/>
      <c r="C390" s="31"/>
      <c r="D390" s="31"/>
      <c r="E390" s="31"/>
      <c r="F390" s="22"/>
      <c r="G390" s="22"/>
    </row>
    <row r="391" spans="1:7" x14ac:dyDescent="0.3">
      <c r="A391" s="51"/>
      <c r="B391" s="22"/>
      <c r="C391" s="31"/>
      <c r="D391" s="31"/>
      <c r="E391" s="31"/>
      <c r="F391" s="22"/>
      <c r="G391" s="22"/>
    </row>
    <row r="392" spans="1:7" x14ac:dyDescent="0.3">
      <c r="A392" s="51"/>
      <c r="B392" s="22"/>
      <c r="C392" s="31"/>
      <c r="D392" s="31"/>
      <c r="E392" s="31"/>
      <c r="F392" s="22"/>
      <c r="G392" s="22"/>
    </row>
    <row r="393" spans="1:7" x14ac:dyDescent="0.3">
      <c r="A393" s="51"/>
      <c r="B393" s="22"/>
      <c r="C393" s="31"/>
      <c r="D393" s="31"/>
      <c r="E393" s="31"/>
      <c r="F393" s="22"/>
      <c r="G393" s="22"/>
    </row>
    <row r="394" spans="1:7" x14ac:dyDescent="0.3">
      <c r="A394" s="51"/>
      <c r="B394" s="22"/>
      <c r="C394" s="31"/>
      <c r="D394" s="31"/>
      <c r="E394" s="31"/>
      <c r="F394" s="22"/>
      <c r="G394" s="22"/>
    </row>
    <row r="395" spans="1:7" x14ac:dyDescent="0.3">
      <c r="A395" s="51"/>
      <c r="B395" s="22"/>
      <c r="C395" s="31"/>
      <c r="D395" s="31"/>
      <c r="E395" s="31"/>
      <c r="F395" s="22"/>
      <c r="G395" s="22"/>
    </row>
    <row r="396" spans="1:7" x14ac:dyDescent="0.3">
      <c r="A396" s="51"/>
      <c r="B396" s="22"/>
      <c r="C396" s="31"/>
      <c r="D396" s="31"/>
      <c r="E396" s="31"/>
      <c r="F396" s="22"/>
      <c r="G396" s="22"/>
    </row>
    <row r="397" spans="1:7" x14ac:dyDescent="0.3">
      <c r="A397" s="51"/>
      <c r="B397" s="22"/>
      <c r="C397" s="31"/>
      <c r="D397" s="31"/>
      <c r="E397" s="31"/>
      <c r="F397" s="22"/>
      <c r="G397" s="22"/>
    </row>
    <row r="398" spans="1:7" x14ac:dyDescent="0.3">
      <c r="A398" s="51"/>
      <c r="B398" s="22"/>
      <c r="C398" s="31"/>
      <c r="D398" s="31"/>
      <c r="E398" s="31"/>
      <c r="F398" s="22"/>
      <c r="G398" s="22"/>
    </row>
    <row r="399" spans="1:7" x14ac:dyDescent="0.3">
      <c r="A399" s="51"/>
      <c r="B399" s="22"/>
      <c r="C399" s="31"/>
      <c r="D399" s="31"/>
      <c r="E399" s="31"/>
      <c r="F399" s="22"/>
      <c r="G399" s="22"/>
    </row>
    <row r="400" spans="1:7" x14ac:dyDescent="0.3">
      <c r="A400" s="51"/>
      <c r="B400" s="22"/>
      <c r="C400" s="31"/>
      <c r="D400" s="31"/>
      <c r="E400" s="31"/>
      <c r="F400" s="22"/>
      <c r="G400" s="22"/>
    </row>
    <row r="401" spans="1:7" x14ac:dyDescent="0.3">
      <c r="A401" s="51"/>
      <c r="B401" s="22"/>
      <c r="C401" s="31"/>
      <c r="D401" s="31"/>
      <c r="E401" s="31"/>
      <c r="F401" s="22"/>
      <c r="G401" s="22"/>
    </row>
    <row r="402" spans="1:7" x14ac:dyDescent="0.3">
      <c r="A402" s="51"/>
      <c r="B402" s="22"/>
      <c r="C402" s="31"/>
      <c r="D402" s="31"/>
      <c r="E402" s="31"/>
      <c r="F402" s="22"/>
      <c r="G402" s="22"/>
    </row>
    <row r="403" spans="1:7" x14ac:dyDescent="0.3">
      <c r="A403" s="51"/>
      <c r="B403" s="22"/>
      <c r="C403" s="31"/>
      <c r="D403" s="31"/>
      <c r="E403" s="31"/>
      <c r="F403" s="22"/>
      <c r="G403" s="22"/>
    </row>
    <row r="404" spans="1:7" x14ac:dyDescent="0.3">
      <c r="A404" s="51"/>
      <c r="B404" s="22"/>
      <c r="C404" s="31"/>
      <c r="D404" s="31"/>
      <c r="E404" s="31"/>
      <c r="F404" s="22"/>
      <c r="G404" s="22"/>
    </row>
    <row r="405" spans="1:7" x14ac:dyDescent="0.3">
      <c r="A405" s="51"/>
      <c r="B405" s="22"/>
      <c r="C405" s="31"/>
      <c r="D405" s="31"/>
      <c r="E405" s="31"/>
      <c r="F405" s="22"/>
      <c r="G405" s="22"/>
    </row>
    <row r="406" spans="1:7" x14ac:dyDescent="0.3">
      <c r="A406" s="51"/>
      <c r="B406" s="22"/>
      <c r="C406" s="31"/>
      <c r="D406" s="31"/>
      <c r="E406" s="31"/>
      <c r="F406" s="22"/>
      <c r="G406" s="22"/>
    </row>
    <row r="407" spans="1:7" x14ac:dyDescent="0.3">
      <c r="A407" s="51"/>
      <c r="B407" s="22"/>
      <c r="C407" s="31"/>
      <c r="D407" s="31"/>
      <c r="E407" s="31"/>
      <c r="F407" s="22"/>
      <c r="G407" s="22"/>
    </row>
    <row r="408" spans="1:7" x14ac:dyDescent="0.3">
      <c r="A408" s="51"/>
      <c r="B408" s="22"/>
      <c r="C408" s="31"/>
      <c r="D408" s="31"/>
      <c r="E408" s="31"/>
      <c r="F408" s="22"/>
      <c r="G408" s="22"/>
    </row>
    <row r="409" spans="1:7" x14ac:dyDescent="0.3">
      <c r="A409" s="51"/>
      <c r="B409" s="22"/>
      <c r="C409" s="31"/>
      <c r="D409" s="31"/>
      <c r="E409" s="31"/>
      <c r="F409" s="22"/>
      <c r="G409" s="22"/>
    </row>
    <row r="410" spans="1:7" x14ac:dyDescent="0.3">
      <c r="A410" s="51"/>
      <c r="B410" s="22"/>
      <c r="C410" s="31"/>
      <c r="D410" s="31"/>
      <c r="E410" s="31"/>
      <c r="F410" s="22"/>
      <c r="G410" s="22"/>
    </row>
    <row r="411" spans="1:7" x14ac:dyDescent="0.3">
      <c r="A411" s="51"/>
      <c r="B411" s="22"/>
      <c r="C411" s="31"/>
      <c r="D411" s="31"/>
      <c r="E411" s="31"/>
      <c r="F411" s="22"/>
      <c r="G411" s="22"/>
    </row>
    <row r="412" spans="1:7" x14ac:dyDescent="0.3">
      <c r="A412" s="51"/>
      <c r="B412" s="22"/>
      <c r="C412" s="31"/>
      <c r="D412" s="31"/>
      <c r="E412" s="31"/>
      <c r="F412" s="22"/>
      <c r="G412" s="22"/>
    </row>
    <row r="413" spans="1:7" x14ac:dyDescent="0.3">
      <c r="A413" s="51"/>
      <c r="B413" s="22"/>
      <c r="C413" s="31"/>
      <c r="D413" s="31"/>
      <c r="E413" s="31"/>
      <c r="F413" s="22"/>
      <c r="G413" s="22"/>
    </row>
    <row r="414" spans="1:7" x14ac:dyDescent="0.3">
      <c r="A414" s="51"/>
      <c r="B414" s="22"/>
      <c r="C414" s="31"/>
      <c r="D414" s="31"/>
      <c r="E414" s="31"/>
      <c r="F414" s="22"/>
      <c r="G414" s="22"/>
    </row>
    <row r="415" spans="1:7" x14ac:dyDescent="0.3">
      <c r="A415" s="51"/>
      <c r="B415" s="22"/>
      <c r="C415" s="31"/>
      <c r="D415" s="31"/>
      <c r="E415" s="31"/>
      <c r="F415" s="22"/>
      <c r="G415" s="22"/>
    </row>
    <row r="416" spans="1:7" x14ac:dyDescent="0.3">
      <c r="A416" s="51"/>
      <c r="B416" s="22"/>
      <c r="C416" s="31"/>
      <c r="D416" s="31"/>
      <c r="E416" s="31"/>
      <c r="F416" s="22"/>
      <c r="G416" s="22"/>
    </row>
    <row r="417" spans="1:7" x14ac:dyDescent="0.3">
      <c r="A417" s="51"/>
      <c r="B417" s="22"/>
      <c r="C417" s="31"/>
      <c r="D417" s="31"/>
      <c r="E417" s="31"/>
      <c r="F417" s="22"/>
      <c r="G417" s="22"/>
    </row>
    <row r="418" spans="1:7" x14ac:dyDescent="0.3">
      <c r="A418" s="51"/>
      <c r="B418" s="22"/>
      <c r="C418" s="31"/>
      <c r="D418" s="31"/>
      <c r="E418" s="31"/>
      <c r="F418" s="22"/>
      <c r="G418" s="22"/>
    </row>
    <row r="419" spans="1:7" x14ac:dyDescent="0.3">
      <c r="A419" s="51"/>
      <c r="B419" s="22"/>
      <c r="C419" s="31"/>
      <c r="D419" s="31"/>
      <c r="E419" s="31"/>
      <c r="F419" s="22"/>
      <c r="G419" s="22"/>
    </row>
    <row r="420" spans="1:7" x14ac:dyDescent="0.3">
      <c r="A420" s="51"/>
      <c r="B420" s="22"/>
      <c r="C420" s="31"/>
      <c r="D420" s="31"/>
      <c r="E420" s="31"/>
      <c r="F420" s="22"/>
      <c r="G420" s="22"/>
    </row>
    <row r="421" spans="1:7" x14ac:dyDescent="0.3">
      <c r="A421" s="51"/>
      <c r="B421" s="22"/>
      <c r="C421" s="31"/>
      <c r="D421" s="31"/>
      <c r="E421" s="31"/>
      <c r="F421" s="22"/>
      <c r="G421" s="22"/>
    </row>
    <row r="422" spans="1:7" x14ac:dyDescent="0.3">
      <c r="A422" s="51"/>
      <c r="B422" s="22"/>
      <c r="C422" s="31"/>
      <c r="D422" s="31"/>
      <c r="E422" s="31"/>
      <c r="F422" s="22"/>
      <c r="G422" s="22"/>
    </row>
    <row r="423" spans="1:7" x14ac:dyDescent="0.3">
      <c r="A423" s="51"/>
      <c r="B423" s="22"/>
      <c r="C423" s="31"/>
      <c r="D423" s="31"/>
      <c r="E423" s="31"/>
      <c r="F423" s="22"/>
      <c r="G423" s="22"/>
    </row>
    <row r="424" spans="1:7" x14ac:dyDescent="0.3">
      <c r="A424" s="51"/>
      <c r="B424" s="22"/>
      <c r="C424" s="31"/>
      <c r="D424" s="31"/>
      <c r="E424" s="31"/>
      <c r="F424" s="22"/>
      <c r="G424" s="22"/>
    </row>
    <row r="425" spans="1:7" x14ac:dyDescent="0.3">
      <c r="A425" s="51"/>
      <c r="B425" s="22"/>
      <c r="C425" s="31"/>
      <c r="D425" s="31"/>
      <c r="E425" s="31"/>
      <c r="F425" s="22"/>
      <c r="G425" s="22"/>
    </row>
    <row r="426" spans="1:7" x14ac:dyDescent="0.3">
      <c r="A426" s="51"/>
      <c r="B426" s="22"/>
      <c r="C426" s="31"/>
      <c r="D426" s="31"/>
      <c r="E426" s="31"/>
      <c r="F426" s="22"/>
      <c r="G426" s="22"/>
    </row>
    <row r="427" spans="1:7" x14ac:dyDescent="0.3">
      <c r="A427" s="51"/>
      <c r="B427" s="22"/>
      <c r="C427" s="31"/>
      <c r="D427" s="31"/>
      <c r="E427" s="31"/>
      <c r="F427" s="22"/>
      <c r="G427" s="22"/>
    </row>
    <row r="428" spans="1:7" x14ac:dyDescent="0.3">
      <c r="A428" s="51"/>
      <c r="B428" s="22"/>
      <c r="C428" s="31"/>
      <c r="D428" s="31"/>
      <c r="E428" s="31"/>
      <c r="F428" s="22"/>
      <c r="G428" s="22"/>
    </row>
    <row r="429" spans="1:7" x14ac:dyDescent="0.3">
      <c r="A429" s="51"/>
      <c r="B429" s="22"/>
      <c r="C429" s="31"/>
      <c r="D429" s="31"/>
      <c r="E429" s="31"/>
      <c r="F429" s="22"/>
      <c r="G429" s="22"/>
    </row>
    <row r="430" spans="1:7" x14ac:dyDescent="0.3">
      <c r="A430" s="51"/>
      <c r="B430" s="22"/>
      <c r="C430" s="31"/>
      <c r="D430" s="31"/>
      <c r="E430" s="31"/>
      <c r="F430" s="22"/>
      <c r="G430" s="22"/>
    </row>
    <row r="431" spans="1:7" x14ac:dyDescent="0.3">
      <c r="A431" s="51"/>
      <c r="B431" s="22"/>
      <c r="C431" s="31"/>
      <c r="D431" s="31"/>
      <c r="E431" s="31"/>
      <c r="F431" s="22"/>
      <c r="G431" s="22"/>
    </row>
    <row r="432" spans="1:7" x14ac:dyDescent="0.3">
      <c r="A432" s="51"/>
      <c r="B432" s="22"/>
      <c r="C432" s="31"/>
      <c r="D432" s="31"/>
      <c r="E432" s="31"/>
      <c r="F432" s="22"/>
      <c r="G432" s="22"/>
    </row>
    <row r="433" spans="1:7" x14ac:dyDescent="0.3">
      <c r="A433" s="51"/>
      <c r="B433" s="22"/>
      <c r="C433" s="31"/>
      <c r="D433" s="31"/>
      <c r="E433" s="31"/>
      <c r="F433" s="22"/>
      <c r="G433" s="22"/>
    </row>
    <row r="434" spans="1:7" x14ac:dyDescent="0.3">
      <c r="A434" s="51"/>
      <c r="B434" s="22"/>
      <c r="C434" s="31"/>
      <c r="D434" s="31"/>
      <c r="E434" s="31"/>
      <c r="F434" s="22"/>
      <c r="G434" s="22"/>
    </row>
    <row r="435" spans="1:7" x14ac:dyDescent="0.3">
      <c r="A435" s="51"/>
      <c r="B435" s="22"/>
      <c r="C435" s="31"/>
      <c r="D435" s="31"/>
      <c r="E435" s="31"/>
      <c r="F435" s="22"/>
      <c r="G435" s="22"/>
    </row>
    <row r="436" spans="1:7" x14ac:dyDescent="0.3">
      <c r="A436" s="51"/>
      <c r="B436" s="22"/>
      <c r="C436" s="31"/>
      <c r="D436" s="31"/>
      <c r="E436" s="31"/>
      <c r="F436" s="22"/>
      <c r="G436" s="22"/>
    </row>
    <row r="437" spans="1:7" x14ac:dyDescent="0.3">
      <c r="A437" s="51"/>
      <c r="B437" s="22"/>
      <c r="C437" s="31"/>
      <c r="D437" s="31"/>
      <c r="E437" s="31"/>
      <c r="F437" s="22"/>
      <c r="G437" s="22"/>
    </row>
    <row r="438" spans="1:7" x14ac:dyDescent="0.3">
      <c r="A438" s="51"/>
      <c r="B438" s="22"/>
      <c r="C438" s="31"/>
      <c r="D438" s="31"/>
      <c r="E438" s="31"/>
      <c r="F438" s="22"/>
      <c r="G438" s="22"/>
    </row>
    <row r="439" spans="1:7" x14ac:dyDescent="0.3">
      <c r="A439" s="51"/>
      <c r="B439" s="22"/>
      <c r="C439" s="31"/>
      <c r="D439" s="31"/>
      <c r="E439" s="31"/>
      <c r="F439" s="22"/>
      <c r="G439" s="22"/>
    </row>
    <row r="440" spans="1:7" x14ac:dyDescent="0.3">
      <c r="A440" s="51"/>
      <c r="B440" s="22"/>
      <c r="C440" s="31"/>
      <c r="D440" s="31"/>
      <c r="E440" s="31"/>
      <c r="F440" s="22"/>
      <c r="G440" s="22"/>
    </row>
    <row r="441" spans="1:7" x14ac:dyDescent="0.3">
      <c r="A441" s="51"/>
      <c r="B441" s="22"/>
      <c r="C441" s="31"/>
      <c r="D441" s="31"/>
      <c r="E441" s="31"/>
      <c r="F441" s="22"/>
      <c r="G441" s="22"/>
    </row>
    <row r="442" spans="1:7" x14ac:dyDescent="0.3">
      <c r="A442" s="51"/>
      <c r="B442" s="22"/>
      <c r="C442" s="31"/>
      <c r="D442" s="31"/>
      <c r="E442" s="31"/>
      <c r="F442" s="22"/>
      <c r="G442" s="22"/>
    </row>
    <row r="443" spans="1:7" x14ac:dyDescent="0.3">
      <c r="A443" s="51"/>
      <c r="B443" s="22"/>
      <c r="C443" s="31"/>
      <c r="D443" s="31"/>
      <c r="E443" s="31"/>
      <c r="F443" s="22"/>
      <c r="G443" s="22"/>
    </row>
    <row r="444" spans="1:7" x14ac:dyDescent="0.3">
      <c r="A444" s="51"/>
      <c r="B444" s="22"/>
      <c r="C444" s="31"/>
      <c r="D444" s="31"/>
      <c r="E444" s="31"/>
      <c r="F444" s="22"/>
      <c r="G444" s="22"/>
    </row>
    <row r="445" spans="1:7" x14ac:dyDescent="0.3">
      <c r="A445" s="51"/>
      <c r="B445" s="22"/>
      <c r="C445" s="31"/>
      <c r="D445" s="31"/>
      <c r="E445" s="31"/>
      <c r="F445" s="22"/>
      <c r="G445" s="22"/>
    </row>
    <row r="446" spans="1:7" x14ac:dyDescent="0.3">
      <c r="A446" s="51"/>
      <c r="B446" s="22"/>
      <c r="C446" s="31"/>
      <c r="D446" s="31"/>
      <c r="E446" s="31"/>
      <c r="F446" s="22"/>
      <c r="G446" s="22"/>
    </row>
    <row r="447" spans="1:7" x14ac:dyDescent="0.3">
      <c r="A447" s="51"/>
      <c r="B447" s="22"/>
      <c r="C447" s="31"/>
      <c r="D447" s="31"/>
      <c r="E447" s="31"/>
      <c r="F447" s="22"/>
      <c r="G447" s="22"/>
    </row>
    <row r="448" spans="1:7" x14ac:dyDescent="0.3">
      <c r="A448" s="51"/>
      <c r="B448" s="22"/>
      <c r="C448" s="31"/>
      <c r="D448" s="31"/>
      <c r="E448" s="31"/>
      <c r="F448" s="22"/>
      <c r="G448" s="22"/>
    </row>
    <row r="449" spans="1:7" x14ac:dyDescent="0.3">
      <c r="A449" s="51"/>
      <c r="B449" s="22"/>
      <c r="C449" s="31"/>
      <c r="D449" s="31"/>
      <c r="E449" s="31"/>
      <c r="F449" s="22"/>
      <c r="G449" s="22"/>
    </row>
    <row r="450" spans="1:7" x14ac:dyDescent="0.3">
      <c r="A450" s="51"/>
      <c r="B450" s="22"/>
      <c r="C450" s="31"/>
      <c r="D450" s="31"/>
      <c r="E450" s="31"/>
      <c r="F450" s="22"/>
      <c r="G450" s="22"/>
    </row>
    <row r="451" spans="1:7" x14ac:dyDescent="0.3">
      <c r="A451" s="51"/>
      <c r="B451" s="22"/>
      <c r="C451" s="31"/>
      <c r="D451" s="31"/>
      <c r="E451" s="31"/>
      <c r="F451" s="22"/>
      <c r="G451" s="22"/>
    </row>
    <row r="452" spans="1:7" x14ac:dyDescent="0.3">
      <c r="A452" s="51"/>
      <c r="B452" s="22"/>
      <c r="C452" s="31"/>
      <c r="D452" s="31"/>
      <c r="E452" s="31"/>
      <c r="F452" s="22"/>
      <c r="G452" s="22"/>
    </row>
    <row r="453" spans="1:7" x14ac:dyDescent="0.3">
      <c r="A453" s="51"/>
      <c r="B453" s="22"/>
      <c r="C453" s="31"/>
      <c r="D453" s="31"/>
      <c r="E453" s="31"/>
      <c r="F453" s="22"/>
      <c r="G453" s="22"/>
    </row>
    <row r="454" spans="1:7" x14ac:dyDescent="0.3">
      <c r="A454" s="51"/>
      <c r="B454" s="22"/>
      <c r="C454" s="31"/>
      <c r="D454" s="31"/>
      <c r="E454" s="31"/>
      <c r="F454" s="22"/>
      <c r="G454" s="22"/>
    </row>
    <row r="455" spans="1:7" x14ac:dyDescent="0.3">
      <c r="A455" s="51"/>
      <c r="B455" s="22"/>
      <c r="C455" s="31"/>
      <c r="D455" s="31"/>
      <c r="E455" s="31"/>
      <c r="F455" s="22"/>
      <c r="G455" s="22"/>
    </row>
    <row r="456" spans="1:7" x14ac:dyDescent="0.3">
      <c r="A456" s="51"/>
      <c r="B456" s="22"/>
      <c r="C456" s="31"/>
      <c r="D456" s="31"/>
      <c r="E456" s="31"/>
      <c r="F456" s="22"/>
      <c r="G456" s="22"/>
    </row>
    <row r="457" spans="1:7" x14ac:dyDescent="0.3">
      <c r="A457" s="51"/>
      <c r="B457" s="22"/>
      <c r="C457" s="31"/>
      <c r="D457" s="31"/>
      <c r="E457" s="31"/>
      <c r="F457" s="22"/>
      <c r="G457" s="22"/>
    </row>
    <row r="458" spans="1:7" x14ac:dyDescent="0.3">
      <c r="A458" s="51"/>
      <c r="B458" s="22"/>
      <c r="C458" s="31"/>
      <c r="D458" s="31"/>
      <c r="E458" s="31"/>
      <c r="F458" s="22"/>
      <c r="G458" s="22"/>
    </row>
    <row r="459" spans="1:7" x14ac:dyDescent="0.3">
      <c r="A459" s="51"/>
      <c r="B459" s="22"/>
      <c r="C459" s="31"/>
      <c r="D459" s="31"/>
      <c r="E459" s="31"/>
      <c r="F459" s="22"/>
      <c r="G459" s="22"/>
    </row>
    <row r="460" spans="1:7" x14ac:dyDescent="0.3">
      <c r="A460" s="51"/>
      <c r="B460" s="22"/>
      <c r="C460" s="31"/>
      <c r="D460" s="31"/>
      <c r="E460" s="31"/>
      <c r="F460" s="22"/>
      <c r="G460" s="22"/>
    </row>
    <row r="461" spans="1:7" x14ac:dyDescent="0.3">
      <c r="A461" s="51"/>
      <c r="B461" s="22"/>
      <c r="C461" s="31"/>
      <c r="D461" s="31"/>
      <c r="E461" s="31"/>
      <c r="F461" s="22"/>
      <c r="G461" s="22"/>
    </row>
    <row r="462" spans="1:7" x14ac:dyDescent="0.3">
      <c r="A462" s="51"/>
      <c r="B462" s="22"/>
      <c r="C462" s="31"/>
      <c r="D462" s="31"/>
      <c r="E462" s="31"/>
      <c r="F462" s="22"/>
      <c r="G462" s="22"/>
    </row>
    <row r="463" spans="1:7" x14ac:dyDescent="0.3">
      <c r="A463" s="51"/>
      <c r="B463" s="22"/>
      <c r="C463" s="31"/>
      <c r="D463" s="31"/>
      <c r="E463" s="31"/>
      <c r="F463" s="22"/>
      <c r="G463" s="22"/>
    </row>
    <row r="464" spans="1:7" x14ac:dyDescent="0.3">
      <c r="A464" s="51"/>
      <c r="B464" s="22"/>
      <c r="C464" s="31"/>
      <c r="D464" s="31"/>
      <c r="E464" s="31"/>
      <c r="F464" s="22"/>
      <c r="G464" s="22"/>
    </row>
    <row r="465" spans="1:7" x14ac:dyDescent="0.3">
      <c r="A465" s="51"/>
      <c r="B465" s="22"/>
      <c r="C465" s="31"/>
      <c r="D465" s="31"/>
      <c r="E465" s="31"/>
      <c r="F465" s="22"/>
      <c r="G465" s="22"/>
    </row>
    <row r="466" spans="1:7" x14ac:dyDescent="0.3">
      <c r="A466" s="51"/>
      <c r="B466" s="22"/>
      <c r="C466" s="31"/>
      <c r="D466" s="31"/>
      <c r="E466" s="31"/>
      <c r="F466" s="22"/>
      <c r="G466" s="22"/>
    </row>
    <row r="467" spans="1:7" x14ac:dyDescent="0.3">
      <c r="A467" s="51"/>
      <c r="B467" s="22"/>
      <c r="C467" s="31"/>
      <c r="D467" s="31"/>
      <c r="E467" s="31"/>
      <c r="F467" s="22"/>
      <c r="G467" s="22"/>
    </row>
    <row r="468" spans="1:7" x14ac:dyDescent="0.3">
      <c r="A468" s="51"/>
      <c r="B468" s="22"/>
      <c r="C468" s="31"/>
      <c r="D468" s="31"/>
      <c r="E468" s="31"/>
      <c r="F468" s="22"/>
      <c r="G468" s="22"/>
    </row>
    <row r="469" spans="1:7" x14ac:dyDescent="0.3">
      <c r="A469" s="51"/>
      <c r="B469" s="22"/>
      <c r="C469" s="31"/>
      <c r="D469" s="31"/>
      <c r="E469" s="31"/>
      <c r="F469" s="22"/>
      <c r="G469" s="22"/>
    </row>
    <row r="470" spans="1:7" x14ac:dyDescent="0.3">
      <c r="A470" s="51"/>
      <c r="B470" s="22"/>
      <c r="C470" s="31"/>
      <c r="D470" s="31"/>
      <c r="E470" s="31"/>
      <c r="F470" s="22"/>
      <c r="G470" s="22"/>
    </row>
    <row r="471" spans="1:7" x14ac:dyDescent="0.3">
      <c r="A471" s="51"/>
      <c r="B471" s="22"/>
      <c r="C471" s="31"/>
      <c r="D471" s="31"/>
      <c r="E471" s="31"/>
      <c r="F471" s="22"/>
      <c r="G471" s="22"/>
    </row>
    <row r="472" spans="1:7" x14ac:dyDescent="0.3">
      <c r="A472" s="51"/>
      <c r="B472" s="22"/>
      <c r="C472" s="31"/>
      <c r="D472" s="31"/>
      <c r="E472" s="31"/>
      <c r="F472" s="22"/>
      <c r="G472" s="22"/>
    </row>
    <row r="473" spans="1:7" x14ac:dyDescent="0.3">
      <c r="A473" s="51"/>
      <c r="B473" s="22"/>
      <c r="C473" s="31"/>
      <c r="D473" s="31"/>
      <c r="E473" s="31"/>
      <c r="F473" s="22"/>
      <c r="G473" s="22"/>
    </row>
    <row r="474" spans="1:7" x14ac:dyDescent="0.3">
      <c r="A474" s="51"/>
      <c r="B474" s="22"/>
      <c r="C474" s="31"/>
      <c r="D474" s="31"/>
      <c r="E474" s="31"/>
      <c r="F474" s="22"/>
      <c r="G474" s="22"/>
    </row>
    <row r="475" spans="1:7" x14ac:dyDescent="0.3">
      <c r="A475" s="51"/>
      <c r="B475" s="22"/>
      <c r="C475" s="31"/>
      <c r="D475" s="31"/>
      <c r="E475" s="31"/>
      <c r="F475" s="22"/>
      <c r="G475" s="22"/>
    </row>
    <row r="476" spans="1:7" x14ac:dyDescent="0.3">
      <c r="A476" s="51"/>
      <c r="B476" s="22"/>
      <c r="C476" s="31"/>
      <c r="D476" s="31"/>
      <c r="E476" s="31"/>
      <c r="F476" s="22"/>
      <c r="G476" s="22"/>
    </row>
    <row r="477" spans="1:7" x14ac:dyDescent="0.3">
      <c r="A477" s="51"/>
      <c r="B477" s="22"/>
      <c r="C477" s="31"/>
      <c r="D477" s="31"/>
      <c r="E477" s="31"/>
      <c r="F477" s="22"/>
      <c r="G477" s="22"/>
    </row>
    <row r="478" spans="1:7" x14ac:dyDescent="0.3">
      <c r="A478" s="51"/>
      <c r="B478" s="22"/>
      <c r="C478" s="31"/>
      <c r="D478" s="31"/>
      <c r="E478" s="31"/>
      <c r="F478" s="22"/>
      <c r="G478" s="22"/>
    </row>
    <row r="479" spans="1:7" x14ac:dyDescent="0.3">
      <c r="A479" s="51"/>
      <c r="B479" s="22"/>
      <c r="C479" s="31"/>
      <c r="D479" s="31"/>
      <c r="E479" s="31"/>
      <c r="F479" s="22"/>
      <c r="G479" s="22"/>
    </row>
    <row r="480" spans="1:7" x14ac:dyDescent="0.3">
      <c r="A480" s="51"/>
      <c r="B480" s="22"/>
      <c r="C480" s="31"/>
      <c r="D480" s="31"/>
      <c r="E480" s="31"/>
      <c r="F480" s="22"/>
      <c r="G480" s="22"/>
    </row>
    <row r="481" spans="1:7" x14ac:dyDescent="0.3">
      <c r="A481" s="51"/>
      <c r="B481" s="22"/>
      <c r="C481" s="31"/>
      <c r="D481" s="31"/>
      <c r="E481" s="31"/>
      <c r="F481" s="22"/>
      <c r="G481" s="22"/>
    </row>
    <row r="482" spans="1:7" x14ac:dyDescent="0.3">
      <c r="A482" s="51"/>
      <c r="B482" s="22"/>
      <c r="C482" s="31"/>
      <c r="D482" s="31"/>
      <c r="E482" s="31"/>
      <c r="F482" s="22"/>
      <c r="G482" s="22"/>
    </row>
    <row r="483" spans="1:7" x14ac:dyDescent="0.3">
      <c r="A483" s="51"/>
      <c r="B483" s="22"/>
      <c r="C483" s="31"/>
      <c r="D483" s="31"/>
      <c r="E483" s="31"/>
      <c r="F483" s="22"/>
      <c r="G483" s="22"/>
    </row>
    <row r="484" spans="1:7" x14ac:dyDescent="0.3">
      <c r="A484" s="51"/>
      <c r="B484" s="22"/>
      <c r="C484" s="31"/>
      <c r="D484" s="31"/>
      <c r="E484" s="31"/>
      <c r="F484" s="22"/>
      <c r="G484" s="22"/>
    </row>
    <row r="485" spans="1:7" x14ac:dyDescent="0.3">
      <c r="A485" s="51"/>
      <c r="B485" s="22"/>
      <c r="C485" s="31"/>
      <c r="D485" s="31"/>
      <c r="E485" s="31"/>
      <c r="F485" s="22"/>
      <c r="G485" s="22"/>
    </row>
    <row r="486" spans="1:7" x14ac:dyDescent="0.3">
      <c r="A486" s="51"/>
      <c r="B486" s="22"/>
      <c r="C486" s="31"/>
      <c r="D486" s="31"/>
      <c r="E486" s="31"/>
      <c r="F486" s="22"/>
      <c r="G486" s="22"/>
    </row>
    <row r="487" spans="1:7" x14ac:dyDescent="0.3">
      <c r="A487" s="51"/>
      <c r="B487" s="22"/>
      <c r="C487" s="31"/>
      <c r="D487" s="31"/>
      <c r="E487" s="31"/>
      <c r="F487" s="22"/>
      <c r="G487" s="22"/>
    </row>
    <row r="488" spans="1:7" x14ac:dyDescent="0.3">
      <c r="A488" s="51"/>
      <c r="B488" s="22"/>
      <c r="C488" s="31"/>
      <c r="D488" s="31"/>
      <c r="E488" s="31"/>
      <c r="F488" s="22"/>
      <c r="G488" s="22"/>
    </row>
    <row r="489" spans="1:7" x14ac:dyDescent="0.3">
      <c r="A489" s="51"/>
      <c r="B489" s="22"/>
      <c r="C489" s="31"/>
      <c r="D489" s="31"/>
      <c r="E489" s="31"/>
      <c r="F489" s="22"/>
      <c r="G489" s="22"/>
    </row>
    <row r="490" spans="1:7" x14ac:dyDescent="0.3">
      <c r="A490" s="51"/>
      <c r="B490" s="22"/>
      <c r="C490" s="31"/>
      <c r="D490" s="31"/>
      <c r="E490" s="31"/>
      <c r="F490" s="22"/>
      <c r="G490" s="22"/>
    </row>
    <row r="491" spans="1:7" x14ac:dyDescent="0.3">
      <c r="A491" s="51"/>
      <c r="B491" s="22"/>
      <c r="C491" s="31"/>
      <c r="D491" s="31"/>
      <c r="E491" s="31"/>
      <c r="F491" s="22"/>
      <c r="G491" s="22"/>
    </row>
    <row r="492" spans="1:7" x14ac:dyDescent="0.3">
      <c r="A492" s="51"/>
      <c r="B492" s="22"/>
      <c r="C492" s="31"/>
      <c r="D492" s="31"/>
      <c r="E492" s="31"/>
      <c r="F492" s="22"/>
      <c r="G492" s="22"/>
    </row>
    <row r="493" spans="1:7" x14ac:dyDescent="0.3">
      <c r="A493" s="51"/>
      <c r="B493" s="22"/>
      <c r="C493" s="31"/>
      <c r="D493" s="31"/>
      <c r="E493" s="31"/>
      <c r="F493" s="22"/>
      <c r="G493" s="22"/>
    </row>
    <row r="494" spans="1:7" x14ac:dyDescent="0.3">
      <c r="A494" s="51"/>
      <c r="B494" s="22"/>
      <c r="C494" s="31"/>
      <c r="D494" s="31"/>
      <c r="E494" s="31"/>
      <c r="F494" s="22"/>
      <c r="G494" s="22"/>
    </row>
    <row r="495" spans="1:7" x14ac:dyDescent="0.3">
      <c r="A495" s="51"/>
      <c r="B495" s="22"/>
      <c r="C495" s="31"/>
      <c r="D495" s="31"/>
      <c r="E495" s="31"/>
      <c r="F495" s="22"/>
      <c r="G495" s="22"/>
    </row>
    <row r="496" spans="1:7" x14ac:dyDescent="0.3">
      <c r="A496" s="51"/>
      <c r="B496" s="22"/>
      <c r="C496" s="31"/>
      <c r="D496" s="31"/>
      <c r="E496" s="31"/>
      <c r="F496" s="22"/>
      <c r="G496" s="22"/>
    </row>
    <row r="497" spans="1:7" x14ac:dyDescent="0.3">
      <c r="A497" s="59"/>
      <c r="B497" s="59"/>
      <c r="C497" s="59"/>
      <c r="D497" s="59"/>
      <c r="E497" s="59"/>
      <c r="F497" s="59"/>
      <c r="G497" s="5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4D70C-FA04-4169-B34F-A4F3BF946197}">
  <sheetPr codeName="Sheet9"/>
  <dimension ref="A1:X30"/>
  <sheetViews>
    <sheetView workbookViewId="0">
      <selection activeCell="H2" sqref="H2"/>
    </sheetView>
  </sheetViews>
  <sheetFormatPr defaultColWidth="8.6640625" defaultRowHeight="13.8" x14ac:dyDescent="0.3"/>
  <cols>
    <col min="1" max="23" width="20.6640625" style="21" customWidth="1"/>
    <col min="24" max="24" width="26.6640625" style="21" customWidth="1"/>
    <col min="25" max="16384" width="8.6640625" style="21"/>
  </cols>
  <sheetData>
    <row r="1" spans="1:24" x14ac:dyDescent="0.3">
      <c r="A1" s="69" t="s">
        <v>284</v>
      </c>
      <c r="B1" s="69" t="s">
        <v>285</v>
      </c>
      <c r="C1" s="69" t="s">
        <v>286</v>
      </c>
      <c r="D1" s="69" t="s">
        <v>287</v>
      </c>
      <c r="E1" s="69" t="s">
        <v>288</v>
      </c>
      <c r="F1" s="69" t="s">
        <v>289</v>
      </c>
      <c r="G1" s="69" t="s">
        <v>290</v>
      </c>
      <c r="H1" s="69" t="s">
        <v>291</v>
      </c>
      <c r="I1" s="69" t="s">
        <v>292</v>
      </c>
      <c r="J1" s="69" t="s">
        <v>293</v>
      </c>
      <c r="K1" s="69" t="s">
        <v>294</v>
      </c>
      <c r="L1" s="69" t="s">
        <v>295</v>
      </c>
      <c r="M1" s="69" t="s">
        <v>296</v>
      </c>
      <c r="N1" s="69" t="s">
        <v>297</v>
      </c>
      <c r="O1" s="69" t="s">
        <v>298</v>
      </c>
      <c r="P1" s="69" t="s">
        <v>299</v>
      </c>
      <c r="Q1" s="69" t="s">
        <v>300</v>
      </c>
      <c r="R1" s="69" t="s">
        <v>301</v>
      </c>
      <c r="S1" s="69" t="s">
        <v>302</v>
      </c>
      <c r="T1" s="69" t="s">
        <v>303</v>
      </c>
      <c r="U1" s="69" t="s">
        <v>304</v>
      </c>
      <c r="V1" s="69" t="s">
        <v>305</v>
      </c>
      <c r="W1" s="69" t="s">
        <v>306</v>
      </c>
      <c r="X1" s="69" t="s">
        <v>307</v>
      </c>
    </row>
    <row r="2" spans="1:24" ht="14.4" x14ac:dyDescent="0.3">
      <c r="A2" s="70" t="s">
        <v>308</v>
      </c>
      <c r="B2" s="75">
        <v>1</v>
      </c>
      <c r="C2" s="76">
        <v>200000</v>
      </c>
      <c r="D2" s="79">
        <v>91.575091575091577</v>
      </c>
      <c r="E2" s="77">
        <f t="shared" ref="E2:E29" si="0">C2*B2</f>
        <v>200000</v>
      </c>
      <c r="F2" s="72">
        <f>SUM(I2:X2)</f>
        <v>127678</v>
      </c>
      <c r="G2" s="72">
        <f>SUM(E2:F2)</f>
        <v>327678</v>
      </c>
      <c r="H2" s="77">
        <v>0</v>
      </c>
      <c r="I2" s="80">
        <v>0</v>
      </c>
      <c r="J2" s="77">
        <v>1000</v>
      </c>
      <c r="K2" s="77">
        <v>0</v>
      </c>
      <c r="L2" s="77">
        <v>14339</v>
      </c>
      <c r="M2" s="77">
        <v>5400</v>
      </c>
      <c r="N2" s="77">
        <v>2900</v>
      </c>
      <c r="O2" s="77">
        <v>400</v>
      </c>
      <c r="P2" s="77">
        <v>28000.000000000004</v>
      </c>
      <c r="Q2" s="77">
        <f t="shared" ref="Q2:Q29" si="1">SUM(L2:P2)</f>
        <v>51039</v>
      </c>
      <c r="R2" s="76">
        <v>600</v>
      </c>
      <c r="S2" s="76">
        <v>600</v>
      </c>
      <c r="T2" s="76">
        <v>800</v>
      </c>
      <c r="U2" s="76">
        <v>800</v>
      </c>
      <c r="V2" s="76">
        <v>2000</v>
      </c>
      <c r="W2" s="76">
        <v>7000</v>
      </c>
      <c r="X2" s="76">
        <f t="shared" ref="X2:X29" si="2">J2+SUM(R2:W2)</f>
        <v>12800</v>
      </c>
    </row>
    <row r="3" spans="1:24" ht="14.4" x14ac:dyDescent="0.3">
      <c r="A3" s="70" t="s">
        <v>309</v>
      </c>
      <c r="B3" s="75">
        <v>1</v>
      </c>
      <c r="C3" s="76">
        <v>150000</v>
      </c>
      <c r="D3" s="79">
        <v>68.681318681318686</v>
      </c>
      <c r="E3" s="76">
        <f t="shared" si="0"/>
        <v>150000</v>
      </c>
      <c r="F3" s="72">
        <f t="shared" ref="F3:F29" si="3">SUM(I3:X3)</f>
        <v>97700</v>
      </c>
      <c r="G3" s="72">
        <f t="shared" ref="G3:G29" si="4">SUM(E3:F3)</f>
        <v>247700</v>
      </c>
      <c r="H3" s="77">
        <v>0</v>
      </c>
      <c r="I3" s="80">
        <v>0</v>
      </c>
      <c r="J3" s="76">
        <v>1000</v>
      </c>
      <c r="K3" s="77">
        <v>0</v>
      </c>
      <c r="L3" s="76">
        <v>11475</v>
      </c>
      <c r="M3" s="77">
        <v>4050</v>
      </c>
      <c r="N3" s="77">
        <v>2175</v>
      </c>
      <c r="O3" s="77">
        <v>300</v>
      </c>
      <c r="P3" s="77">
        <v>21000.000000000004</v>
      </c>
      <c r="Q3" s="77">
        <f t="shared" si="1"/>
        <v>39000</v>
      </c>
      <c r="R3" s="76">
        <v>450</v>
      </c>
      <c r="S3" s="76">
        <v>450</v>
      </c>
      <c r="T3" s="76">
        <v>600</v>
      </c>
      <c r="U3" s="76">
        <v>600</v>
      </c>
      <c r="V3" s="76">
        <v>1500</v>
      </c>
      <c r="W3" s="76">
        <v>5250</v>
      </c>
      <c r="X3" s="76">
        <f t="shared" si="2"/>
        <v>9850</v>
      </c>
    </row>
    <row r="4" spans="1:24" ht="14.4" x14ac:dyDescent="0.3">
      <c r="A4" s="70" t="s">
        <v>310</v>
      </c>
      <c r="B4" s="75">
        <v>1</v>
      </c>
      <c r="C4" s="76">
        <v>150000</v>
      </c>
      <c r="D4" s="79">
        <v>68.681318681318686</v>
      </c>
      <c r="E4" s="76">
        <f t="shared" si="0"/>
        <v>150000</v>
      </c>
      <c r="F4" s="72">
        <f t="shared" si="3"/>
        <v>97700</v>
      </c>
      <c r="G4" s="72">
        <f t="shared" si="4"/>
        <v>247700</v>
      </c>
      <c r="H4" s="77">
        <v>0</v>
      </c>
      <c r="I4" s="80">
        <v>0</v>
      </c>
      <c r="J4" s="76">
        <v>1000</v>
      </c>
      <c r="K4" s="77">
        <v>0</v>
      </c>
      <c r="L4" s="76">
        <v>11475</v>
      </c>
      <c r="M4" s="77">
        <v>4050</v>
      </c>
      <c r="N4" s="77">
        <v>2175</v>
      </c>
      <c r="O4" s="77">
        <v>300</v>
      </c>
      <c r="P4" s="77">
        <v>21000.000000000004</v>
      </c>
      <c r="Q4" s="77">
        <f t="shared" si="1"/>
        <v>39000</v>
      </c>
      <c r="R4" s="76">
        <v>450</v>
      </c>
      <c r="S4" s="76">
        <v>450</v>
      </c>
      <c r="T4" s="76">
        <v>600</v>
      </c>
      <c r="U4" s="76">
        <v>600</v>
      </c>
      <c r="V4" s="76">
        <v>1500</v>
      </c>
      <c r="W4" s="76">
        <v>5250</v>
      </c>
      <c r="X4" s="76">
        <f t="shared" si="2"/>
        <v>9850</v>
      </c>
    </row>
    <row r="5" spans="1:24" ht="14.4" x14ac:dyDescent="0.3">
      <c r="A5" s="70" t="s">
        <v>311</v>
      </c>
      <c r="B5" s="75">
        <v>4</v>
      </c>
      <c r="C5" s="76">
        <v>110000</v>
      </c>
      <c r="D5" s="79">
        <v>50.366300366300365</v>
      </c>
      <c r="E5" s="76">
        <f t="shared" si="0"/>
        <v>440000</v>
      </c>
      <c r="F5" s="72">
        <f t="shared" si="3"/>
        <v>298920</v>
      </c>
      <c r="G5" s="72">
        <f t="shared" si="4"/>
        <v>738920</v>
      </c>
      <c r="H5" s="77">
        <v>1</v>
      </c>
      <c r="I5" s="80">
        <v>0</v>
      </c>
      <c r="J5" s="76">
        <v>4000</v>
      </c>
      <c r="K5" s="76">
        <v>10200</v>
      </c>
      <c r="L5" s="76">
        <v>33660</v>
      </c>
      <c r="M5" s="77">
        <v>11880</v>
      </c>
      <c r="N5" s="77">
        <v>6380</v>
      </c>
      <c r="O5" s="77">
        <v>880</v>
      </c>
      <c r="P5" s="77">
        <v>61600.000000000007</v>
      </c>
      <c r="Q5" s="77">
        <f t="shared" si="1"/>
        <v>114400</v>
      </c>
      <c r="R5" s="76">
        <v>1320</v>
      </c>
      <c r="S5" s="76">
        <v>1320</v>
      </c>
      <c r="T5" s="76">
        <v>1760</v>
      </c>
      <c r="U5" s="76">
        <v>1760</v>
      </c>
      <c r="V5" s="76">
        <v>4400</v>
      </c>
      <c r="W5" s="76">
        <v>15399.999999999998</v>
      </c>
      <c r="X5" s="76">
        <f t="shared" si="2"/>
        <v>29960</v>
      </c>
    </row>
    <row r="6" spans="1:24" ht="14.4" x14ac:dyDescent="0.3">
      <c r="A6" s="70" t="s">
        <v>312</v>
      </c>
      <c r="B6" s="75">
        <v>4</v>
      </c>
      <c r="C6" s="76">
        <v>80000</v>
      </c>
      <c r="D6" s="79">
        <v>36.630036630036628</v>
      </c>
      <c r="E6" s="76">
        <f t="shared" si="0"/>
        <v>320000</v>
      </c>
      <c r="F6" s="72">
        <f t="shared" si="3"/>
        <v>222360</v>
      </c>
      <c r="G6" s="72">
        <f t="shared" si="4"/>
        <v>542360</v>
      </c>
      <c r="H6" s="77">
        <v>1</v>
      </c>
      <c r="I6" s="80">
        <v>0</v>
      </c>
      <c r="J6" s="76">
        <v>4000</v>
      </c>
      <c r="K6" s="76">
        <v>10200</v>
      </c>
      <c r="L6" s="76">
        <v>24480</v>
      </c>
      <c r="M6" s="77">
        <v>8640</v>
      </c>
      <c r="N6" s="77">
        <v>4640</v>
      </c>
      <c r="O6" s="77">
        <v>640</v>
      </c>
      <c r="P6" s="77">
        <v>44800.000000000007</v>
      </c>
      <c r="Q6" s="77">
        <f t="shared" si="1"/>
        <v>83200</v>
      </c>
      <c r="R6" s="76">
        <v>960</v>
      </c>
      <c r="S6" s="76">
        <v>960</v>
      </c>
      <c r="T6" s="76">
        <v>1280</v>
      </c>
      <c r="U6" s="76">
        <v>1280</v>
      </c>
      <c r="V6" s="76">
        <v>3200</v>
      </c>
      <c r="W6" s="76">
        <v>11200</v>
      </c>
      <c r="X6" s="76">
        <f t="shared" si="2"/>
        <v>22880</v>
      </c>
    </row>
    <row r="7" spans="1:24" ht="14.4" x14ac:dyDescent="0.3">
      <c r="A7" s="70" t="s">
        <v>313</v>
      </c>
      <c r="B7" s="75">
        <v>4</v>
      </c>
      <c r="C7" s="76">
        <v>120000</v>
      </c>
      <c r="D7" s="79">
        <v>54.945054945054942</v>
      </c>
      <c r="E7" s="76">
        <f t="shared" si="0"/>
        <v>480000</v>
      </c>
      <c r="F7" s="72">
        <f t="shared" si="3"/>
        <v>324440</v>
      </c>
      <c r="G7" s="72">
        <f t="shared" si="4"/>
        <v>804440</v>
      </c>
      <c r="H7" s="77">
        <v>1</v>
      </c>
      <c r="I7" s="80">
        <v>0</v>
      </c>
      <c r="J7" s="76">
        <v>4000</v>
      </c>
      <c r="K7" s="76">
        <v>10200</v>
      </c>
      <c r="L7" s="76">
        <v>36720</v>
      </c>
      <c r="M7" s="77">
        <v>12960</v>
      </c>
      <c r="N7" s="77">
        <v>6960</v>
      </c>
      <c r="O7" s="77">
        <v>960</v>
      </c>
      <c r="P7" s="77">
        <v>67200</v>
      </c>
      <c r="Q7" s="77">
        <f t="shared" si="1"/>
        <v>124800</v>
      </c>
      <c r="R7" s="76">
        <v>1440</v>
      </c>
      <c r="S7" s="76">
        <v>1440</v>
      </c>
      <c r="T7" s="76">
        <v>1920</v>
      </c>
      <c r="U7" s="76">
        <v>1920</v>
      </c>
      <c r="V7" s="76">
        <v>4800</v>
      </c>
      <c r="W7" s="76">
        <v>16800</v>
      </c>
      <c r="X7" s="76">
        <f t="shared" si="2"/>
        <v>32320</v>
      </c>
    </row>
    <row r="8" spans="1:24" ht="14.4" x14ac:dyDescent="0.3">
      <c r="A8" s="70" t="s">
        <v>314</v>
      </c>
      <c r="B8" s="75">
        <v>4</v>
      </c>
      <c r="C8" s="76">
        <v>90000</v>
      </c>
      <c r="D8" s="79">
        <v>41.208791208791212</v>
      </c>
      <c r="E8" s="76">
        <f t="shared" si="0"/>
        <v>360000</v>
      </c>
      <c r="F8" s="72">
        <f t="shared" si="3"/>
        <v>247880</v>
      </c>
      <c r="G8" s="72">
        <f t="shared" si="4"/>
        <v>607880</v>
      </c>
      <c r="H8" s="77">
        <v>1</v>
      </c>
      <c r="I8" s="80">
        <v>0</v>
      </c>
      <c r="J8" s="76">
        <v>4000</v>
      </c>
      <c r="K8" s="76">
        <v>10200</v>
      </c>
      <c r="L8" s="76">
        <v>27540</v>
      </c>
      <c r="M8" s="77">
        <v>9720</v>
      </c>
      <c r="N8" s="77">
        <v>5220</v>
      </c>
      <c r="O8" s="77">
        <v>720</v>
      </c>
      <c r="P8" s="77">
        <v>50400.000000000007</v>
      </c>
      <c r="Q8" s="77">
        <f t="shared" si="1"/>
        <v>93600</v>
      </c>
      <c r="R8" s="76">
        <v>1080</v>
      </c>
      <c r="S8" s="76">
        <v>1080</v>
      </c>
      <c r="T8" s="76">
        <v>1440</v>
      </c>
      <c r="U8" s="76">
        <v>1440</v>
      </c>
      <c r="V8" s="76">
        <v>3600</v>
      </c>
      <c r="W8" s="76">
        <v>12600</v>
      </c>
      <c r="X8" s="76">
        <f t="shared" si="2"/>
        <v>25240</v>
      </c>
    </row>
    <row r="9" spans="1:24" ht="14.4" x14ac:dyDescent="0.3">
      <c r="A9" s="70" t="s">
        <v>315</v>
      </c>
      <c r="B9" s="75">
        <v>4</v>
      </c>
      <c r="C9" s="76">
        <v>80000</v>
      </c>
      <c r="D9" s="79">
        <v>36.630036630036628</v>
      </c>
      <c r="E9" s="76">
        <f t="shared" si="0"/>
        <v>320000</v>
      </c>
      <c r="F9" s="72">
        <f t="shared" si="3"/>
        <v>222360</v>
      </c>
      <c r="G9" s="72">
        <f t="shared" si="4"/>
        <v>542360</v>
      </c>
      <c r="H9" s="77">
        <v>1</v>
      </c>
      <c r="I9" s="80">
        <v>0</v>
      </c>
      <c r="J9" s="76">
        <v>4000</v>
      </c>
      <c r="K9" s="76">
        <v>10200</v>
      </c>
      <c r="L9" s="76">
        <v>24480</v>
      </c>
      <c r="M9" s="77">
        <v>8640</v>
      </c>
      <c r="N9" s="77">
        <v>4640</v>
      </c>
      <c r="O9" s="77">
        <v>640</v>
      </c>
      <c r="P9" s="77">
        <v>44800.000000000007</v>
      </c>
      <c r="Q9" s="77">
        <f t="shared" si="1"/>
        <v>83200</v>
      </c>
      <c r="R9" s="76">
        <v>960</v>
      </c>
      <c r="S9" s="76">
        <v>960</v>
      </c>
      <c r="T9" s="76">
        <v>1280</v>
      </c>
      <c r="U9" s="76">
        <v>1280</v>
      </c>
      <c r="V9" s="76">
        <v>3200</v>
      </c>
      <c r="W9" s="76">
        <v>11200</v>
      </c>
      <c r="X9" s="76">
        <f t="shared" si="2"/>
        <v>22880</v>
      </c>
    </row>
    <row r="10" spans="1:24" ht="14.4" x14ac:dyDescent="0.3">
      <c r="A10" s="70" t="s">
        <v>316</v>
      </c>
      <c r="B10" s="75">
        <v>4</v>
      </c>
      <c r="C10" s="76">
        <v>90000</v>
      </c>
      <c r="D10" s="79">
        <v>41.208791208791212</v>
      </c>
      <c r="E10" s="76">
        <f t="shared" si="0"/>
        <v>360000</v>
      </c>
      <c r="F10" s="72">
        <f t="shared" si="3"/>
        <v>247880</v>
      </c>
      <c r="G10" s="72">
        <f t="shared" si="4"/>
        <v>607880</v>
      </c>
      <c r="H10" s="77">
        <v>1</v>
      </c>
      <c r="I10" s="80">
        <v>0</v>
      </c>
      <c r="J10" s="76">
        <v>4000</v>
      </c>
      <c r="K10" s="76">
        <v>10200</v>
      </c>
      <c r="L10" s="76">
        <v>27540</v>
      </c>
      <c r="M10" s="77">
        <v>9720</v>
      </c>
      <c r="N10" s="77">
        <v>5220</v>
      </c>
      <c r="O10" s="77">
        <v>720</v>
      </c>
      <c r="P10" s="77">
        <v>50400.000000000007</v>
      </c>
      <c r="Q10" s="77">
        <f t="shared" si="1"/>
        <v>93600</v>
      </c>
      <c r="R10" s="76">
        <v>1080</v>
      </c>
      <c r="S10" s="76">
        <v>1080</v>
      </c>
      <c r="T10" s="76">
        <v>1440</v>
      </c>
      <c r="U10" s="76">
        <v>1440</v>
      </c>
      <c r="V10" s="76">
        <v>3600</v>
      </c>
      <c r="W10" s="76">
        <v>12600</v>
      </c>
      <c r="X10" s="76">
        <f t="shared" si="2"/>
        <v>25240</v>
      </c>
    </row>
    <row r="11" spans="1:24" ht="14.4" x14ac:dyDescent="0.3">
      <c r="A11" s="70" t="s">
        <v>317</v>
      </c>
      <c r="B11" s="75">
        <v>4</v>
      </c>
      <c r="C11" s="76">
        <v>75000</v>
      </c>
      <c r="D11" s="79">
        <v>34.340659340659343</v>
      </c>
      <c r="E11" s="76">
        <f t="shared" si="0"/>
        <v>300000</v>
      </c>
      <c r="F11" s="72">
        <f t="shared" si="3"/>
        <v>209600</v>
      </c>
      <c r="G11" s="72">
        <f t="shared" si="4"/>
        <v>509600</v>
      </c>
      <c r="H11" s="77">
        <v>1</v>
      </c>
      <c r="I11" s="80">
        <v>0</v>
      </c>
      <c r="J11" s="76">
        <v>4000</v>
      </c>
      <c r="K11" s="76">
        <v>10200</v>
      </c>
      <c r="L11" s="76">
        <v>22950</v>
      </c>
      <c r="M11" s="77">
        <v>8100</v>
      </c>
      <c r="N11" s="77">
        <v>4350</v>
      </c>
      <c r="O11" s="77">
        <v>600</v>
      </c>
      <c r="P11" s="77">
        <v>42000.000000000007</v>
      </c>
      <c r="Q11" s="77">
        <f t="shared" si="1"/>
        <v>78000</v>
      </c>
      <c r="R11" s="76">
        <v>900</v>
      </c>
      <c r="S11" s="76">
        <v>900</v>
      </c>
      <c r="T11" s="76">
        <v>1200</v>
      </c>
      <c r="U11" s="76">
        <v>1200</v>
      </c>
      <c r="V11" s="76">
        <v>3000</v>
      </c>
      <c r="W11" s="76">
        <v>10500</v>
      </c>
      <c r="X11" s="76">
        <f t="shared" si="2"/>
        <v>21700</v>
      </c>
    </row>
    <row r="12" spans="1:24" ht="14.4" x14ac:dyDescent="0.3">
      <c r="A12" s="70" t="s">
        <v>318</v>
      </c>
      <c r="B12" s="75">
        <v>28</v>
      </c>
      <c r="C12" s="76">
        <v>60000</v>
      </c>
      <c r="D12" s="79">
        <v>27.472527472527471</v>
      </c>
      <c r="E12" s="76">
        <f t="shared" si="0"/>
        <v>1680000</v>
      </c>
      <c r="F12" s="72">
        <f>SUM(I12:X12)</f>
        <v>1239240</v>
      </c>
      <c r="G12" s="72">
        <f t="shared" si="4"/>
        <v>2919240</v>
      </c>
      <c r="H12" s="77">
        <v>1</v>
      </c>
      <c r="I12" s="80">
        <v>40000</v>
      </c>
      <c r="J12" s="76">
        <v>28000</v>
      </c>
      <c r="K12" s="76">
        <v>71400</v>
      </c>
      <c r="L12" s="76">
        <v>128520</v>
      </c>
      <c r="M12" s="77">
        <v>45360</v>
      </c>
      <c r="N12" s="77">
        <v>24360</v>
      </c>
      <c r="O12" s="77">
        <v>3360</v>
      </c>
      <c r="P12" s="77">
        <v>235200.00000000003</v>
      </c>
      <c r="Q12" s="77">
        <f t="shared" si="1"/>
        <v>436800</v>
      </c>
      <c r="R12" s="76">
        <v>5040</v>
      </c>
      <c r="S12" s="76">
        <v>5040</v>
      </c>
      <c r="T12" s="76">
        <v>6720</v>
      </c>
      <c r="U12" s="76">
        <v>6720</v>
      </c>
      <c r="V12" s="76">
        <v>16800</v>
      </c>
      <c r="W12" s="76">
        <v>58799.999999999993</v>
      </c>
      <c r="X12" s="76">
        <f t="shared" si="2"/>
        <v>127120</v>
      </c>
    </row>
    <row r="13" spans="1:24" ht="14.4" x14ac:dyDescent="0.3">
      <c r="A13" s="70" t="s">
        <v>319</v>
      </c>
      <c r="B13" s="75">
        <v>4</v>
      </c>
      <c r="C13" s="76">
        <v>90000</v>
      </c>
      <c r="D13" s="79">
        <v>41.208791208791212</v>
      </c>
      <c r="E13" s="76">
        <f t="shared" si="0"/>
        <v>360000</v>
      </c>
      <c r="F13" s="72">
        <f t="shared" si="3"/>
        <v>247880</v>
      </c>
      <c r="G13" s="72">
        <f t="shared" si="4"/>
        <v>607880</v>
      </c>
      <c r="H13" s="77">
        <v>1</v>
      </c>
      <c r="I13" s="80">
        <v>0</v>
      </c>
      <c r="J13" s="76">
        <v>4000</v>
      </c>
      <c r="K13" s="76">
        <v>10200</v>
      </c>
      <c r="L13" s="76">
        <v>27540</v>
      </c>
      <c r="M13" s="77">
        <v>9720</v>
      </c>
      <c r="N13" s="77">
        <v>5220</v>
      </c>
      <c r="O13" s="77">
        <v>720</v>
      </c>
      <c r="P13" s="77">
        <v>50400.000000000007</v>
      </c>
      <c r="Q13" s="77">
        <f t="shared" si="1"/>
        <v>93600</v>
      </c>
      <c r="R13" s="76">
        <v>1080</v>
      </c>
      <c r="S13" s="76">
        <v>1080</v>
      </c>
      <c r="T13" s="76">
        <v>1440</v>
      </c>
      <c r="U13" s="76">
        <v>1440</v>
      </c>
      <c r="V13" s="76">
        <v>3600</v>
      </c>
      <c r="W13" s="76">
        <v>12600</v>
      </c>
      <c r="X13" s="76">
        <f t="shared" si="2"/>
        <v>25240</v>
      </c>
    </row>
    <row r="14" spans="1:24" ht="14.4" x14ac:dyDescent="0.3">
      <c r="A14" s="70" t="s">
        <v>320</v>
      </c>
      <c r="B14" s="75">
        <v>16</v>
      </c>
      <c r="C14" s="76">
        <v>50000</v>
      </c>
      <c r="D14" s="79">
        <v>22.893772893772894</v>
      </c>
      <c r="E14" s="76">
        <f t="shared" si="0"/>
        <v>800000</v>
      </c>
      <c r="F14" s="72">
        <f t="shared" si="3"/>
        <v>602247.61904761905</v>
      </c>
      <c r="G14" s="72">
        <f t="shared" si="4"/>
        <v>1402247.6190476189</v>
      </c>
      <c r="H14" s="77">
        <v>1</v>
      </c>
      <c r="I14" s="80">
        <v>19047.61904761905</v>
      </c>
      <c r="J14" s="76">
        <v>16000</v>
      </c>
      <c r="K14" s="76">
        <v>40800</v>
      </c>
      <c r="L14" s="76">
        <v>61200</v>
      </c>
      <c r="M14" s="77">
        <v>21600</v>
      </c>
      <c r="N14" s="77">
        <v>11600</v>
      </c>
      <c r="O14" s="77">
        <v>1600</v>
      </c>
      <c r="P14" s="77">
        <v>112000.00000000001</v>
      </c>
      <c r="Q14" s="77">
        <f t="shared" si="1"/>
        <v>208000</v>
      </c>
      <c r="R14" s="76">
        <v>2400</v>
      </c>
      <c r="S14" s="76">
        <v>2400</v>
      </c>
      <c r="T14" s="76">
        <v>3200</v>
      </c>
      <c r="U14" s="76">
        <v>3200</v>
      </c>
      <c r="V14" s="76">
        <v>8000</v>
      </c>
      <c r="W14" s="76">
        <v>28000</v>
      </c>
      <c r="X14" s="76">
        <f t="shared" si="2"/>
        <v>63200</v>
      </c>
    </row>
    <row r="15" spans="1:24" ht="14.4" x14ac:dyDescent="0.3">
      <c r="A15" s="70" t="s">
        <v>321</v>
      </c>
      <c r="B15" s="75">
        <v>4</v>
      </c>
      <c r="C15" s="76">
        <v>40000</v>
      </c>
      <c r="D15" s="79">
        <v>18.315018315018314</v>
      </c>
      <c r="E15" s="76">
        <f t="shared" si="0"/>
        <v>160000</v>
      </c>
      <c r="F15" s="72">
        <f t="shared" si="3"/>
        <v>124089.52380952382</v>
      </c>
      <c r="G15" s="72">
        <f t="shared" si="4"/>
        <v>284089.52380952379</v>
      </c>
      <c r="H15" s="77">
        <v>1</v>
      </c>
      <c r="I15" s="80">
        <v>3809.5238095238092</v>
      </c>
      <c r="J15" s="76">
        <v>4000</v>
      </c>
      <c r="K15" s="76">
        <v>10200</v>
      </c>
      <c r="L15" s="76">
        <v>12240</v>
      </c>
      <c r="M15" s="77">
        <v>4320</v>
      </c>
      <c r="N15" s="77">
        <v>2320</v>
      </c>
      <c r="O15" s="77">
        <v>320</v>
      </c>
      <c r="P15" s="77">
        <v>22400.000000000004</v>
      </c>
      <c r="Q15" s="77">
        <f t="shared" si="1"/>
        <v>41600</v>
      </c>
      <c r="R15" s="76">
        <v>480</v>
      </c>
      <c r="S15" s="76">
        <v>480</v>
      </c>
      <c r="T15" s="76">
        <v>640</v>
      </c>
      <c r="U15" s="76">
        <v>640</v>
      </c>
      <c r="V15" s="76">
        <v>1600</v>
      </c>
      <c r="W15" s="76">
        <v>5600</v>
      </c>
      <c r="X15" s="76">
        <f t="shared" si="2"/>
        <v>13440</v>
      </c>
    </row>
    <row r="16" spans="1:24" ht="14.4" x14ac:dyDescent="0.3">
      <c r="A16" s="70" t="s">
        <v>322</v>
      </c>
      <c r="B16" s="75">
        <v>1</v>
      </c>
      <c r="C16" s="76">
        <v>45000</v>
      </c>
      <c r="D16" s="79">
        <v>20.604395604395606</v>
      </c>
      <c r="E16" s="76">
        <f t="shared" si="0"/>
        <v>45000</v>
      </c>
      <c r="F16" s="72">
        <f t="shared" si="3"/>
        <v>30710</v>
      </c>
      <c r="G16" s="72">
        <f t="shared" si="4"/>
        <v>75710</v>
      </c>
      <c r="H16" s="77">
        <v>1</v>
      </c>
      <c r="I16" s="80">
        <v>0</v>
      </c>
      <c r="J16" s="76">
        <v>1000</v>
      </c>
      <c r="K16" s="76">
        <v>0</v>
      </c>
      <c r="L16" s="76">
        <v>3442.5</v>
      </c>
      <c r="M16" s="77">
        <v>1215</v>
      </c>
      <c r="N16" s="72">
        <v>652.5</v>
      </c>
      <c r="O16" s="77">
        <v>90</v>
      </c>
      <c r="P16" s="77">
        <v>6300.0000000000009</v>
      </c>
      <c r="Q16" s="77">
        <f t="shared" si="1"/>
        <v>11700</v>
      </c>
      <c r="R16" s="76">
        <v>135</v>
      </c>
      <c r="S16" s="76">
        <v>135</v>
      </c>
      <c r="T16" s="76">
        <v>180</v>
      </c>
      <c r="U16" s="76">
        <v>180</v>
      </c>
      <c r="V16" s="76">
        <v>450</v>
      </c>
      <c r="W16" s="76">
        <v>1575</v>
      </c>
      <c r="X16" s="76">
        <f t="shared" si="2"/>
        <v>3655</v>
      </c>
    </row>
    <row r="17" spans="1:24" ht="14.4" x14ac:dyDescent="0.3">
      <c r="A17" s="70" t="s">
        <v>323</v>
      </c>
      <c r="B17" s="75">
        <v>1</v>
      </c>
      <c r="C17" s="76">
        <v>80000</v>
      </c>
      <c r="D17" s="79">
        <v>36.630036630036628</v>
      </c>
      <c r="E17" s="76">
        <f t="shared" si="0"/>
        <v>80000</v>
      </c>
      <c r="F17" s="72">
        <f t="shared" si="3"/>
        <v>53040</v>
      </c>
      <c r="G17" s="72">
        <f t="shared" si="4"/>
        <v>133040</v>
      </c>
      <c r="H17" s="77">
        <v>0</v>
      </c>
      <c r="I17" s="80">
        <v>0</v>
      </c>
      <c r="J17" s="76">
        <v>1000</v>
      </c>
      <c r="K17" s="76">
        <v>0</v>
      </c>
      <c r="L17" s="76">
        <v>6120</v>
      </c>
      <c r="M17" s="77">
        <v>2160</v>
      </c>
      <c r="N17" s="77">
        <v>1160</v>
      </c>
      <c r="O17" s="77">
        <v>160</v>
      </c>
      <c r="P17" s="77">
        <v>11200.000000000002</v>
      </c>
      <c r="Q17" s="77">
        <f t="shared" si="1"/>
        <v>20800</v>
      </c>
      <c r="R17" s="76">
        <v>240</v>
      </c>
      <c r="S17" s="76">
        <v>240</v>
      </c>
      <c r="T17" s="76">
        <v>320</v>
      </c>
      <c r="U17" s="76">
        <v>320</v>
      </c>
      <c r="V17" s="76">
        <v>800</v>
      </c>
      <c r="W17" s="76">
        <v>2800</v>
      </c>
      <c r="X17" s="76">
        <f t="shared" si="2"/>
        <v>5720</v>
      </c>
    </row>
    <row r="18" spans="1:24" ht="14.4" x14ac:dyDescent="0.3">
      <c r="A18" s="70" t="s">
        <v>324</v>
      </c>
      <c r="B18" s="75">
        <v>1</v>
      </c>
      <c r="C18" s="76">
        <v>75000</v>
      </c>
      <c r="D18" s="79">
        <v>34.340659340659343</v>
      </c>
      <c r="E18" s="76">
        <f t="shared" si="0"/>
        <v>75000</v>
      </c>
      <c r="F18" s="72">
        <f t="shared" si="3"/>
        <v>49850</v>
      </c>
      <c r="G18" s="72">
        <f t="shared" si="4"/>
        <v>124850</v>
      </c>
      <c r="H18" s="77">
        <v>0</v>
      </c>
      <c r="I18" s="80">
        <v>0</v>
      </c>
      <c r="J18" s="76">
        <v>1000</v>
      </c>
      <c r="K18" s="76">
        <v>0</v>
      </c>
      <c r="L18" s="76">
        <v>5737.5</v>
      </c>
      <c r="M18" s="77">
        <v>2025</v>
      </c>
      <c r="N18" s="72">
        <v>1087.5</v>
      </c>
      <c r="O18" s="77">
        <v>150</v>
      </c>
      <c r="P18" s="77">
        <v>10500.000000000002</v>
      </c>
      <c r="Q18" s="77">
        <f t="shared" si="1"/>
        <v>19500</v>
      </c>
      <c r="R18" s="76">
        <v>225</v>
      </c>
      <c r="S18" s="76">
        <v>225</v>
      </c>
      <c r="T18" s="76">
        <v>300</v>
      </c>
      <c r="U18" s="76">
        <v>300</v>
      </c>
      <c r="V18" s="76">
        <v>750</v>
      </c>
      <c r="W18" s="76">
        <v>2625</v>
      </c>
      <c r="X18" s="76">
        <f t="shared" si="2"/>
        <v>5425</v>
      </c>
    </row>
    <row r="19" spans="1:24" ht="14.4" x14ac:dyDescent="0.3">
      <c r="A19" s="70" t="s">
        <v>325</v>
      </c>
      <c r="B19" s="75">
        <v>1</v>
      </c>
      <c r="C19" s="76">
        <v>70000</v>
      </c>
      <c r="D19" s="79">
        <v>32.051282051282051</v>
      </c>
      <c r="E19" s="76">
        <f t="shared" si="0"/>
        <v>70000</v>
      </c>
      <c r="F19" s="72">
        <f t="shared" si="3"/>
        <v>46660</v>
      </c>
      <c r="G19" s="72">
        <f t="shared" si="4"/>
        <v>116660</v>
      </c>
      <c r="H19" s="77">
        <v>0</v>
      </c>
      <c r="I19" s="80">
        <v>0</v>
      </c>
      <c r="J19" s="76">
        <v>1000</v>
      </c>
      <c r="K19" s="76">
        <v>0</v>
      </c>
      <c r="L19" s="76">
        <v>5355</v>
      </c>
      <c r="M19" s="77">
        <v>1890</v>
      </c>
      <c r="N19" s="77">
        <v>1015</v>
      </c>
      <c r="O19" s="77">
        <v>140</v>
      </c>
      <c r="P19" s="77">
        <v>9800.0000000000018</v>
      </c>
      <c r="Q19" s="77">
        <f t="shared" si="1"/>
        <v>18200</v>
      </c>
      <c r="R19" s="76">
        <v>210</v>
      </c>
      <c r="S19" s="76">
        <v>210</v>
      </c>
      <c r="T19" s="76">
        <v>280</v>
      </c>
      <c r="U19" s="76">
        <v>280</v>
      </c>
      <c r="V19" s="76">
        <v>700</v>
      </c>
      <c r="W19" s="76">
        <v>2450</v>
      </c>
      <c r="X19" s="76">
        <f t="shared" si="2"/>
        <v>5130</v>
      </c>
    </row>
    <row r="20" spans="1:24" ht="14.4" x14ac:dyDescent="0.3">
      <c r="A20" s="70" t="s">
        <v>326</v>
      </c>
      <c r="B20" s="75">
        <v>1</v>
      </c>
      <c r="C20" s="76">
        <v>75000</v>
      </c>
      <c r="D20" s="79">
        <v>34.340659340659343</v>
      </c>
      <c r="E20" s="76">
        <f t="shared" si="0"/>
        <v>75000</v>
      </c>
      <c r="F20" s="72">
        <f t="shared" si="3"/>
        <v>49850</v>
      </c>
      <c r="G20" s="72">
        <f t="shared" si="4"/>
        <v>124850</v>
      </c>
      <c r="H20" s="77">
        <v>0</v>
      </c>
      <c r="I20" s="80">
        <v>0</v>
      </c>
      <c r="J20" s="76">
        <v>1000</v>
      </c>
      <c r="K20" s="76">
        <v>0</v>
      </c>
      <c r="L20" s="76">
        <v>5737.5</v>
      </c>
      <c r="M20" s="77">
        <v>2025</v>
      </c>
      <c r="N20" s="77">
        <v>1087.5</v>
      </c>
      <c r="O20" s="77">
        <v>150</v>
      </c>
      <c r="P20" s="77">
        <v>10500.000000000002</v>
      </c>
      <c r="Q20" s="77">
        <f t="shared" si="1"/>
        <v>19500</v>
      </c>
      <c r="R20" s="76">
        <v>225</v>
      </c>
      <c r="S20" s="76">
        <v>225</v>
      </c>
      <c r="T20" s="76">
        <v>300</v>
      </c>
      <c r="U20" s="76">
        <v>300</v>
      </c>
      <c r="V20" s="76">
        <v>750</v>
      </c>
      <c r="W20" s="76">
        <v>2625</v>
      </c>
      <c r="X20" s="76">
        <f t="shared" si="2"/>
        <v>5425</v>
      </c>
    </row>
    <row r="21" spans="1:24" ht="14.4" x14ac:dyDescent="0.3">
      <c r="A21" s="70" t="s">
        <v>327</v>
      </c>
      <c r="B21" s="75">
        <v>4</v>
      </c>
      <c r="C21" s="76">
        <v>50000</v>
      </c>
      <c r="D21" s="79">
        <v>22.893772893772894</v>
      </c>
      <c r="E21" s="76">
        <f t="shared" si="0"/>
        <v>200000</v>
      </c>
      <c r="F21" s="72">
        <f t="shared" si="3"/>
        <v>135600</v>
      </c>
      <c r="G21" s="72">
        <f t="shared" si="4"/>
        <v>335600</v>
      </c>
      <c r="H21" s="77">
        <v>0</v>
      </c>
      <c r="I21" s="80">
        <v>0</v>
      </c>
      <c r="J21" s="76">
        <v>4000</v>
      </c>
      <c r="K21" s="76">
        <v>0</v>
      </c>
      <c r="L21" s="76">
        <v>15300</v>
      </c>
      <c r="M21" s="77">
        <v>5400</v>
      </c>
      <c r="N21" s="77">
        <v>2900</v>
      </c>
      <c r="O21" s="77">
        <v>400</v>
      </c>
      <c r="P21" s="77">
        <v>28000.000000000004</v>
      </c>
      <c r="Q21" s="77">
        <f t="shared" si="1"/>
        <v>52000</v>
      </c>
      <c r="R21" s="76">
        <v>600</v>
      </c>
      <c r="S21" s="76">
        <v>600</v>
      </c>
      <c r="T21" s="76">
        <v>800</v>
      </c>
      <c r="U21" s="76">
        <v>800</v>
      </c>
      <c r="V21" s="76">
        <v>2000</v>
      </c>
      <c r="W21" s="76">
        <v>7000</v>
      </c>
      <c r="X21" s="76">
        <f t="shared" si="2"/>
        <v>15800</v>
      </c>
    </row>
    <row r="22" spans="1:24" ht="14.4" x14ac:dyDescent="0.3">
      <c r="A22" s="70" t="s">
        <v>328</v>
      </c>
      <c r="B22" s="75">
        <v>4</v>
      </c>
      <c r="C22" s="76">
        <v>72000</v>
      </c>
      <c r="D22" s="79">
        <v>32.967032967032964</v>
      </c>
      <c r="E22" s="76">
        <f t="shared" si="0"/>
        <v>288000</v>
      </c>
      <c r="F22" s="72">
        <f t="shared" si="3"/>
        <v>191744</v>
      </c>
      <c r="G22" s="72">
        <f t="shared" si="4"/>
        <v>479744</v>
      </c>
      <c r="H22" s="77">
        <v>0</v>
      </c>
      <c r="I22" s="80">
        <v>0</v>
      </c>
      <c r="J22" s="76">
        <v>4000</v>
      </c>
      <c r="K22" s="76">
        <v>0</v>
      </c>
      <c r="L22" s="76">
        <v>22032</v>
      </c>
      <c r="M22" s="77">
        <v>7776</v>
      </c>
      <c r="N22" s="77">
        <v>4176</v>
      </c>
      <c r="O22" s="77">
        <v>576</v>
      </c>
      <c r="P22" s="77">
        <v>40320.000000000007</v>
      </c>
      <c r="Q22" s="77">
        <f t="shared" si="1"/>
        <v>74880</v>
      </c>
      <c r="R22" s="76">
        <v>864</v>
      </c>
      <c r="S22" s="76">
        <v>864</v>
      </c>
      <c r="T22" s="76">
        <v>1152</v>
      </c>
      <c r="U22" s="76">
        <v>1152</v>
      </c>
      <c r="V22" s="76">
        <v>2880</v>
      </c>
      <c r="W22" s="76">
        <v>10080</v>
      </c>
      <c r="X22" s="76">
        <f t="shared" si="2"/>
        <v>20992</v>
      </c>
    </row>
    <row r="23" spans="1:24" ht="14.4" x14ac:dyDescent="0.3">
      <c r="A23" s="70" t="s">
        <v>329</v>
      </c>
      <c r="B23" s="75">
        <v>4</v>
      </c>
      <c r="C23" s="76">
        <v>47000</v>
      </c>
      <c r="D23" s="79">
        <v>21.520146520146522</v>
      </c>
      <c r="E23" s="76">
        <f t="shared" si="0"/>
        <v>188000</v>
      </c>
      <c r="F23" s="72">
        <f t="shared" si="3"/>
        <v>132420.19047619047</v>
      </c>
      <c r="G23" s="72">
        <f t="shared" si="4"/>
        <v>320420.19047619047</v>
      </c>
      <c r="H23" s="77">
        <v>0</v>
      </c>
      <c r="I23" s="80">
        <v>4476.1904761904761</v>
      </c>
      <c r="J23" s="76">
        <v>4000</v>
      </c>
      <c r="K23" s="76">
        <v>0</v>
      </c>
      <c r="L23" s="76">
        <v>14382</v>
      </c>
      <c r="M23" s="77">
        <v>5076</v>
      </c>
      <c r="N23" s="77">
        <v>2726</v>
      </c>
      <c r="O23" s="77">
        <v>376</v>
      </c>
      <c r="P23" s="77">
        <v>26320.000000000004</v>
      </c>
      <c r="Q23" s="77">
        <f t="shared" si="1"/>
        <v>48880</v>
      </c>
      <c r="R23" s="76">
        <v>564</v>
      </c>
      <c r="S23" s="76">
        <v>564</v>
      </c>
      <c r="T23" s="76">
        <v>752</v>
      </c>
      <c r="U23" s="76">
        <v>752</v>
      </c>
      <c r="V23" s="76">
        <v>1880</v>
      </c>
      <c r="W23" s="76">
        <v>6580</v>
      </c>
      <c r="X23" s="76">
        <f t="shared" si="2"/>
        <v>15092</v>
      </c>
    </row>
    <row r="24" spans="1:24" ht="14.4" x14ac:dyDescent="0.3">
      <c r="A24" s="70" t="s">
        <v>330</v>
      </c>
      <c r="B24" s="75">
        <v>4</v>
      </c>
      <c r="C24" s="76">
        <v>34000</v>
      </c>
      <c r="D24" s="79">
        <v>15.567765567765568</v>
      </c>
      <c r="E24" s="76">
        <f t="shared" si="0"/>
        <v>136000</v>
      </c>
      <c r="F24" s="72">
        <f t="shared" si="3"/>
        <v>98006.095238095237</v>
      </c>
      <c r="G24" s="72">
        <f t="shared" si="4"/>
        <v>234006.09523809524</v>
      </c>
      <c r="H24" s="77">
        <v>0</v>
      </c>
      <c r="I24" s="80">
        <v>3238.0952380952381</v>
      </c>
      <c r="J24" s="76">
        <v>4000</v>
      </c>
      <c r="K24" s="76">
        <v>0</v>
      </c>
      <c r="L24" s="76">
        <v>10404</v>
      </c>
      <c r="M24" s="77">
        <v>3672</v>
      </c>
      <c r="N24" s="77">
        <v>1972</v>
      </c>
      <c r="O24" s="77">
        <v>272</v>
      </c>
      <c r="P24" s="77">
        <v>19040</v>
      </c>
      <c r="Q24" s="77">
        <f t="shared" si="1"/>
        <v>35360</v>
      </c>
      <c r="R24" s="76">
        <v>408</v>
      </c>
      <c r="S24" s="76">
        <v>408</v>
      </c>
      <c r="T24" s="76">
        <v>544</v>
      </c>
      <c r="U24" s="76">
        <v>544</v>
      </c>
      <c r="V24" s="76">
        <v>1360</v>
      </c>
      <c r="W24" s="76">
        <v>4760</v>
      </c>
      <c r="X24" s="76">
        <f t="shared" si="2"/>
        <v>12024</v>
      </c>
    </row>
    <row r="25" spans="1:24" ht="14.4" x14ac:dyDescent="0.3">
      <c r="A25" s="70" t="s">
        <v>331</v>
      </c>
      <c r="B25" s="75">
        <v>4</v>
      </c>
      <c r="C25" s="76">
        <v>59000</v>
      </c>
      <c r="D25" s="79">
        <v>27.014652014652015</v>
      </c>
      <c r="E25" s="76">
        <f t="shared" si="0"/>
        <v>236000</v>
      </c>
      <c r="F25" s="72">
        <f t="shared" si="3"/>
        <v>164187.04761904763</v>
      </c>
      <c r="G25" s="72">
        <f t="shared" si="4"/>
        <v>400187.04761904763</v>
      </c>
      <c r="H25" s="77">
        <v>0</v>
      </c>
      <c r="I25" s="80">
        <v>5619.0476190476193</v>
      </c>
      <c r="J25" s="76">
        <v>4000</v>
      </c>
      <c r="K25" s="76">
        <v>0</v>
      </c>
      <c r="L25" s="76">
        <v>18054</v>
      </c>
      <c r="M25" s="77">
        <v>6372</v>
      </c>
      <c r="N25" s="77">
        <v>3422</v>
      </c>
      <c r="O25" s="77">
        <v>472</v>
      </c>
      <c r="P25" s="77">
        <v>33040</v>
      </c>
      <c r="Q25" s="77">
        <f t="shared" si="1"/>
        <v>61360</v>
      </c>
      <c r="R25" s="76">
        <v>708</v>
      </c>
      <c r="S25" s="76">
        <v>708</v>
      </c>
      <c r="T25" s="76">
        <v>944</v>
      </c>
      <c r="U25" s="76">
        <v>944</v>
      </c>
      <c r="V25" s="76">
        <v>2360</v>
      </c>
      <c r="W25" s="76">
        <v>8260</v>
      </c>
      <c r="X25" s="76">
        <f t="shared" si="2"/>
        <v>17924</v>
      </c>
    </row>
    <row r="26" spans="1:24" ht="14.4" x14ac:dyDescent="0.3">
      <c r="A26" s="70" t="s">
        <v>332</v>
      </c>
      <c r="B26" s="75">
        <v>16</v>
      </c>
      <c r="C26" s="76">
        <v>32000</v>
      </c>
      <c r="D26" s="79">
        <v>14.652014652014651</v>
      </c>
      <c r="E26" s="76">
        <f t="shared" si="0"/>
        <v>512000</v>
      </c>
      <c r="F26" s="72">
        <f t="shared" si="3"/>
        <v>370846.47619047621</v>
      </c>
      <c r="G26" s="72">
        <f t="shared" si="4"/>
        <v>882846.47619047621</v>
      </c>
      <c r="H26" s="77">
        <v>0</v>
      </c>
      <c r="I26" s="80">
        <v>12190.476190476191</v>
      </c>
      <c r="J26" s="76">
        <v>16000</v>
      </c>
      <c r="K26" s="76">
        <v>0</v>
      </c>
      <c r="L26" s="76">
        <v>39168</v>
      </c>
      <c r="M26" s="77">
        <v>13824</v>
      </c>
      <c r="N26" s="77">
        <v>7424</v>
      </c>
      <c r="O26" s="77">
        <v>1024</v>
      </c>
      <c r="P26" s="77">
        <v>71680</v>
      </c>
      <c r="Q26" s="77">
        <f t="shared" si="1"/>
        <v>133120</v>
      </c>
      <c r="R26" s="76">
        <v>1536</v>
      </c>
      <c r="S26" s="76">
        <v>1536</v>
      </c>
      <c r="T26" s="76">
        <v>2048</v>
      </c>
      <c r="U26" s="76">
        <v>2048</v>
      </c>
      <c r="V26" s="76">
        <v>5120</v>
      </c>
      <c r="W26" s="76">
        <v>17920</v>
      </c>
      <c r="X26" s="76">
        <f t="shared" si="2"/>
        <v>46208</v>
      </c>
    </row>
    <row r="27" spans="1:24" ht="14.4" x14ac:dyDescent="0.3">
      <c r="A27" s="70" t="s">
        <v>333</v>
      </c>
      <c r="B27" s="75">
        <v>1</v>
      </c>
      <c r="C27" s="76">
        <v>72000</v>
      </c>
      <c r="D27" s="79">
        <v>32.967032967032964</v>
      </c>
      <c r="E27" s="76">
        <f t="shared" si="0"/>
        <v>72000</v>
      </c>
      <c r="F27" s="72">
        <f t="shared" si="3"/>
        <v>47936</v>
      </c>
      <c r="G27" s="72">
        <f t="shared" si="4"/>
        <v>119936</v>
      </c>
      <c r="H27" s="77">
        <v>0</v>
      </c>
      <c r="I27" s="80">
        <v>0</v>
      </c>
      <c r="J27" s="76">
        <v>1000</v>
      </c>
      <c r="K27" s="76">
        <v>0</v>
      </c>
      <c r="L27" s="76">
        <v>5508</v>
      </c>
      <c r="M27" s="77">
        <v>1944</v>
      </c>
      <c r="N27" s="77">
        <v>1044</v>
      </c>
      <c r="O27" s="77">
        <v>144</v>
      </c>
      <c r="P27" s="77">
        <v>10080.000000000002</v>
      </c>
      <c r="Q27" s="77">
        <f t="shared" si="1"/>
        <v>18720</v>
      </c>
      <c r="R27" s="76">
        <v>216</v>
      </c>
      <c r="S27" s="76">
        <v>216</v>
      </c>
      <c r="T27" s="76">
        <v>288</v>
      </c>
      <c r="U27" s="76">
        <v>288</v>
      </c>
      <c r="V27" s="76">
        <v>720</v>
      </c>
      <c r="W27" s="76">
        <v>2520</v>
      </c>
      <c r="X27" s="76">
        <f t="shared" si="2"/>
        <v>5248</v>
      </c>
    </row>
    <row r="28" spans="1:24" ht="14.4" x14ac:dyDescent="0.3">
      <c r="A28" s="70" t="s">
        <v>334</v>
      </c>
      <c r="B28" s="75">
        <v>1</v>
      </c>
      <c r="C28" s="76">
        <v>45000</v>
      </c>
      <c r="D28" s="79">
        <v>20.604395604395606</v>
      </c>
      <c r="E28" s="76">
        <f t="shared" si="0"/>
        <v>45000</v>
      </c>
      <c r="F28" s="72">
        <f t="shared" si="3"/>
        <v>30710</v>
      </c>
      <c r="G28" s="72">
        <f t="shared" si="4"/>
        <v>75710</v>
      </c>
      <c r="H28" s="77">
        <v>0</v>
      </c>
      <c r="I28" s="80">
        <v>0</v>
      </c>
      <c r="J28" s="76">
        <v>1000</v>
      </c>
      <c r="K28" s="76">
        <v>0</v>
      </c>
      <c r="L28" s="76">
        <v>3442.5</v>
      </c>
      <c r="M28" s="77">
        <v>1215</v>
      </c>
      <c r="N28" s="77">
        <v>652.5</v>
      </c>
      <c r="O28" s="77">
        <v>90</v>
      </c>
      <c r="P28" s="77">
        <v>6300.0000000000009</v>
      </c>
      <c r="Q28" s="77">
        <f t="shared" si="1"/>
        <v>11700</v>
      </c>
      <c r="R28" s="76">
        <v>135</v>
      </c>
      <c r="S28" s="76">
        <v>135</v>
      </c>
      <c r="T28" s="76">
        <v>180</v>
      </c>
      <c r="U28" s="76">
        <v>180</v>
      </c>
      <c r="V28" s="76">
        <v>450</v>
      </c>
      <c r="W28" s="76">
        <v>1575</v>
      </c>
      <c r="X28" s="76">
        <f t="shared" si="2"/>
        <v>3655</v>
      </c>
    </row>
    <row r="29" spans="1:24" ht="14.4" x14ac:dyDescent="0.3">
      <c r="A29" s="70" t="s">
        <v>335</v>
      </c>
      <c r="B29" s="75">
        <v>1</v>
      </c>
      <c r="C29" s="76">
        <v>90000</v>
      </c>
      <c r="D29" s="79">
        <v>41.208791208791212</v>
      </c>
      <c r="E29" s="76">
        <f t="shared" si="0"/>
        <v>90000</v>
      </c>
      <c r="F29" s="72">
        <f t="shared" si="3"/>
        <v>59420</v>
      </c>
      <c r="G29" s="72">
        <f t="shared" si="4"/>
        <v>149420</v>
      </c>
      <c r="H29" s="77">
        <v>0</v>
      </c>
      <c r="I29" s="80">
        <v>0</v>
      </c>
      <c r="J29" s="76">
        <v>1000</v>
      </c>
      <c r="K29" s="76">
        <v>0</v>
      </c>
      <c r="L29" s="76">
        <v>6885</v>
      </c>
      <c r="M29" s="77">
        <v>2430</v>
      </c>
      <c r="N29" s="77">
        <v>1305</v>
      </c>
      <c r="O29" s="77">
        <v>180</v>
      </c>
      <c r="P29" s="77">
        <v>12600.000000000002</v>
      </c>
      <c r="Q29" s="77">
        <f t="shared" si="1"/>
        <v>23400</v>
      </c>
      <c r="R29" s="76">
        <v>270</v>
      </c>
      <c r="S29" s="76">
        <v>270</v>
      </c>
      <c r="T29" s="76">
        <v>360</v>
      </c>
      <c r="U29" s="76">
        <v>360</v>
      </c>
      <c r="V29" s="76">
        <v>900</v>
      </c>
      <c r="W29" s="76">
        <v>3150</v>
      </c>
      <c r="X29" s="76">
        <f t="shared" si="2"/>
        <v>6310</v>
      </c>
    </row>
    <row r="30" spans="1:24" x14ac:dyDescent="0.3">
      <c r="A30" s="70" t="s">
        <v>336</v>
      </c>
      <c r="B30" s="71">
        <f>SUM(B2:B29)</f>
        <v>127</v>
      </c>
      <c r="C30" s="76" t="s">
        <v>175</v>
      </c>
      <c r="D30" s="78" t="s">
        <v>175</v>
      </c>
      <c r="E30" s="76">
        <f>SUM(E2:E29)</f>
        <v>8192000</v>
      </c>
      <c r="F30" s="73">
        <f>SUM(F2:F29)</f>
        <v>5770954.9523809515</v>
      </c>
      <c r="G30" s="73">
        <f>SUM(G2:G29)</f>
        <v>13962954.952380953</v>
      </c>
      <c r="H30" s="76" t="s">
        <v>175</v>
      </c>
      <c r="I30" s="73">
        <f>SUM(I2:I29)</f>
        <v>88380.952380952396</v>
      </c>
      <c r="J30" s="76">
        <f>SUM(J3:J29)</f>
        <v>126000</v>
      </c>
      <c r="K30" s="76">
        <f>SUM(K5:K29)</f>
        <v>204000</v>
      </c>
      <c r="L30" s="76">
        <f>SUM(L2:L29)</f>
        <v>625727</v>
      </c>
      <c r="M30" s="76">
        <f>SUM(M2:M29)</f>
        <v>221184</v>
      </c>
      <c r="N30" s="76">
        <f>SUM(N2:N29)</f>
        <v>118784</v>
      </c>
      <c r="O30" s="76">
        <f>SUM(O2:O29)</f>
        <v>16384</v>
      </c>
      <c r="P30" s="76">
        <f>SUM(P2:P29)</f>
        <v>1146880</v>
      </c>
      <c r="Q30" s="77">
        <f>L30+M30+N30+O30+P30</f>
        <v>2128959</v>
      </c>
      <c r="R30" s="76">
        <f t="shared" ref="R30:W30" si="5">SUM(R2:R29)</f>
        <v>24576</v>
      </c>
      <c r="S30" s="76">
        <f t="shared" si="5"/>
        <v>24576</v>
      </c>
      <c r="T30" s="76">
        <f t="shared" si="5"/>
        <v>32768</v>
      </c>
      <c r="U30" s="76">
        <f t="shared" si="5"/>
        <v>32768</v>
      </c>
      <c r="V30" s="76">
        <f t="shared" si="5"/>
        <v>81920</v>
      </c>
      <c r="W30" s="76">
        <f t="shared" si="5"/>
        <v>286720</v>
      </c>
      <c r="X30" s="76">
        <f>J30+R30+S30+T30+U30+V30+W30</f>
        <v>609328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27A6-506D-4764-9EA4-1B9111D2AC8E}">
  <sheetPr codeName="Sheet10"/>
  <dimension ref="A1:G497"/>
  <sheetViews>
    <sheetView workbookViewId="0">
      <selection activeCell="D7" sqref="D7"/>
    </sheetView>
  </sheetViews>
  <sheetFormatPr defaultRowHeight="14.4" x14ac:dyDescent="0.3"/>
  <cols>
    <col min="1" max="6" width="20.6640625" style="21" customWidth="1"/>
    <col min="7" max="7" width="61.33203125" style="21" customWidth="1"/>
  </cols>
  <sheetData>
    <row r="1" spans="1:7" x14ac:dyDescent="0.3">
      <c r="A1" s="50" t="s">
        <v>0</v>
      </c>
      <c r="B1" s="50" t="s">
        <v>337</v>
      </c>
      <c r="C1" s="50" t="s">
        <v>338</v>
      </c>
      <c r="D1" s="50" t="s">
        <v>339</v>
      </c>
      <c r="E1" s="50"/>
      <c r="F1" s="50"/>
      <c r="G1" s="50" t="s">
        <v>7</v>
      </c>
    </row>
    <row r="2" spans="1:7" x14ac:dyDescent="0.3">
      <c r="A2" s="68" t="s">
        <v>389</v>
      </c>
      <c r="B2" s="22">
        <v>6.9699999999999998E-2</v>
      </c>
      <c r="C2" s="52">
        <v>23858999</v>
      </c>
      <c r="D2" s="52">
        <f>B2*C2</f>
        <v>1662972.2302999999</v>
      </c>
      <c r="E2" s="52"/>
      <c r="F2" s="60"/>
      <c r="G2" s="22"/>
    </row>
    <row r="3" spans="1:7" x14ac:dyDescent="0.3">
      <c r="A3" s="68" t="s">
        <v>390</v>
      </c>
      <c r="B3" s="22">
        <v>1.1999999999999999E-3</v>
      </c>
      <c r="C3" s="52">
        <f>(174529)</f>
        <v>174529</v>
      </c>
      <c r="D3" s="52">
        <f>(B3*C3)</f>
        <v>209.4348</v>
      </c>
      <c r="E3" s="52"/>
      <c r="F3" s="22"/>
      <c r="G3" s="22" t="s">
        <v>340</v>
      </c>
    </row>
    <row r="4" spans="1:7" ht="15" x14ac:dyDescent="0.3">
      <c r="A4" s="68" t="s">
        <v>391</v>
      </c>
      <c r="B4" s="22">
        <v>0.19350000000000001</v>
      </c>
      <c r="C4" s="31">
        <v>75.8</v>
      </c>
      <c r="D4" s="52">
        <f>B4*C4*8760</f>
        <v>128485.548</v>
      </c>
      <c r="E4" s="52"/>
      <c r="F4" s="22"/>
      <c r="G4" s="22"/>
    </row>
    <row r="5" spans="1:7" x14ac:dyDescent="0.3">
      <c r="A5" s="68" t="s">
        <v>392</v>
      </c>
      <c r="B5" s="67">
        <v>0</v>
      </c>
      <c r="C5" s="67">
        <v>0</v>
      </c>
      <c r="D5" s="67">
        <v>0</v>
      </c>
      <c r="E5" s="52"/>
      <c r="F5" s="22"/>
      <c r="G5" s="22"/>
    </row>
    <row r="6" spans="1:7" x14ac:dyDescent="0.3">
      <c r="A6" s="68" t="s">
        <v>393</v>
      </c>
      <c r="B6" s="67">
        <v>0</v>
      </c>
      <c r="C6" s="67">
        <v>0</v>
      </c>
      <c r="D6" s="67">
        <v>0</v>
      </c>
      <c r="E6" s="52"/>
      <c r="F6" s="22"/>
      <c r="G6" s="22"/>
    </row>
    <row r="7" spans="1:7" x14ac:dyDescent="0.3">
      <c r="A7" s="51" t="s">
        <v>280</v>
      </c>
      <c r="B7" s="67">
        <v>0</v>
      </c>
      <c r="C7" s="52">
        <v>0</v>
      </c>
      <c r="D7" s="52"/>
      <c r="E7" s="52"/>
      <c r="F7" s="22"/>
      <c r="G7" s="22"/>
    </row>
    <row r="8" spans="1:7" x14ac:dyDescent="0.3">
      <c r="A8" s="51"/>
      <c r="B8" s="22"/>
      <c r="C8" s="52"/>
      <c r="D8" s="52"/>
      <c r="E8" s="52"/>
      <c r="F8" s="22"/>
      <c r="G8" s="22"/>
    </row>
    <row r="9" spans="1:7" x14ac:dyDescent="0.3">
      <c r="A9" s="51"/>
      <c r="B9" s="22"/>
      <c r="C9" s="52"/>
      <c r="D9" s="52"/>
      <c r="E9" s="52"/>
      <c r="F9" s="22"/>
      <c r="G9" s="22"/>
    </row>
    <row r="10" spans="1:7" x14ac:dyDescent="0.3">
      <c r="A10" s="51"/>
      <c r="B10" s="22"/>
      <c r="C10" s="52"/>
      <c r="D10" s="52"/>
      <c r="E10" s="52"/>
      <c r="F10" s="22"/>
      <c r="G10" s="22"/>
    </row>
    <row r="11" spans="1:7" x14ac:dyDescent="0.3">
      <c r="A11" s="51"/>
      <c r="B11" s="22"/>
      <c r="C11" s="52"/>
      <c r="D11" s="52"/>
      <c r="E11" s="52"/>
      <c r="F11" s="22"/>
      <c r="G11" s="22"/>
    </row>
    <row r="12" spans="1:7" x14ac:dyDescent="0.3">
      <c r="A12" s="51"/>
      <c r="B12" s="22"/>
      <c r="C12" s="52"/>
      <c r="D12" s="52"/>
      <c r="E12" s="52"/>
      <c r="F12" s="22"/>
      <c r="G12" s="22"/>
    </row>
    <row r="13" spans="1:7" x14ac:dyDescent="0.3">
      <c r="A13" s="51"/>
      <c r="B13" s="22"/>
      <c r="C13" s="31"/>
      <c r="D13" s="31"/>
      <c r="E13" s="52"/>
      <c r="F13" s="22"/>
      <c r="G13" s="22"/>
    </row>
    <row r="14" spans="1:7" x14ac:dyDescent="0.3">
      <c r="A14" s="51"/>
      <c r="B14" s="22"/>
      <c r="C14" s="31"/>
      <c r="D14" s="31"/>
      <c r="E14" s="31"/>
      <c r="F14" s="22"/>
      <c r="G14" s="22"/>
    </row>
    <row r="15" spans="1:7" x14ac:dyDescent="0.3">
      <c r="A15" s="51"/>
      <c r="B15" s="22"/>
      <c r="C15" s="31"/>
      <c r="D15" s="31"/>
      <c r="E15" s="31"/>
      <c r="F15" s="22"/>
      <c r="G15" s="22"/>
    </row>
    <row r="16" spans="1:7" x14ac:dyDescent="0.3">
      <c r="A16" s="51"/>
      <c r="B16" s="22"/>
      <c r="C16" s="31"/>
      <c r="D16" s="31"/>
      <c r="E16" s="31"/>
      <c r="F16" s="22"/>
      <c r="G16" s="22"/>
    </row>
    <row r="17" spans="1:7" x14ac:dyDescent="0.3">
      <c r="A17" s="51"/>
      <c r="B17" s="22"/>
      <c r="C17" s="31"/>
      <c r="D17" s="31"/>
      <c r="E17" s="31"/>
      <c r="F17" s="22"/>
      <c r="G17" s="22"/>
    </row>
    <row r="18" spans="1:7" x14ac:dyDescent="0.3">
      <c r="A18" s="51"/>
      <c r="B18" s="22"/>
      <c r="C18" s="31"/>
      <c r="D18" s="31"/>
      <c r="E18" s="31"/>
      <c r="F18" s="22"/>
      <c r="G18" s="22"/>
    </row>
    <row r="19" spans="1:7" x14ac:dyDescent="0.3">
      <c r="A19" s="51"/>
      <c r="B19" s="22"/>
      <c r="C19" s="31"/>
      <c r="D19" s="31"/>
      <c r="E19" s="31"/>
      <c r="F19" s="22"/>
      <c r="G19" s="22"/>
    </row>
    <row r="20" spans="1:7" x14ac:dyDescent="0.3">
      <c r="A20" s="51"/>
      <c r="B20" s="22"/>
      <c r="C20" s="31"/>
      <c r="D20" s="31"/>
      <c r="E20" s="31"/>
      <c r="F20" s="22"/>
      <c r="G20" s="22"/>
    </row>
    <row r="21" spans="1:7" x14ac:dyDescent="0.3">
      <c r="A21" s="51"/>
      <c r="B21" s="22"/>
      <c r="C21" s="31"/>
      <c r="D21" s="31"/>
      <c r="E21" s="31"/>
      <c r="F21" s="22"/>
      <c r="G21" s="22"/>
    </row>
    <row r="22" spans="1:7" x14ac:dyDescent="0.3">
      <c r="A22" s="51"/>
      <c r="B22" s="22"/>
      <c r="C22" s="31"/>
      <c r="D22" s="31"/>
      <c r="E22" s="31"/>
      <c r="F22" s="22"/>
      <c r="G22" s="22"/>
    </row>
    <row r="23" spans="1:7" x14ac:dyDescent="0.3">
      <c r="A23" s="51"/>
      <c r="B23" s="22"/>
      <c r="C23" s="31"/>
      <c r="D23" s="31"/>
      <c r="E23" s="31"/>
      <c r="F23" s="22"/>
      <c r="G23" s="22"/>
    </row>
    <row r="24" spans="1:7" x14ac:dyDescent="0.3">
      <c r="A24" s="51"/>
      <c r="B24" s="22"/>
      <c r="C24" s="31"/>
      <c r="D24" s="31"/>
      <c r="E24" s="31"/>
      <c r="F24" s="22"/>
      <c r="G24" s="22"/>
    </row>
    <row r="25" spans="1:7" x14ac:dyDescent="0.3">
      <c r="A25" s="51"/>
      <c r="B25" s="22"/>
      <c r="C25" s="31"/>
      <c r="D25" s="31"/>
      <c r="E25" s="31"/>
      <c r="F25" s="22"/>
      <c r="G25" s="22"/>
    </row>
    <row r="26" spans="1:7" x14ac:dyDescent="0.3">
      <c r="A26" s="51"/>
      <c r="B26" s="22"/>
      <c r="C26" s="31"/>
      <c r="D26" s="31"/>
      <c r="E26" s="31"/>
      <c r="F26" s="22"/>
      <c r="G26" s="22"/>
    </row>
    <row r="27" spans="1:7" x14ac:dyDescent="0.3">
      <c r="A27" s="51"/>
      <c r="B27" s="22"/>
      <c r="C27" s="31"/>
      <c r="D27" s="31"/>
      <c r="E27" s="31"/>
      <c r="F27" s="22"/>
      <c r="G27" s="22"/>
    </row>
    <row r="28" spans="1:7" x14ac:dyDescent="0.3">
      <c r="A28" s="51"/>
      <c r="B28" s="22"/>
      <c r="C28" s="31"/>
      <c r="D28" s="31"/>
      <c r="E28" s="31"/>
      <c r="F28" s="22"/>
      <c r="G28" s="22"/>
    </row>
    <row r="29" spans="1:7" x14ac:dyDescent="0.3">
      <c r="A29" s="51"/>
      <c r="B29" s="22"/>
      <c r="C29" s="31"/>
      <c r="D29" s="31"/>
      <c r="E29" s="31"/>
      <c r="F29" s="22"/>
      <c r="G29" s="22"/>
    </row>
    <row r="30" spans="1:7" x14ac:dyDescent="0.3">
      <c r="A30" s="51"/>
      <c r="B30" s="22"/>
      <c r="C30" s="31"/>
      <c r="D30" s="31"/>
      <c r="E30" s="31"/>
      <c r="F30" s="22"/>
      <c r="G30" s="22"/>
    </row>
    <row r="31" spans="1:7" x14ac:dyDescent="0.3">
      <c r="A31" s="51"/>
      <c r="B31" s="22"/>
      <c r="C31" s="31"/>
      <c r="D31" s="31"/>
      <c r="E31" s="31"/>
      <c r="F31" s="22"/>
      <c r="G31" s="22"/>
    </row>
    <row r="32" spans="1:7" x14ac:dyDescent="0.3">
      <c r="A32" s="51"/>
      <c r="B32" s="22"/>
      <c r="C32" s="31"/>
      <c r="D32" s="31"/>
      <c r="E32" s="31"/>
      <c r="F32" s="22"/>
      <c r="G32" s="22"/>
    </row>
    <row r="33" spans="1:7" x14ac:dyDescent="0.3">
      <c r="A33" s="51"/>
      <c r="B33" s="22"/>
      <c r="C33" s="31"/>
      <c r="D33" s="31"/>
      <c r="E33" s="31"/>
      <c r="F33" s="22"/>
      <c r="G33" s="22"/>
    </row>
    <row r="34" spans="1:7" x14ac:dyDescent="0.3">
      <c r="A34" s="51"/>
      <c r="B34" s="22"/>
      <c r="C34" s="31"/>
      <c r="D34" s="31"/>
      <c r="E34" s="31"/>
      <c r="F34" s="22"/>
      <c r="G34" s="22"/>
    </row>
    <row r="35" spans="1:7" x14ac:dyDescent="0.3">
      <c r="A35" s="51"/>
      <c r="B35" s="22"/>
      <c r="C35" s="31"/>
      <c r="D35" s="31"/>
      <c r="E35" s="31"/>
      <c r="F35" s="22"/>
      <c r="G35" s="22"/>
    </row>
    <row r="36" spans="1:7" x14ac:dyDescent="0.3">
      <c r="A36" s="51"/>
      <c r="B36" s="22"/>
      <c r="C36" s="31"/>
      <c r="D36" s="31"/>
      <c r="E36" s="31"/>
      <c r="F36" s="22"/>
      <c r="G36" s="22"/>
    </row>
    <row r="37" spans="1:7" x14ac:dyDescent="0.3">
      <c r="A37" s="51"/>
      <c r="B37" s="22"/>
      <c r="C37" s="31"/>
      <c r="D37" s="31"/>
      <c r="E37" s="31"/>
      <c r="F37" s="22"/>
      <c r="G37" s="22"/>
    </row>
    <row r="38" spans="1:7" x14ac:dyDescent="0.3">
      <c r="A38" s="51"/>
      <c r="B38" s="22"/>
      <c r="C38" s="31"/>
      <c r="D38" s="31"/>
      <c r="E38" s="31"/>
      <c r="F38" s="22"/>
      <c r="G38" s="22"/>
    </row>
    <row r="39" spans="1:7" x14ac:dyDescent="0.3">
      <c r="A39" s="51"/>
      <c r="B39" s="22"/>
      <c r="C39" s="31"/>
      <c r="D39" s="31"/>
      <c r="E39" s="31"/>
      <c r="F39" s="22"/>
      <c r="G39" s="22"/>
    </row>
    <row r="40" spans="1:7" x14ac:dyDescent="0.3">
      <c r="A40" s="51"/>
      <c r="B40" s="22"/>
      <c r="C40" s="31"/>
      <c r="D40" s="31"/>
      <c r="E40" s="31"/>
      <c r="F40" s="22"/>
      <c r="G40" s="22"/>
    </row>
    <row r="41" spans="1:7" x14ac:dyDescent="0.3">
      <c r="A41" s="51"/>
      <c r="B41" s="22"/>
      <c r="C41" s="31"/>
      <c r="D41" s="31"/>
      <c r="E41" s="31"/>
      <c r="F41" s="22"/>
      <c r="G41" s="22"/>
    </row>
    <row r="42" spans="1:7" x14ac:dyDescent="0.3">
      <c r="A42" s="51"/>
      <c r="B42" s="22"/>
      <c r="C42" s="31"/>
      <c r="D42" s="31"/>
      <c r="E42" s="31"/>
      <c r="F42" s="22"/>
      <c r="G42" s="22"/>
    </row>
    <row r="43" spans="1:7" x14ac:dyDescent="0.3">
      <c r="A43" s="51"/>
      <c r="B43" s="22"/>
      <c r="C43" s="31"/>
      <c r="D43" s="31"/>
      <c r="E43" s="31"/>
      <c r="F43" s="22"/>
      <c r="G43" s="22"/>
    </row>
    <row r="44" spans="1:7" x14ac:dyDescent="0.3">
      <c r="A44" s="51"/>
      <c r="B44" s="22"/>
      <c r="C44" s="31"/>
      <c r="D44" s="31"/>
      <c r="E44" s="31"/>
      <c r="F44" s="22"/>
      <c r="G44" s="22"/>
    </row>
    <row r="45" spans="1:7" x14ac:dyDescent="0.3">
      <c r="A45" s="51"/>
      <c r="B45" s="22"/>
      <c r="C45" s="31"/>
      <c r="D45" s="31"/>
      <c r="E45" s="31"/>
      <c r="F45" s="22"/>
      <c r="G45" s="22"/>
    </row>
    <row r="46" spans="1:7" x14ac:dyDescent="0.3">
      <c r="A46" s="51"/>
      <c r="B46" s="22"/>
      <c r="C46" s="31"/>
      <c r="D46" s="31"/>
      <c r="E46" s="31"/>
      <c r="F46" s="22"/>
      <c r="G46" s="22"/>
    </row>
    <row r="47" spans="1:7" x14ac:dyDescent="0.3">
      <c r="A47" s="51"/>
      <c r="B47" s="22"/>
      <c r="C47" s="31"/>
      <c r="D47" s="31"/>
      <c r="E47" s="31"/>
      <c r="F47" s="22"/>
      <c r="G47" s="22"/>
    </row>
    <row r="48" spans="1:7" x14ac:dyDescent="0.3">
      <c r="A48" s="51"/>
      <c r="B48" s="22"/>
      <c r="C48" s="31"/>
      <c r="D48" s="31"/>
      <c r="E48" s="31"/>
      <c r="F48" s="22"/>
      <c r="G48" s="22"/>
    </row>
    <row r="49" spans="1:7" x14ac:dyDescent="0.3">
      <c r="A49" s="51"/>
      <c r="B49" s="22"/>
      <c r="C49" s="31"/>
      <c r="D49" s="31"/>
      <c r="E49" s="31"/>
      <c r="F49" s="22"/>
      <c r="G49" s="22"/>
    </row>
    <row r="50" spans="1:7" x14ac:dyDescent="0.3">
      <c r="A50" s="51"/>
      <c r="B50" s="22"/>
      <c r="C50" s="31"/>
      <c r="D50" s="31"/>
      <c r="E50" s="31"/>
      <c r="F50" s="22"/>
      <c r="G50" s="22"/>
    </row>
    <row r="51" spans="1:7" x14ac:dyDescent="0.3">
      <c r="A51" s="51"/>
      <c r="B51" s="22"/>
      <c r="C51" s="31"/>
      <c r="D51" s="31"/>
      <c r="E51" s="31"/>
      <c r="F51" s="22"/>
      <c r="G51" s="22"/>
    </row>
    <row r="52" spans="1:7" x14ac:dyDescent="0.3">
      <c r="A52" s="51"/>
      <c r="B52" s="22"/>
      <c r="C52" s="31"/>
      <c r="D52" s="31"/>
      <c r="E52" s="31"/>
      <c r="F52" s="22"/>
      <c r="G52" s="22"/>
    </row>
    <row r="53" spans="1:7" x14ac:dyDescent="0.3">
      <c r="A53" s="51"/>
      <c r="B53" s="22"/>
      <c r="C53" s="31"/>
      <c r="D53" s="31"/>
      <c r="E53" s="31"/>
      <c r="F53" s="22"/>
      <c r="G53" s="22"/>
    </row>
    <row r="54" spans="1:7" x14ac:dyDescent="0.3">
      <c r="A54" s="51"/>
      <c r="B54" s="22"/>
      <c r="C54" s="31"/>
      <c r="D54" s="31"/>
      <c r="E54" s="31"/>
      <c r="F54" s="22"/>
      <c r="G54" s="22"/>
    </row>
    <row r="55" spans="1:7" x14ac:dyDescent="0.3">
      <c r="A55" s="51"/>
      <c r="B55" s="22"/>
      <c r="C55" s="31"/>
      <c r="D55" s="31"/>
      <c r="E55" s="31"/>
      <c r="F55" s="22"/>
      <c r="G55" s="22"/>
    </row>
    <row r="56" spans="1:7" x14ac:dyDescent="0.3">
      <c r="A56" s="51"/>
      <c r="B56" s="22"/>
      <c r="C56" s="31"/>
      <c r="D56" s="31"/>
      <c r="E56" s="31"/>
      <c r="F56" s="22"/>
      <c r="G56" s="22"/>
    </row>
    <row r="57" spans="1:7" x14ac:dyDescent="0.3">
      <c r="A57" s="51"/>
      <c r="B57" s="22"/>
      <c r="C57" s="31"/>
      <c r="D57" s="31"/>
      <c r="E57" s="31"/>
      <c r="F57" s="22"/>
      <c r="G57" s="22"/>
    </row>
    <row r="58" spans="1:7" x14ac:dyDescent="0.3">
      <c r="A58" s="51"/>
      <c r="B58" s="22"/>
      <c r="C58" s="31"/>
      <c r="D58" s="31"/>
      <c r="E58" s="31"/>
      <c r="F58" s="22"/>
      <c r="G58" s="22"/>
    </row>
    <row r="59" spans="1:7" x14ac:dyDescent="0.3">
      <c r="A59" s="51"/>
      <c r="B59" s="22"/>
      <c r="C59" s="31"/>
      <c r="D59" s="31"/>
      <c r="E59" s="31"/>
      <c r="F59" s="22"/>
      <c r="G59" s="22"/>
    </row>
    <row r="60" spans="1:7" x14ac:dyDescent="0.3">
      <c r="A60" s="51"/>
      <c r="B60" s="22"/>
      <c r="C60" s="31"/>
      <c r="D60" s="31"/>
      <c r="E60" s="31"/>
      <c r="F60" s="22"/>
      <c r="G60" s="22"/>
    </row>
    <row r="61" spans="1:7" x14ac:dyDescent="0.3">
      <c r="A61" s="51"/>
      <c r="B61" s="22"/>
      <c r="C61" s="31"/>
      <c r="D61" s="31"/>
      <c r="E61" s="31"/>
      <c r="F61" s="22"/>
      <c r="G61" s="22"/>
    </row>
    <row r="62" spans="1:7" x14ac:dyDescent="0.3">
      <c r="A62" s="51"/>
      <c r="B62" s="22"/>
      <c r="C62" s="31"/>
      <c r="D62" s="31"/>
      <c r="E62" s="31"/>
      <c r="F62" s="22"/>
      <c r="G62" s="22"/>
    </row>
    <row r="63" spans="1:7" x14ac:dyDescent="0.3">
      <c r="A63" s="51"/>
      <c r="B63" s="22"/>
      <c r="C63" s="31"/>
      <c r="D63" s="31"/>
      <c r="E63" s="31"/>
      <c r="F63" s="22"/>
      <c r="G63" s="22"/>
    </row>
    <row r="64" spans="1:7" x14ac:dyDescent="0.3">
      <c r="A64" s="51"/>
      <c r="B64" s="22"/>
      <c r="C64" s="31"/>
      <c r="D64" s="31"/>
      <c r="E64" s="31"/>
      <c r="F64" s="22"/>
      <c r="G64" s="22"/>
    </row>
    <row r="65" spans="1:7" x14ac:dyDescent="0.3">
      <c r="A65" s="51"/>
      <c r="B65" s="22"/>
      <c r="C65" s="31"/>
      <c r="D65" s="31"/>
      <c r="E65" s="31"/>
      <c r="F65" s="22"/>
      <c r="G65" s="22"/>
    </row>
    <row r="66" spans="1:7" x14ac:dyDescent="0.3">
      <c r="A66" s="51"/>
      <c r="B66" s="22"/>
      <c r="C66" s="31"/>
      <c r="D66" s="31"/>
      <c r="E66" s="31"/>
      <c r="F66" s="22"/>
      <c r="G66" s="22"/>
    </row>
    <row r="67" spans="1:7" x14ac:dyDescent="0.3">
      <c r="A67" s="51"/>
      <c r="B67" s="22"/>
      <c r="C67" s="31"/>
      <c r="D67" s="31"/>
      <c r="E67" s="31"/>
      <c r="F67" s="22"/>
      <c r="G67" s="22"/>
    </row>
    <row r="68" spans="1:7" x14ac:dyDescent="0.3">
      <c r="A68" s="51"/>
      <c r="B68" s="22"/>
      <c r="C68" s="31"/>
      <c r="D68" s="31"/>
      <c r="E68" s="31"/>
      <c r="F68" s="22"/>
      <c r="G68" s="22"/>
    </row>
    <row r="69" spans="1:7" x14ac:dyDescent="0.3">
      <c r="A69" s="51"/>
      <c r="B69" s="22"/>
      <c r="C69" s="31"/>
      <c r="D69" s="31"/>
      <c r="E69" s="31"/>
      <c r="F69" s="22"/>
      <c r="G69" s="22"/>
    </row>
    <row r="70" spans="1:7" x14ac:dyDescent="0.3">
      <c r="A70" s="51"/>
      <c r="B70" s="22"/>
      <c r="C70" s="31"/>
      <c r="D70" s="31"/>
      <c r="E70" s="31"/>
      <c r="F70" s="22"/>
      <c r="G70" s="22"/>
    </row>
    <row r="71" spans="1:7" x14ac:dyDescent="0.3">
      <c r="A71" s="51"/>
      <c r="B71" s="22"/>
      <c r="C71" s="31"/>
      <c r="D71" s="31"/>
      <c r="E71" s="31"/>
      <c r="F71" s="22"/>
      <c r="G71" s="22"/>
    </row>
    <row r="72" spans="1:7" x14ac:dyDescent="0.3">
      <c r="A72" s="51"/>
      <c r="B72" s="22"/>
      <c r="C72" s="31"/>
      <c r="D72" s="31"/>
      <c r="E72" s="31"/>
      <c r="F72" s="22"/>
      <c r="G72" s="22"/>
    </row>
    <row r="73" spans="1:7" x14ac:dyDescent="0.3">
      <c r="A73" s="51"/>
      <c r="B73" s="22"/>
      <c r="C73" s="31"/>
      <c r="D73" s="31"/>
      <c r="E73" s="31"/>
      <c r="F73" s="22"/>
      <c r="G73" s="22"/>
    </row>
    <row r="74" spans="1:7" x14ac:dyDescent="0.3">
      <c r="A74" s="51"/>
      <c r="B74" s="22"/>
      <c r="C74" s="31"/>
      <c r="D74" s="31"/>
      <c r="E74" s="31"/>
      <c r="F74" s="22"/>
      <c r="G74" s="22"/>
    </row>
    <row r="75" spans="1:7" x14ac:dyDescent="0.3">
      <c r="A75" s="51"/>
      <c r="B75" s="22"/>
      <c r="C75" s="31"/>
      <c r="D75" s="31"/>
      <c r="E75" s="31"/>
      <c r="F75" s="22"/>
      <c r="G75" s="22"/>
    </row>
    <row r="76" spans="1:7" x14ac:dyDescent="0.3">
      <c r="A76" s="51"/>
      <c r="B76" s="22"/>
      <c r="C76" s="31"/>
      <c r="D76" s="31"/>
      <c r="E76" s="31"/>
      <c r="F76" s="22"/>
      <c r="G76" s="22"/>
    </row>
    <row r="77" spans="1:7" x14ac:dyDescent="0.3">
      <c r="A77" s="51"/>
      <c r="B77" s="22"/>
      <c r="C77" s="31"/>
      <c r="D77" s="31"/>
      <c r="E77" s="31"/>
      <c r="F77" s="22"/>
      <c r="G77" s="22"/>
    </row>
    <row r="78" spans="1:7" x14ac:dyDescent="0.3">
      <c r="A78" s="51"/>
      <c r="B78" s="22"/>
      <c r="C78" s="31"/>
      <c r="D78" s="31"/>
      <c r="E78" s="31"/>
      <c r="F78" s="22"/>
      <c r="G78" s="22"/>
    </row>
    <row r="79" spans="1:7" x14ac:dyDescent="0.3">
      <c r="A79" s="51"/>
      <c r="B79" s="22"/>
      <c r="C79" s="31"/>
      <c r="D79" s="31"/>
      <c r="E79" s="31"/>
      <c r="F79" s="22"/>
      <c r="G79" s="22"/>
    </row>
    <row r="80" spans="1:7" x14ac:dyDescent="0.3">
      <c r="A80" s="51"/>
      <c r="B80" s="22"/>
      <c r="C80" s="31"/>
      <c r="D80" s="31"/>
      <c r="E80" s="31"/>
      <c r="F80" s="22"/>
      <c r="G80" s="22"/>
    </row>
    <row r="81" spans="1:7" x14ac:dyDescent="0.3">
      <c r="A81" s="51"/>
      <c r="B81" s="22"/>
      <c r="C81" s="31"/>
      <c r="D81" s="31"/>
      <c r="E81" s="31"/>
      <c r="F81" s="22"/>
      <c r="G81" s="22"/>
    </row>
    <row r="82" spans="1:7" x14ac:dyDescent="0.3">
      <c r="A82" s="51"/>
      <c r="B82" s="22"/>
      <c r="C82" s="31"/>
      <c r="D82" s="31"/>
      <c r="E82" s="31"/>
      <c r="F82" s="22"/>
      <c r="G82" s="22"/>
    </row>
    <row r="83" spans="1:7" x14ac:dyDescent="0.3">
      <c r="A83" s="51"/>
      <c r="B83" s="22"/>
      <c r="C83" s="31"/>
      <c r="D83" s="31"/>
      <c r="E83" s="31"/>
      <c r="F83" s="22"/>
      <c r="G83" s="22"/>
    </row>
    <row r="84" spans="1:7" x14ac:dyDescent="0.3">
      <c r="A84" s="51"/>
      <c r="B84" s="22"/>
      <c r="C84" s="31"/>
      <c r="D84" s="31"/>
      <c r="E84" s="31"/>
      <c r="F84" s="22"/>
      <c r="G84" s="22"/>
    </row>
    <row r="85" spans="1:7" x14ac:dyDescent="0.3">
      <c r="A85" s="51"/>
      <c r="B85" s="22"/>
      <c r="C85" s="31"/>
      <c r="D85" s="31"/>
      <c r="E85" s="31"/>
      <c r="F85" s="22"/>
      <c r="G85" s="22"/>
    </row>
    <row r="86" spans="1:7" x14ac:dyDescent="0.3">
      <c r="A86" s="51"/>
      <c r="B86" s="22"/>
      <c r="C86" s="31"/>
      <c r="D86" s="31"/>
      <c r="E86" s="31"/>
      <c r="F86" s="22"/>
      <c r="G86" s="22"/>
    </row>
    <row r="87" spans="1:7" x14ac:dyDescent="0.3">
      <c r="A87" s="51"/>
      <c r="B87" s="22"/>
      <c r="C87" s="31"/>
      <c r="D87" s="31"/>
      <c r="E87" s="31"/>
      <c r="F87" s="22"/>
      <c r="G87" s="22"/>
    </row>
    <row r="88" spans="1:7" x14ac:dyDescent="0.3">
      <c r="A88" s="51"/>
      <c r="B88" s="22"/>
      <c r="C88" s="31"/>
      <c r="D88" s="31"/>
      <c r="E88" s="31"/>
      <c r="F88" s="22"/>
      <c r="G88" s="22"/>
    </row>
    <row r="89" spans="1:7" x14ac:dyDescent="0.3">
      <c r="A89" s="51"/>
      <c r="B89" s="22"/>
      <c r="C89" s="31"/>
      <c r="D89" s="31"/>
      <c r="E89" s="31"/>
      <c r="F89" s="22"/>
      <c r="G89" s="22"/>
    </row>
    <row r="90" spans="1:7" x14ac:dyDescent="0.3">
      <c r="A90" s="51"/>
      <c r="B90" s="22"/>
      <c r="C90" s="31"/>
      <c r="D90" s="31"/>
      <c r="E90" s="31"/>
      <c r="F90" s="22"/>
      <c r="G90" s="22"/>
    </row>
    <row r="91" spans="1:7" x14ac:dyDescent="0.3">
      <c r="A91" s="51"/>
      <c r="B91" s="22"/>
      <c r="C91" s="31"/>
      <c r="D91" s="31"/>
      <c r="E91" s="31"/>
      <c r="F91" s="22"/>
      <c r="G91" s="22"/>
    </row>
    <row r="92" spans="1:7" x14ac:dyDescent="0.3">
      <c r="A92" s="51"/>
      <c r="B92" s="22"/>
      <c r="C92" s="31"/>
      <c r="D92" s="31"/>
      <c r="E92" s="31"/>
      <c r="F92" s="22"/>
      <c r="G92" s="22"/>
    </row>
    <row r="93" spans="1:7" x14ac:dyDescent="0.3">
      <c r="A93" s="51"/>
      <c r="B93" s="22"/>
      <c r="C93" s="31"/>
      <c r="D93" s="31"/>
      <c r="E93" s="31"/>
      <c r="F93" s="22"/>
      <c r="G93" s="22"/>
    </row>
    <row r="94" spans="1:7" x14ac:dyDescent="0.3">
      <c r="A94" s="51"/>
      <c r="B94" s="22"/>
      <c r="C94" s="31"/>
      <c r="D94" s="31"/>
      <c r="E94" s="31"/>
      <c r="F94" s="22"/>
      <c r="G94" s="22"/>
    </row>
    <row r="95" spans="1:7" x14ac:dyDescent="0.3">
      <c r="A95" s="51"/>
      <c r="B95" s="22"/>
      <c r="C95" s="31"/>
      <c r="D95" s="31"/>
      <c r="E95" s="31"/>
      <c r="F95" s="22"/>
      <c r="G95" s="22"/>
    </row>
    <row r="96" spans="1:7" x14ac:dyDescent="0.3">
      <c r="A96" s="51"/>
      <c r="B96" s="22"/>
      <c r="C96" s="31"/>
      <c r="D96" s="31"/>
      <c r="E96" s="31"/>
      <c r="F96" s="22"/>
      <c r="G96" s="22"/>
    </row>
    <row r="97" spans="1:7" x14ac:dyDescent="0.3">
      <c r="A97" s="51"/>
      <c r="B97" s="22"/>
      <c r="C97" s="31"/>
      <c r="D97" s="31"/>
      <c r="E97" s="31"/>
      <c r="F97" s="22"/>
      <c r="G97" s="22"/>
    </row>
    <row r="98" spans="1:7" x14ac:dyDescent="0.3">
      <c r="A98" s="51"/>
      <c r="B98" s="22"/>
      <c r="C98" s="31"/>
      <c r="D98" s="31"/>
      <c r="E98" s="31"/>
      <c r="F98" s="22"/>
      <c r="G98" s="22"/>
    </row>
    <row r="99" spans="1:7" x14ac:dyDescent="0.3">
      <c r="A99" s="51"/>
      <c r="B99" s="22"/>
      <c r="C99" s="31"/>
      <c r="D99" s="31"/>
      <c r="E99" s="31"/>
      <c r="F99" s="22"/>
      <c r="G99" s="22"/>
    </row>
    <row r="100" spans="1:7" x14ac:dyDescent="0.3">
      <c r="A100" s="51"/>
      <c r="B100" s="22"/>
      <c r="C100" s="31"/>
      <c r="D100" s="31"/>
      <c r="E100" s="31"/>
      <c r="F100" s="22"/>
      <c r="G100" s="22"/>
    </row>
    <row r="101" spans="1:7" x14ac:dyDescent="0.3">
      <c r="A101" s="51"/>
      <c r="B101" s="22"/>
      <c r="C101" s="31"/>
      <c r="D101" s="31"/>
      <c r="E101" s="31"/>
      <c r="F101" s="22"/>
      <c r="G101" s="22"/>
    </row>
    <row r="102" spans="1:7" x14ac:dyDescent="0.3">
      <c r="A102" s="51"/>
      <c r="B102" s="22"/>
      <c r="C102" s="31"/>
      <c r="D102" s="31"/>
      <c r="E102" s="31"/>
      <c r="F102" s="22"/>
      <c r="G102" s="22"/>
    </row>
    <row r="103" spans="1:7" x14ac:dyDescent="0.3">
      <c r="A103" s="51"/>
      <c r="B103" s="22"/>
      <c r="C103" s="31"/>
      <c r="D103" s="31"/>
      <c r="E103" s="31"/>
      <c r="F103" s="22"/>
      <c r="G103" s="22"/>
    </row>
    <row r="104" spans="1:7" x14ac:dyDescent="0.3">
      <c r="A104" s="51"/>
      <c r="B104" s="22"/>
      <c r="C104" s="31"/>
      <c r="D104" s="31"/>
      <c r="E104" s="31"/>
      <c r="F104" s="22"/>
      <c r="G104" s="22"/>
    </row>
    <row r="105" spans="1:7" x14ac:dyDescent="0.3">
      <c r="A105" s="51"/>
      <c r="B105" s="22"/>
      <c r="C105" s="31"/>
      <c r="D105" s="31"/>
      <c r="E105" s="31"/>
      <c r="F105" s="22"/>
      <c r="G105" s="22"/>
    </row>
    <row r="106" spans="1:7" x14ac:dyDescent="0.3">
      <c r="A106" s="51"/>
      <c r="B106" s="22"/>
      <c r="C106" s="31"/>
      <c r="D106" s="31"/>
      <c r="E106" s="31"/>
      <c r="F106" s="22"/>
      <c r="G106" s="22"/>
    </row>
    <row r="107" spans="1:7" x14ac:dyDescent="0.3">
      <c r="A107" s="51"/>
      <c r="B107" s="22"/>
      <c r="C107" s="31"/>
      <c r="D107" s="31"/>
      <c r="E107" s="31"/>
      <c r="F107" s="22"/>
      <c r="G107" s="22"/>
    </row>
    <row r="108" spans="1:7" x14ac:dyDescent="0.3">
      <c r="A108" s="51"/>
      <c r="B108" s="22"/>
      <c r="C108" s="31"/>
      <c r="D108" s="31"/>
      <c r="E108" s="31"/>
      <c r="F108" s="22"/>
      <c r="G108" s="22"/>
    </row>
    <row r="109" spans="1:7" x14ac:dyDescent="0.3">
      <c r="A109" s="51"/>
      <c r="B109" s="22"/>
      <c r="C109" s="31"/>
      <c r="D109" s="31"/>
      <c r="E109" s="31"/>
      <c r="F109" s="22"/>
      <c r="G109" s="22"/>
    </row>
    <row r="110" spans="1:7" x14ac:dyDescent="0.3">
      <c r="A110" s="51"/>
      <c r="B110" s="22"/>
      <c r="C110" s="31"/>
      <c r="D110" s="31"/>
      <c r="E110" s="31"/>
      <c r="F110" s="22"/>
      <c r="G110" s="22"/>
    </row>
    <row r="111" spans="1:7" x14ac:dyDescent="0.3">
      <c r="A111" s="51"/>
      <c r="B111" s="22"/>
      <c r="C111" s="31"/>
      <c r="D111" s="31"/>
      <c r="E111" s="31"/>
      <c r="F111" s="22"/>
      <c r="G111" s="22"/>
    </row>
    <row r="112" spans="1:7" x14ac:dyDescent="0.3">
      <c r="A112" s="51"/>
      <c r="B112" s="22"/>
      <c r="C112" s="31"/>
      <c r="D112" s="31"/>
      <c r="E112" s="31"/>
      <c r="F112" s="22"/>
      <c r="G112" s="22"/>
    </row>
    <row r="113" spans="1:7" x14ac:dyDescent="0.3">
      <c r="A113" s="51"/>
      <c r="B113" s="22"/>
      <c r="C113" s="31"/>
      <c r="D113" s="31"/>
      <c r="E113" s="31"/>
      <c r="F113" s="22"/>
      <c r="G113" s="22"/>
    </row>
    <row r="114" spans="1:7" x14ac:dyDescent="0.3">
      <c r="A114" s="51"/>
      <c r="B114" s="22"/>
      <c r="C114" s="31"/>
      <c r="D114" s="31"/>
      <c r="E114" s="31"/>
      <c r="F114" s="22"/>
      <c r="G114" s="22"/>
    </row>
    <row r="115" spans="1:7" x14ac:dyDescent="0.3">
      <c r="A115" s="51"/>
      <c r="B115" s="22"/>
      <c r="C115" s="31"/>
      <c r="D115" s="31"/>
      <c r="E115" s="31"/>
      <c r="F115" s="22"/>
      <c r="G115" s="22"/>
    </row>
    <row r="116" spans="1:7" x14ac:dyDescent="0.3">
      <c r="A116" s="51"/>
      <c r="B116" s="22"/>
      <c r="C116" s="31"/>
      <c r="D116" s="31"/>
      <c r="E116" s="31"/>
      <c r="F116" s="22"/>
      <c r="G116" s="22"/>
    </row>
    <row r="117" spans="1:7" x14ac:dyDescent="0.3">
      <c r="A117" s="51"/>
      <c r="B117" s="22"/>
      <c r="C117" s="31"/>
      <c r="D117" s="31"/>
      <c r="E117" s="31"/>
      <c r="F117" s="22"/>
      <c r="G117" s="22"/>
    </row>
    <row r="118" spans="1:7" x14ac:dyDescent="0.3">
      <c r="A118" s="51"/>
      <c r="B118" s="22"/>
      <c r="C118" s="31"/>
      <c r="D118" s="31"/>
      <c r="E118" s="31"/>
      <c r="F118" s="22"/>
      <c r="G118" s="22"/>
    </row>
    <row r="119" spans="1:7" x14ac:dyDescent="0.3">
      <c r="A119" s="51"/>
      <c r="B119" s="22"/>
      <c r="C119" s="31"/>
      <c r="D119" s="31"/>
      <c r="E119" s="31"/>
      <c r="F119" s="22"/>
      <c r="G119" s="22"/>
    </row>
    <row r="120" spans="1:7" x14ac:dyDescent="0.3">
      <c r="A120" s="51"/>
      <c r="B120" s="22"/>
      <c r="C120" s="31"/>
      <c r="D120" s="31"/>
      <c r="E120" s="31"/>
      <c r="F120" s="22"/>
      <c r="G120" s="22"/>
    </row>
    <row r="121" spans="1:7" x14ac:dyDescent="0.3">
      <c r="A121" s="51"/>
      <c r="B121" s="22"/>
      <c r="C121" s="31"/>
      <c r="D121" s="31"/>
      <c r="E121" s="31"/>
      <c r="F121" s="22"/>
      <c r="G121" s="22"/>
    </row>
    <row r="122" spans="1:7" x14ac:dyDescent="0.3">
      <c r="A122" s="51"/>
      <c r="B122" s="22"/>
      <c r="C122" s="31"/>
      <c r="D122" s="31"/>
      <c r="E122" s="31"/>
      <c r="F122" s="22"/>
      <c r="G122" s="22"/>
    </row>
    <row r="123" spans="1:7" x14ac:dyDescent="0.3">
      <c r="A123" s="51"/>
      <c r="B123" s="22"/>
      <c r="C123" s="31"/>
      <c r="D123" s="31"/>
      <c r="E123" s="31"/>
      <c r="F123" s="22"/>
      <c r="G123" s="22"/>
    </row>
    <row r="124" spans="1:7" x14ac:dyDescent="0.3">
      <c r="A124" s="51"/>
      <c r="B124" s="22"/>
      <c r="C124" s="31"/>
      <c r="D124" s="31"/>
      <c r="E124" s="31"/>
      <c r="F124" s="22"/>
      <c r="G124" s="22"/>
    </row>
    <row r="125" spans="1:7" x14ac:dyDescent="0.3">
      <c r="A125" s="51"/>
      <c r="B125" s="22"/>
      <c r="C125" s="31"/>
      <c r="D125" s="31"/>
      <c r="E125" s="31"/>
      <c r="F125" s="22"/>
      <c r="G125" s="22"/>
    </row>
    <row r="126" spans="1:7" x14ac:dyDescent="0.3">
      <c r="A126" s="51"/>
      <c r="B126" s="22"/>
      <c r="C126" s="31"/>
      <c r="D126" s="31"/>
      <c r="E126" s="31"/>
      <c r="F126" s="22"/>
      <c r="G126" s="22"/>
    </row>
    <row r="127" spans="1:7" x14ac:dyDescent="0.3">
      <c r="A127" s="51"/>
      <c r="B127" s="22"/>
      <c r="C127" s="31"/>
      <c r="D127" s="31"/>
      <c r="E127" s="31"/>
      <c r="F127" s="22"/>
      <c r="G127" s="22"/>
    </row>
    <row r="128" spans="1:7" x14ac:dyDescent="0.3">
      <c r="A128" s="51"/>
      <c r="B128" s="22"/>
      <c r="C128" s="31"/>
      <c r="D128" s="31"/>
      <c r="E128" s="31"/>
      <c r="F128" s="22"/>
      <c r="G128" s="22"/>
    </row>
    <row r="129" spans="1:7" x14ac:dyDescent="0.3">
      <c r="A129" s="51"/>
      <c r="B129" s="22"/>
      <c r="C129" s="31"/>
      <c r="D129" s="31"/>
      <c r="E129" s="31"/>
      <c r="F129" s="22"/>
      <c r="G129" s="22"/>
    </row>
    <row r="130" spans="1:7" x14ac:dyDescent="0.3">
      <c r="A130" s="51"/>
      <c r="B130" s="22"/>
      <c r="C130" s="31"/>
      <c r="D130" s="31"/>
      <c r="E130" s="31"/>
      <c r="F130" s="22"/>
      <c r="G130" s="22"/>
    </row>
    <row r="131" spans="1:7" x14ac:dyDescent="0.3">
      <c r="A131" s="51"/>
      <c r="B131" s="22"/>
      <c r="C131" s="31"/>
      <c r="D131" s="31"/>
      <c r="E131" s="31"/>
      <c r="F131" s="22"/>
      <c r="G131" s="22"/>
    </row>
    <row r="132" spans="1:7" x14ac:dyDescent="0.3">
      <c r="A132" s="51"/>
      <c r="B132" s="22"/>
      <c r="C132" s="31"/>
      <c r="D132" s="31"/>
      <c r="E132" s="31"/>
      <c r="F132" s="22"/>
      <c r="G132" s="22"/>
    </row>
    <row r="133" spans="1:7" x14ac:dyDescent="0.3">
      <c r="A133" s="51"/>
      <c r="B133" s="22"/>
      <c r="C133" s="31"/>
      <c r="D133" s="31"/>
      <c r="E133" s="31"/>
      <c r="F133" s="22"/>
      <c r="G133" s="22"/>
    </row>
    <row r="134" spans="1:7" x14ac:dyDescent="0.3">
      <c r="A134" s="51"/>
      <c r="B134" s="22"/>
      <c r="C134" s="31"/>
      <c r="D134" s="31"/>
      <c r="E134" s="31"/>
      <c r="F134" s="22"/>
      <c r="G134" s="22"/>
    </row>
    <row r="135" spans="1:7" x14ac:dyDescent="0.3">
      <c r="A135" s="51"/>
      <c r="B135" s="22"/>
      <c r="C135" s="31"/>
      <c r="D135" s="31"/>
      <c r="E135" s="31"/>
      <c r="F135" s="22"/>
      <c r="G135" s="22"/>
    </row>
    <row r="136" spans="1:7" x14ac:dyDescent="0.3">
      <c r="A136" s="51"/>
      <c r="B136" s="22"/>
      <c r="C136" s="31"/>
      <c r="D136" s="31"/>
      <c r="E136" s="31"/>
      <c r="F136" s="22"/>
      <c r="G136" s="22"/>
    </row>
    <row r="137" spans="1:7" x14ac:dyDescent="0.3">
      <c r="A137" s="51"/>
      <c r="B137" s="22"/>
      <c r="C137" s="31"/>
      <c r="D137" s="31"/>
      <c r="E137" s="31"/>
      <c r="F137" s="22"/>
      <c r="G137" s="22"/>
    </row>
    <row r="138" spans="1:7" x14ac:dyDescent="0.3">
      <c r="A138" s="51"/>
      <c r="B138" s="22"/>
      <c r="C138" s="31"/>
      <c r="D138" s="31"/>
      <c r="E138" s="31"/>
      <c r="F138" s="22"/>
      <c r="G138" s="22"/>
    </row>
    <row r="139" spans="1:7" x14ac:dyDescent="0.3">
      <c r="A139" s="51"/>
      <c r="B139" s="22"/>
      <c r="C139" s="31"/>
      <c r="D139" s="31"/>
      <c r="E139" s="31"/>
      <c r="F139" s="22"/>
      <c r="G139" s="22"/>
    </row>
    <row r="140" spans="1:7" x14ac:dyDescent="0.3">
      <c r="A140" s="51"/>
      <c r="B140" s="22"/>
      <c r="C140" s="31"/>
      <c r="D140" s="31"/>
      <c r="E140" s="31"/>
      <c r="F140" s="22"/>
      <c r="G140" s="22"/>
    </row>
    <row r="141" spans="1:7" x14ac:dyDescent="0.3">
      <c r="A141" s="51"/>
      <c r="B141" s="22"/>
      <c r="C141" s="31"/>
      <c r="D141" s="31"/>
      <c r="E141" s="31"/>
      <c r="F141" s="22"/>
      <c r="G141" s="22"/>
    </row>
    <row r="142" spans="1:7" x14ac:dyDescent="0.3">
      <c r="A142" s="51"/>
      <c r="B142" s="22"/>
      <c r="C142" s="31"/>
      <c r="D142" s="31"/>
      <c r="E142" s="31"/>
      <c r="F142" s="22"/>
      <c r="G142" s="22"/>
    </row>
    <row r="143" spans="1:7" x14ac:dyDescent="0.3">
      <c r="A143" s="51"/>
      <c r="B143" s="22"/>
      <c r="C143" s="31"/>
      <c r="D143" s="31"/>
      <c r="E143" s="31"/>
      <c r="F143" s="22"/>
      <c r="G143" s="22"/>
    </row>
    <row r="144" spans="1:7" x14ac:dyDescent="0.3">
      <c r="A144" s="51"/>
      <c r="B144" s="22"/>
      <c r="C144" s="31"/>
      <c r="D144" s="31"/>
      <c r="E144" s="31"/>
      <c r="F144" s="22"/>
      <c r="G144" s="22"/>
    </row>
    <row r="145" spans="1:7" x14ac:dyDescent="0.3">
      <c r="A145" s="51"/>
      <c r="B145" s="22"/>
      <c r="C145" s="31"/>
      <c r="D145" s="31"/>
      <c r="E145" s="31"/>
      <c r="F145" s="22"/>
      <c r="G145" s="22"/>
    </row>
    <row r="146" spans="1:7" x14ac:dyDescent="0.3">
      <c r="A146" s="51"/>
      <c r="B146" s="22"/>
      <c r="C146" s="31"/>
      <c r="D146" s="31"/>
      <c r="E146" s="31"/>
      <c r="F146" s="22"/>
      <c r="G146" s="22"/>
    </row>
    <row r="147" spans="1:7" x14ac:dyDescent="0.3">
      <c r="A147" s="51"/>
      <c r="B147" s="22"/>
      <c r="C147" s="31"/>
      <c r="D147" s="31"/>
      <c r="E147" s="31"/>
      <c r="F147" s="22"/>
      <c r="G147" s="22"/>
    </row>
    <row r="148" spans="1:7" x14ac:dyDescent="0.3">
      <c r="A148" s="51"/>
      <c r="B148" s="22"/>
      <c r="C148" s="31"/>
      <c r="D148" s="31"/>
      <c r="E148" s="31"/>
      <c r="F148" s="22"/>
      <c r="G148" s="22"/>
    </row>
    <row r="149" spans="1:7" x14ac:dyDescent="0.3">
      <c r="A149" s="51"/>
      <c r="B149" s="22"/>
      <c r="C149" s="31"/>
      <c r="D149" s="31"/>
      <c r="E149" s="31"/>
      <c r="F149" s="22"/>
      <c r="G149" s="22"/>
    </row>
    <row r="150" spans="1:7" x14ac:dyDescent="0.3">
      <c r="A150" s="51"/>
      <c r="B150" s="22"/>
      <c r="C150" s="31"/>
      <c r="D150" s="31"/>
      <c r="E150" s="31"/>
      <c r="F150" s="22"/>
      <c r="G150" s="22"/>
    </row>
    <row r="151" spans="1:7" x14ac:dyDescent="0.3">
      <c r="A151" s="51"/>
      <c r="B151" s="22"/>
      <c r="C151" s="31"/>
      <c r="D151" s="31"/>
      <c r="E151" s="31"/>
      <c r="F151" s="22"/>
      <c r="G151" s="22"/>
    </row>
    <row r="152" spans="1:7" x14ac:dyDescent="0.3">
      <c r="A152" s="51"/>
      <c r="B152" s="22"/>
      <c r="C152" s="31"/>
      <c r="D152" s="31"/>
      <c r="E152" s="31"/>
      <c r="F152" s="22"/>
      <c r="G152" s="22"/>
    </row>
    <row r="153" spans="1:7" x14ac:dyDescent="0.3">
      <c r="A153" s="51"/>
      <c r="B153" s="22"/>
      <c r="C153" s="31"/>
      <c r="D153" s="31"/>
      <c r="E153" s="31"/>
      <c r="F153" s="22"/>
      <c r="G153" s="22"/>
    </row>
    <row r="154" spans="1:7" x14ac:dyDescent="0.3">
      <c r="A154" s="51"/>
      <c r="B154" s="22"/>
      <c r="C154" s="31"/>
      <c r="D154" s="31"/>
      <c r="E154" s="31"/>
      <c r="F154" s="22"/>
      <c r="G154" s="22"/>
    </row>
    <row r="155" spans="1:7" x14ac:dyDescent="0.3">
      <c r="A155" s="51"/>
      <c r="B155" s="22"/>
      <c r="C155" s="31"/>
      <c r="D155" s="31"/>
      <c r="E155" s="31"/>
      <c r="F155" s="22"/>
      <c r="G155" s="22"/>
    </row>
    <row r="156" spans="1:7" x14ac:dyDescent="0.3">
      <c r="A156" s="51"/>
      <c r="B156" s="22"/>
      <c r="C156" s="31"/>
      <c r="D156" s="31"/>
      <c r="E156" s="31"/>
      <c r="F156" s="22"/>
      <c r="G156" s="22"/>
    </row>
    <row r="157" spans="1:7" x14ac:dyDescent="0.3">
      <c r="A157" s="51"/>
      <c r="B157" s="22"/>
      <c r="C157" s="31"/>
      <c r="D157" s="31"/>
      <c r="E157" s="31"/>
      <c r="F157" s="22"/>
      <c r="G157" s="22"/>
    </row>
    <row r="158" spans="1:7" x14ac:dyDescent="0.3">
      <c r="A158" s="51"/>
      <c r="B158" s="22"/>
      <c r="C158" s="31"/>
      <c r="D158" s="31"/>
      <c r="E158" s="31"/>
      <c r="F158" s="22"/>
      <c r="G158" s="22"/>
    </row>
    <row r="159" spans="1:7" x14ac:dyDescent="0.3">
      <c r="A159" s="51"/>
      <c r="B159" s="22"/>
      <c r="C159" s="31"/>
      <c r="D159" s="31"/>
      <c r="E159" s="31"/>
      <c r="F159" s="22"/>
      <c r="G159" s="22"/>
    </row>
    <row r="160" spans="1:7" x14ac:dyDescent="0.3">
      <c r="A160" s="51"/>
      <c r="B160" s="22"/>
      <c r="C160" s="31"/>
      <c r="D160" s="31"/>
      <c r="E160" s="31"/>
      <c r="F160" s="22"/>
      <c r="G160" s="22"/>
    </row>
    <row r="161" spans="1:7" x14ac:dyDescent="0.3">
      <c r="A161" s="51"/>
      <c r="B161" s="22"/>
      <c r="C161" s="31"/>
      <c r="D161" s="31"/>
      <c r="E161" s="31"/>
      <c r="F161" s="22"/>
      <c r="G161" s="22"/>
    </row>
    <row r="162" spans="1:7" x14ac:dyDescent="0.3">
      <c r="A162" s="51"/>
      <c r="B162" s="22"/>
      <c r="C162" s="31"/>
      <c r="D162" s="31"/>
      <c r="E162" s="31"/>
      <c r="F162" s="22"/>
      <c r="G162" s="22"/>
    </row>
    <row r="163" spans="1:7" x14ac:dyDescent="0.3">
      <c r="A163" s="51"/>
      <c r="B163" s="22"/>
      <c r="C163" s="31"/>
      <c r="D163" s="31"/>
      <c r="E163" s="31"/>
      <c r="F163" s="22"/>
      <c r="G163" s="22"/>
    </row>
    <row r="164" spans="1:7" x14ac:dyDescent="0.3">
      <c r="A164" s="51"/>
      <c r="B164" s="22"/>
      <c r="C164" s="31"/>
      <c r="D164" s="31"/>
      <c r="E164" s="31"/>
      <c r="F164" s="22"/>
      <c r="G164" s="22"/>
    </row>
    <row r="165" spans="1:7" x14ac:dyDescent="0.3">
      <c r="A165" s="51"/>
      <c r="B165" s="22"/>
      <c r="C165" s="31"/>
      <c r="D165" s="31"/>
      <c r="E165" s="31"/>
      <c r="F165" s="22"/>
      <c r="G165" s="22"/>
    </row>
    <row r="166" spans="1:7" x14ac:dyDescent="0.3">
      <c r="A166" s="51"/>
      <c r="B166" s="22"/>
      <c r="C166" s="31"/>
      <c r="D166" s="31"/>
      <c r="E166" s="31"/>
      <c r="F166" s="22"/>
      <c r="G166" s="22"/>
    </row>
    <row r="167" spans="1:7" x14ac:dyDescent="0.3">
      <c r="A167" s="51"/>
      <c r="B167" s="22"/>
      <c r="C167" s="31"/>
      <c r="D167" s="31"/>
      <c r="E167" s="31"/>
      <c r="F167" s="22"/>
      <c r="G167" s="22"/>
    </row>
    <row r="168" spans="1:7" x14ac:dyDescent="0.3">
      <c r="A168" s="51"/>
      <c r="B168" s="22"/>
      <c r="C168" s="31"/>
      <c r="D168" s="31"/>
      <c r="E168" s="31"/>
      <c r="F168" s="22"/>
      <c r="G168" s="22"/>
    </row>
    <row r="169" spans="1:7" x14ac:dyDescent="0.3">
      <c r="A169" s="51"/>
      <c r="B169" s="22"/>
      <c r="C169" s="31"/>
      <c r="D169" s="31"/>
      <c r="E169" s="31"/>
      <c r="F169" s="22"/>
      <c r="G169" s="22"/>
    </row>
    <row r="170" spans="1:7" x14ac:dyDescent="0.3">
      <c r="A170" s="51"/>
      <c r="B170" s="22"/>
      <c r="C170" s="31"/>
      <c r="D170" s="31"/>
      <c r="E170" s="31"/>
      <c r="F170" s="22"/>
      <c r="G170" s="22"/>
    </row>
    <row r="171" spans="1:7" x14ac:dyDescent="0.3">
      <c r="A171" s="51"/>
      <c r="B171" s="22"/>
      <c r="C171" s="31"/>
      <c r="D171" s="31"/>
      <c r="E171" s="31"/>
      <c r="F171" s="22"/>
      <c r="G171" s="22"/>
    </row>
    <row r="172" spans="1:7" x14ac:dyDescent="0.3">
      <c r="A172" s="51"/>
      <c r="B172" s="22"/>
      <c r="C172" s="31"/>
      <c r="D172" s="31"/>
      <c r="E172" s="31"/>
      <c r="F172" s="22"/>
      <c r="G172" s="22"/>
    </row>
    <row r="173" spans="1:7" x14ac:dyDescent="0.3">
      <c r="A173" s="51"/>
      <c r="B173" s="22"/>
      <c r="C173" s="31"/>
      <c r="D173" s="31"/>
      <c r="E173" s="31"/>
      <c r="F173" s="22"/>
      <c r="G173" s="22"/>
    </row>
    <row r="174" spans="1:7" x14ac:dyDescent="0.3">
      <c r="A174" s="51"/>
      <c r="B174" s="22"/>
      <c r="C174" s="31"/>
      <c r="D174" s="31"/>
      <c r="E174" s="31"/>
      <c r="F174" s="22"/>
      <c r="G174" s="22"/>
    </row>
    <row r="175" spans="1:7" x14ac:dyDescent="0.3">
      <c r="A175" s="51"/>
      <c r="B175" s="22"/>
      <c r="C175" s="31"/>
      <c r="D175" s="31"/>
      <c r="E175" s="31"/>
      <c r="F175" s="22"/>
      <c r="G175" s="22"/>
    </row>
    <row r="176" spans="1:7" x14ac:dyDescent="0.3">
      <c r="A176" s="51"/>
      <c r="B176" s="22"/>
      <c r="C176" s="31"/>
      <c r="D176" s="31"/>
      <c r="E176" s="31"/>
      <c r="F176" s="22"/>
      <c r="G176" s="22"/>
    </row>
    <row r="177" spans="1:7" x14ac:dyDescent="0.3">
      <c r="A177" s="51"/>
      <c r="B177" s="22"/>
      <c r="C177" s="31"/>
      <c r="D177" s="31"/>
      <c r="E177" s="31"/>
      <c r="F177" s="22"/>
      <c r="G177" s="22"/>
    </row>
    <row r="178" spans="1:7" x14ac:dyDescent="0.3">
      <c r="A178" s="51"/>
      <c r="B178" s="22"/>
      <c r="C178" s="31"/>
      <c r="D178" s="31"/>
      <c r="E178" s="31"/>
      <c r="F178" s="22"/>
      <c r="G178" s="22"/>
    </row>
    <row r="179" spans="1:7" x14ac:dyDescent="0.3">
      <c r="A179" s="51"/>
      <c r="B179" s="22"/>
      <c r="C179" s="31"/>
      <c r="D179" s="31"/>
      <c r="E179" s="31"/>
      <c r="F179" s="22"/>
      <c r="G179" s="22"/>
    </row>
    <row r="180" spans="1:7" x14ac:dyDescent="0.3">
      <c r="A180" s="51"/>
      <c r="B180" s="22"/>
      <c r="C180" s="31"/>
      <c r="D180" s="31"/>
      <c r="E180" s="31"/>
      <c r="F180" s="22"/>
      <c r="G180" s="22"/>
    </row>
    <row r="181" spans="1:7" x14ac:dyDescent="0.3">
      <c r="A181" s="51"/>
      <c r="B181" s="22"/>
      <c r="C181" s="31"/>
      <c r="D181" s="31"/>
      <c r="E181" s="31"/>
      <c r="F181" s="22"/>
      <c r="G181" s="22"/>
    </row>
    <row r="182" spans="1:7" x14ac:dyDescent="0.3">
      <c r="A182" s="51"/>
      <c r="B182" s="22"/>
      <c r="C182" s="31"/>
      <c r="D182" s="31"/>
      <c r="E182" s="31"/>
      <c r="F182" s="22"/>
      <c r="G182" s="22"/>
    </row>
    <row r="183" spans="1:7" x14ac:dyDescent="0.3">
      <c r="A183" s="51"/>
      <c r="B183" s="22"/>
      <c r="C183" s="31"/>
      <c r="D183" s="31"/>
      <c r="E183" s="31"/>
      <c r="F183" s="22"/>
      <c r="G183" s="22"/>
    </row>
    <row r="184" spans="1:7" x14ac:dyDescent="0.3">
      <c r="A184" s="51"/>
      <c r="B184" s="22"/>
      <c r="C184" s="31"/>
      <c r="D184" s="31"/>
      <c r="E184" s="31"/>
      <c r="F184" s="22"/>
      <c r="G184" s="22"/>
    </row>
    <row r="185" spans="1:7" x14ac:dyDescent="0.3">
      <c r="A185" s="51"/>
      <c r="B185" s="22"/>
      <c r="C185" s="31"/>
      <c r="D185" s="31"/>
      <c r="E185" s="31"/>
      <c r="F185" s="22"/>
      <c r="G185" s="22"/>
    </row>
    <row r="186" spans="1:7" x14ac:dyDescent="0.3">
      <c r="A186" s="51"/>
      <c r="B186" s="22"/>
      <c r="C186" s="31"/>
      <c r="D186" s="31"/>
      <c r="E186" s="31"/>
      <c r="F186" s="22"/>
      <c r="G186" s="22"/>
    </row>
    <row r="187" spans="1:7" x14ac:dyDescent="0.3">
      <c r="A187" s="51"/>
      <c r="B187" s="22"/>
      <c r="C187" s="31"/>
      <c r="D187" s="31"/>
      <c r="E187" s="31"/>
      <c r="F187" s="22"/>
      <c r="G187" s="22"/>
    </row>
    <row r="188" spans="1:7" x14ac:dyDescent="0.3">
      <c r="A188" s="51"/>
      <c r="B188" s="22"/>
      <c r="C188" s="31"/>
      <c r="D188" s="31"/>
      <c r="E188" s="31"/>
      <c r="F188" s="22"/>
      <c r="G188" s="22"/>
    </row>
    <row r="189" spans="1:7" x14ac:dyDescent="0.3">
      <c r="A189" s="51"/>
      <c r="B189" s="22"/>
      <c r="C189" s="31"/>
      <c r="D189" s="31"/>
      <c r="E189" s="31"/>
      <c r="F189" s="22"/>
      <c r="G189" s="22"/>
    </row>
    <row r="190" spans="1:7" x14ac:dyDescent="0.3">
      <c r="A190" s="51"/>
      <c r="B190" s="22"/>
      <c r="C190" s="31"/>
      <c r="D190" s="31"/>
      <c r="E190" s="31"/>
      <c r="F190" s="22"/>
      <c r="G190" s="22"/>
    </row>
    <row r="191" spans="1:7" x14ac:dyDescent="0.3">
      <c r="A191" s="51"/>
      <c r="B191" s="22"/>
      <c r="C191" s="31"/>
      <c r="D191" s="31"/>
      <c r="E191" s="31"/>
      <c r="F191" s="22"/>
      <c r="G191" s="22"/>
    </row>
    <row r="192" spans="1:7" x14ac:dyDescent="0.3">
      <c r="A192" s="51"/>
      <c r="B192" s="22"/>
      <c r="C192" s="31"/>
      <c r="D192" s="31"/>
      <c r="E192" s="31"/>
      <c r="F192" s="22"/>
      <c r="G192" s="22"/>
    </row>
    <row r="193" spans="1:7" x14ac:dyDescent="0.3">
      <c r="A193" s="51"/>
      <c r="B193" s="22"/>
      <c r="C193" s="31"/>
      <c r="D193" s="31"/>
      <c r="E193" s="31"/>
      <c r="F193" s="22"/>
      <c r="G193" s="22"/>
    </row>
    <row r="194" spans="1:7" x14ac:dyDescent="0.3">
      <c r="A194" s="51"/>
      <c r="B194" s="22"/>
      <c r="C194" s="31"/>
      <c r="D194" s="31"/>
      <c r="E194" s="31"/>
      <c r="F194" s="22"/>
      <c r="G194" s="22"/>
    </row>
    <row r="195" spans="1:7" x14ac:dyDescent="0.3">
      <c r="A195" s="51"/>
      <c r="B195" s="22"/>
      <c r="C195" s="31"/>
      <c r="D195" s="31"/>
      <c r="E195" s="31"/>
      <c r="F195" s="22"/>
      <c r="G195" s="22"/>
    </row>
    <row r="196" spans="1:7" x14ac:dyDescent="0.3">
      <c r="A196" s="51"/>
      <c r="B196" s="22"/>
      <c r="C196" s="31"/>
      <c r="D196" s="31"/>
      <c r="E196" s="31"/>
      <c r="F196" s="22"/>
      <c r="G196" s="22"/>
    </row>
    <row r="197" spans="1:7" x14ac:dyDescent="0.3">
      <c r="A197" s="51"/>
      <c r="B197" s="22"/>
      <c r="C197" s="31"/>
      <c r="D197" s="31"/>
      <c r="E197" s="31"/>
      <c r="F197" s="22"/>
      <c r="G197" s="22"/>
    </row>
    <row r="198" spans="1:7" x14ac:dyDescent="0.3">
      <c r="A198" s="51"/>
      <c r="B198" s="22"/>
      <c r="C198" s="31"/>
      <c r="D198" s="31"/>
      <c r="E198" s="31"/>
      <c r="F198" s="22"/>
      <c r="G198" s="22"/>
    </row>
    <row r="199" spans="1:7" x14ac:dyDescent="0.3">
      <c r="A199" s="51"/>
      <c r="B199" s="22"/>
      <c r="C199" s="31"/>
      <c r="D199" s="31"/>
      <c r="E199" s="31"/>
      <c r="F199" s="22"/>
      <c r="G199" s="22"/>
    </row>
    <row r="200" spans="1:7" x14ac:dyDescent="0.3">
      <c r="A200" s="51"/>
      <c r="B200" s="22"/>
      <c r="C200" s="31"/>
      <c r="D200" s="31"/>
      <c r="E200" s="31"/>
      <c r="F200" s="22"/>
      <c r="G200" s="22"/>
    </row>
    <row r="201" spans="1:7" x14ac:dyDescent="0.3">
      <c r="A201" s="51"/>
      <c r="B201" s="22"/>
      <c r="C201" s="31"/>
      <c r="D201" s="31"/>
      <c r="E201" s="31"/>
      <c r="F201" s="22"/>
      <c r="G201" s="22"/>
    </row>
    <row r="202" spans="1:7" x14ac:dyDescent="0.3">
      <c r="A202" s="51"/>
      <c r="B202" s="22"/>
      <c r="C202" s="31"/>
      <c r="D202" s="31"/>
      <c r="E202" s="31"/>
      <c r="F202" s="22"/>
      <c r="G202" s="22"/>
    </row>
    <row r="203" spans="1:7" x14ac:dyDescent="0.3">
      <c r="A203" s="51"/>
      <c r="B203" s="22"/>
      <c r="C203" s="31"/>
      <c r="D203" s="31"/>
      <c r="E203" s="31"/>
      <c r="F203" s="22"/>
      <c r="G203" s="22"/>
    </row>
    <row r="204" spans="1:7" x14ac:dyDescent="0.3">
      <c r="A204" s="51"/>
      <c r="B204" s="22"/>
      <c r="C204" s="31"/>
      <c r="D204" s="31"/>
      <c r="E204" s="31"/>
      <c r="F204" s="22"/>
      <c r="G204" s="22"/>
    </row>
    <row r="205" spans="1:7" x14ac:dyDescent="0.3">
      <c r="A205" s="51"/>
      <c r="B205" s="22"/>
      <c r="C205" s="31"/>
      <c r="D205" s="31"/>
      <c r="E205" s="31"/>
      <c r="F205" s="22"/>
      <c r="G205" s="22"/>
    </row>
    <row r="206" spans="1:7" x14ac:dyDescent="0.3">
      <c r="A206" s="51"/>
      <c r="B206" s="22"/>
      <c r="C206" s="31"/>
      <c r="D206" s="31"/>
      <c r="E206" s="31"/>
      <c r="F206" s="22"/>
      <c r="G206" s="22"/>
    </row>
    <row r="207" spans="1:7" x14ac:dyDescent="0.3">
      <c r="A207" s="51"/>
      <c r="B207" s="22"/>
      <c r="C207" s="31"/>
      <c r="D207" s="31"/>
      <c r="E207" s="31"/>
      <c r="F207" s="22"/>
      <c r="G207" s="22"/>
    </row>
    <row r="208" spans="1:7" x14ac:dyDescent="0.3">
      <c r="A208" s="51"/>
      <c r="B208" s="22"/>
      <c r="C208" s="31"/>
      <c r="D208" s="31"/>
      <c r="E208" s="31"/>
      <c r="F208" s="22"/>
      <c r="G208" s="22"/>
    </row>
    <row r="209" spans="1:7" x14ac:dyDescent="0.3">
      <c r="A209" s="51"/>
      <c r="B209" s="22"/>
      <c r="C209" s="31"/>
      <c r="D209" s="31"/>
      <c r="E209" s="31"/>
      <c r="F209" s="22"/>
      <c r="G209" s="22"/>
    </row>
    <row r="210" spans="1:7" x14ac:dyDescent="0.3">
      <c r="A210" s="51"/>
      <c r="B210" s="22"/>
      <c r="C210" s="31"/>
      <c r="D210" s="31"/>
      <c r="E210" s="31"/>
      <c r="F210" s="22"/>
      <c r="G210" s="22"/>
    </row>
    <row r="211" spans="1:7" x14ac:dyDescent="0.3">
      <c r="A211" s="51"/>
      <c r="B211" s="22"/>
      <c r="C211" s="31"/>
      <c r="D211" s="31"/>
      <c r="E211" s="31"/>
      <c r="F211" s="22"/>
      <c r="G211" s="22"/>
    </row>
    <row r="212" spans="1:7" x14ac:dyDescent="0.3">
      <c r="A212" s="51"/>
      <c r="B212" s="22"/>
      <c r="C212" s="31"/>
      <c r="D212" s="31"/>
      <c r="E212" s="31"/>
      <c r="F212" s="22"/>
      <c r="G212" s="22"/>
    </row>
    <row r="213" spans="1:7" x14ac:dyDescent="0.3">
      <c r="A213" s="51"/>
      <c r="B213" s="22"/>
      <c r="C213" s="31"/>
      <c r="D213" s="31"/>
      <c r="E213" s="31"/>
      <c r="F213" s="22"/>
      <c r="G213" s="22"/>
    </row>
    <row r="214" spans="1:7" x14ac:dyDescent="0.3">
      <c r="A214" s="51"/>
      <c r="B214" s="22"/>
      <c r="C214" s="31"/>
      <c r="D214" s="31"/>
      <c r="E214" s="31"/>
      <c r="F214" s="22"/>
      <c r="G214" s="22"/>
    </row>
    <row r="215" spans="1:7" x14ac:dyDescent="0.3">
      <c r="A215" s="51"/>
      <c r="B215" s="22"/>
      <c r="C215" s="31"/>
      <c r="D215" s="31"/>
      <c r="E215" s="31"/>
      <c r="F215" s="22"/>
      <c r="G215" s="22"/>
    </row>
    <row r="216" spans="1:7" x14ac:dyDescent="0.3">
      <c r="A216" s="51"/>
      <c r="B216" s="22"/>
      <c r="C216" s="31"/>
      <c r="D216" s="31"/>
      <c r="E216" s="31"/>
      <c r="F216" s="22"/>
      <c r="G216" s="22"/>
    </row>
    <row r="217" spans="1:7" x14ac:dyDescent="0.3">
      <c r="A217" s="51"/>
      <c r="B217" s="22"/>
      <c r="C217" s="31"/>
      <c r="D217" s="31"/>
      <c r="E217" s="31"/>
      <c r="F217" s="22"/>
      <c r="G217" s="22"/>
    </row>
    <row r="218" spans="1:7" x14ac:dyDescent="0.3">
      <c r="A218" s="51"/>
      <c r="B218" s="22"/>
      <c r="C218" s="31"/>
      <c r="D218" s="31"/>
      <c r="E218" s="31"/>
      <c r="F218" s="22"/>
      <c r="G218" s="22"/>
    </row>
    <row r="219" spans="1:7" x14ac:dyDescent="0.3">
      <c r="A219" s="51"/>
      <c r="B219" s="22"/>
      <c r="C219" s="31"/>
      <c r="D219" s="31"/>
      <c r="E219" s="31"/>
      <c r="F219" s="22"/>
      <c r="G219" s="22"/>
    </row>
    <row r="220" spans="1:7" x14ac:dyDescent="0.3">
      <c r="A220" s="51"/>
      <c r="B220" s="22"/>
      <c r="C220" s="31"/>
      <c r="D220" s="31"/>
      <c r="E220" s="31"/>
      <c r="F220" s="22"/>
      <c r="G220" s="22"/>
    </row>
    <row r="221" spans="1:7" x14ac:dyDescent="0.3">
      <c r="A221" s="51"/>
      <c r="B221" s="22"/>
      <c r="C221" s="31"/>
      <c r="D221" s="31"/>
      <c r="E221" s="31"/>
      <c r="F221" s="22"/>
      <c r="G221" s="22"/>
    </row>
    <row r="222" spans="1:7" x14ac:dyDescent="0.3">
      <c r="A222" s="51"/>
      <c r="B222" s="22"/>
      <c r="C222" s="31"/>
      <c r="D222" s="31"/>
      <c r="E222" s="31"/>
      <c r="F222" s="22"/>
      <c r="G222" s="22"/>
    </row>
    <row r="223" spans="1:7" x14ac:dyDescent="0.3">
      <c r="A223" s="51"/>
      <c r="B223" s="22"/>
      <c r="C223" s="31"/>
      <c r="D223" s="31"/>
      <c r="E223" s="31"/>
      <c r="F223" s="22"/>
      <c r="G223" s="22"/>
    </row>
    <row r="224" spans="1:7" x14ac:dyDescent="0.3">
      <c r="A224" s="51"/>
      <c r="B224" s="22"/>
      <c r="C224" s="31"/>
      <c r="D224" s="31"/>
      <c r="E224" s="31"/>
      <c r="F224" s="22"/>
      <c r="G224" s="22"/>
    </row>
    <row r="225" spans="1:7" x14ac:dyDescent="0.3">
      <c r="A225" s="51"/>
      <c r="B225" s="22"/>
      <c r="C225" s="31"/>
      <c r="D225" s="31"/>
      <c r="E225" s="31"/>
      <c r="F225" s="22"/>
      <c r="G225" s="22"/>
    </row>
    <row r="226" spans="1:7" x14ac:dyDescent="0.3">
      <c r="A226" s="51"/>
      <c r="B226" s="22"/>
      <c r="C226" s="31"/>
      <c r="D226" s="31"/>
      <c r="E226" s="31"/>
      <c r="F226" s="22"/>
      <c r="G226" s="22"/>
    </row>
    <row r="227" spans="1:7" x14ac:dyDescent="0.3">
      <c r="A227" s="51"/>
      <c r="B227" s="22"/>
      <c r="C227" s="31"/>
      <c r="D227" s="31"/>
      <c r="E227" s="31"/>
      <c r="F227" s="22"/>
      <c r="G227" s="22"/>
    </row>
    <row r="228" spans="1:7" x14ac:dyDescent="0.3">
      <c r="A228" s="51"/>
      <c r="B228" s="22"/>
      <c r="C228" s="31"/>
      <c r="D228" s="31"/>
      <c r="E228" s="31"/>
      <c r="F228" s="22"/>
      <c r="G228" s="22"/>
    </row>
    <row r="229" spans="1:7" x14ac:dyDescent="0.3">
      <c r="A229" s="51"/>
      <c r="B229" s="22"/>
      <c r="C229" s="31"/>
      <c r="D229" s="31"/>
      <c r="E229" s="31"/>
      <c r="F229" s="22"/>
      <c r="G229" s="22"/>
    </row>
    <row r="230" spans="1:7" x14ac:dyDescent="0.3">
      <c r="A230" s="51"/>
      <c r="B230" s="22"/>
      <c r="C230" s="31"/>
      <c r="D230" s="31"/>
      <c r="E230" s="31"/>
      <c r="F230" s="22"/>
      <c r="G230" s="22"/>
    </row>
    <row r="231" spans="1:7" x14ac:dyDescent="0.3">
      <c r="A231" s="51"/>
      <c r="B231" s="22"/>
      <c r="C231" s="31"/>
      <c r="D231" s="31"/>
      <c r="E231" s="31"/>
      <c r="F231" s="22"/>
      <c r="G231" s="22"/>
    </row>
    <row r="232" spans="1:7" x14ac:dyDescent="0.3">
      <c r="A232" s="51"/>
      <c r="B232" s="22"/>
      <c r="C232" s="31"/>
      <c r="D232" s="31"/>
      <c r="E232" s="31"/>
      <c r="F232" s="22"/>
      <c r="G232" s="22"/>
    </row>
    <row r="233" spans="1:7" x14ac:dyDescent="0.3">
      <c r="A233" s="51"/>
      <c r="B233" s="22"/>
      <c r="C233" s="31"/>
      <c r="D233" s="31"/>
      <c r="E233" s="31"/>
      <c r="F233" s="22"/>
      <c r="G233" s="22"/>
    </row>
    <row r="234" spans="1:7" x14ac:dyDescent="0.3">
      <c r="A234" s="51"/>
      <c r="B234" s="22"/>
      <c r="C234" s="31"/>
      <c r="D234" s="31"/>
      <c r="E234" s="31"/>
      <c r="F234" s="22"/>
      <c r="G234" s="22"/>
    </row>
    <row r="235" spans="1:7" x14ac:dyDescent="0.3">
      <c r="A235" s="51"/>
      <c r="B235" s="22"/>
      <c r="C235" s="31"/>
      <c r="D235" s="31"/>
      <c r="E235" s="31"/>
      <c r="F235" s="22"/>
      <c r="G235" s="22"/>
    </row>
    <row r="236" spans="1:7" x14ac:dyDescent="0.3">
      <c r="A236" s="51"/>
      <c r="B236" s="22"/>
      <c r="C236" s="31"/>
      <c r="D236" s="31"/>
      <c r="E236" s="31"/>
      <c r="F236" s="22"/>
      <c r="G236" s="22"/>
    </row>
    <row r="237" spans="1:7" x14ac:dyDescent="0.3">
      <c r="A237" s="51"/>
      <c r="B237" s="22"/>
      <c r="C237" s="31"/>
      <c r="D237" s="31"/>
      <c r="E237" s="31"/>
      <c r="F237" s="22"/>
      <c r="G237" s="22"/>
    </row>
    <row r="238" spans="1:7" x14ac:dyDescent="0.3">
      <c r="A238" s="51"/>
      <c r="B238" s="22"/>
      <c r="C238" s="31"/>
      <c r="D238" s="31"/>
      <c r="E238" s="31"/>
      <c r="F238" s="22"/>
      <c r="G238" s="22"/>
    </row>
    <row r="239" spans="1:7" x14ac:dyDescent="0.3">
      <c r="A239" s="51"/>
      <c r="B239" s="22"/>
      <c r="C239" s="31"/>
      <c r="D239" s="31"/>
      <c r="E239" s="31"/>
      <c r="F239" s="22"/>
      <c r="G239" s="22"/>
    </row>
    <row r="240" spans="1:7" x14ac:dyDescent="0.3">
      <c r="A240" s="51"/>
      <c r="B240" s="22"/>
      <c r="C240" s="31"/>
      <c r="D240" s="31"/>
      <c r="E240" s="31"/>
      <c r="F240" s="22"/>
      <c r="G240" s="22"/>
    </row>
    <row r="241" spans="1:7" x14ac:dyDescent="0.3">
      <c r="A241" s="51"/>
      <c r="B241" s="22"/>
      <c r="C241" s="31"/>
      <c r="D241" s="31"/>
      <c r="E241" s="31"/>
      <c r="F241" s="22"/>
      <c r="G241" s="22"/>
    </row>
    <row r="242" spans="1:7" x14ac:dyDescent="0.3">
      <c r="A242" s="51"/>
      <c r="B242" s="22"/>
      <c r="C242" s="31"/>
      <c r="D242" s="31"/>
      <c r="E242" s="31"/>
      <c r="F242" s="22"/>
      <c r="G242" s="22"/>
    </row>
    <row r="243" spans="1:7" x14ac:dyDescent="0.3">
      <c r="A243" s="51"/>
      <c r="B243" s="22"/>
      <c r="C243" s="31"/>
      <c r="D243" s="31"/>
      <c r="E243" s="31"/>
      <c r="F243" s="22"/>
      <c r="G243" s="22"/>
    </row>
    <row r="244" spans="1:7" x14ac:dyDescent="0.3">
      <c r="A244" s="51"/>
      <c r="B244" s="22"/>
      <c r="C244" s="31"/>
      <c r="D244" s="31"/>
      <c r="E244" s="31"/>
      <c r="F244" s="22"/>
      <c r="G244" s="22"/>
    </row>
    <row r="245" spans="1:7" x14ac:dyDescent="0.3">
      <c r="A245" s="51"/>
      <c r="B245" s="22"/>
      <c r="C245" s="31"/>
      <c r="D245" s="31"/>
      <c r="E245" s="31"/>
      <c r="F245" s="22"/>
      <c r="G245" s="22"/>
    </row>
    <row r="246" spans="1:7" x14ac:dyDescent="0.3">
      <c r="A246" s="51"/>
      <c r="B246" s="22"/>
      <c r="C246" s="31"/>
      <c r="D246" s="31"/>
      <c r="E246" s="31"/>
      <c r="F246" s="22"/>
      <c r="G246" s="22"/>
    </row>
    <row r="247" spans="1:7" x14ac:dyDescent="0.3">
      <c r="A247" s="51"/>
      <c r="B247" s="22"/>
      <c r="C247" s="31"/>
      <c r="D247" s="31"/>
      <c r="E247" s="31"/>
      <c r="F247" s="22"/>
      <c r="G247" s="22"/>
    </row>
    <row r="248" spans="1:7" x14ac:dyDescent="0.3">
      <c r="A248" s="51"/>
      <c r="B248" s="22"/>
      <c r="C248" s="31"/>
      <c r="D248" s="31"/>
      <c r="E248" s="31"/>
      <c r="F248" s="22"/>
      <c r="G248" s="22"/>
    </row>
    <row r="249" spans="1:7" x14ac:dyDescent="0.3">
      <c r="A249" s="51"/>
      <c r="B249" s="22"/>
      <c r="C249" s="31"/>
      <c r="D249" s="31"/>
      <c r="E249" s="31"/>
      <c r="F249" s="22"/>
      <c r="G249" s="22"/>
    </row>
    <row r="250" spans="1:7" x14ac:dyDescent="0.3">
      <c r="A250" s="51"/>
      <c r="B250" s="22"/>
      <c r="C250" s="31"/>
      <c r="D250" s="31"/>
      <c r="E250" s="31"/>
      <c r="F250" s="22"/>
      <c r="G250" s="22"/>
    </row>
    <row r="251" spans="1:7" x14ac:dyDescent="0.3">
      <c r="A251" s="51"/>
      <c r="B251" s="22"/>
      <c r="C251" s="31"/>
      <c r="D251" s="31"/>
      <c r="E251" s="31"/>
      <c r="F251" s="22"/>
      <c r="G251" s="22"/>
    </row>
    <row r="252" spans="1:7" x14ac:dyDescent="0.3">
      <c r="A252" s="51"/>
      <c r="B252" s="22"/>
      <c r="C252" s="31"/>
      <c r="D252" s="31"/>
      <c r="E252" s="31"/>
      <c r="F252" s="22"/>
      <c r="G252" s="22"/>
    </row>
    <row r="253" spans="1:7" x14ac:dyDescent="0.3">
      <c r="A253" s="51"/>
      <c r="B253" s="22"/>
      <c r="C253" s="31"/>
      <c r="D253" s="31"/>
      <c r="E253" s="31"/>
      <c r="F253" s="22"/>
      <c r="G253" s="22"/>
    </row>
    <row r="254" spans="1:7" x14ac:dyDescent="0.3">
      <c r="A254" s="51"/>
      <c r="B254" s="22"/>
      <c r="C254" s="31"/>
      <c r="D254" s="31"/>
      <c r="E254" s="31"/>
      <c r="F254" s="22"/>
      <c r="G254" s="22"/>
    </row>
    <row r="255" spans="1:7" x14ac:dyDescent="0.3">
      <c r="A255" s="51"/>
      <c r="B255" s="22"/>
      <c r="C255" s="31"/>
      <c r="D255" s="31"/>
      <c r="E255" s="31"/>
      <c r="F255" s="22"/>
      <c r="G255" s="22"/>
    </row>
    <row r="256" spans="1:7" x14ac:dyDescent="0.3">
      <c r="A256" s="51"/>
      <c r="B256" s="22"/>
      <c r="C256" s="31"/>
      <c r="D256" s="31"/>
      <c r="E256" s="31"/>
      <c r="F256" s="22"/>
      <c r="G256" s="22"/>
    </row>
    <row r="257" spans="1:7" x14ac:dyDescent="0.3">
      <c r="A257" s="51"/>
      <c r="B257" s="22"/>
      <c r="C257" s="31"/>
      <c r="D257" s="31"/>
      <c r="E257" s="31"/>
      <c r="F257" s="22"/>
      <c r="G257" s="22"/>
    </row>
    <row r="258" spans="1:7" x14ac:dyDescent="0.3">
      <c r="A258" s="51"/>
      <c r="B258" s="22"/>
      <c r="C258" s="31"/>
      <c r="D258" s="31"/>
      <c r="E258" s="31"/>
      <c r="F258" s="22"/>
      <c r="G258" s="22"/>
    </row>
    <row r="259" spans="1:7" x14ac:dyDescent="0.3">
      <c r="A259" s="51"/>
      <c r="B259" s="22"/>
      <c r="C259" s="31"/>
      <c r="D259" s="31"/>
      <c r="E259" s="31"/>
      <c r="F259" s="22"/>
      <c r="G259" s="22"/>
    </row>
    <row r="260" spans="1:7" x14ac:dyDescent="0.3">
      <c r="A260" s="51"/>
      <c r="B260" s="22"/>
      <c r="C260" s="31"/>
      <c r="D260" s="31"/>
      <c r="E260" s="31"/>
      <c r="F260" s="22"/>
      <c r="G260" s="22"/>
    </row>
    <row r="261" spans="1:7" x14ac:dyDescent="0.3">
      <c r="A261" s="51"/>
      <c r="B261" s="22"/>
      <c r="C261" s="31"/>
      <c r="D261" s="31"/>
      <c r="E261" s="31"/>
      <c r="F261" s="22"/>
      <c r="G261" s="22"/>
    </row>
    <row r="262" spans="1:7" x14ac:dyDescent="0.3">
      <c r="A262" s="51"/>
      <c r="B262" s="22"/>
      <c r="C262" s="31"/>
      <c r="D262" s="31"/>
      <c r="E262" s="31"/>
      <c r="F262" s="22"/>
      <c r="G262" s="22"/>
    </row>
    <row r="263" spans="1:7" x14ac:dyDescent="0.3">
      <c r="A263" s="51"/>
      <c r="B263" s="22"/>
      <c r="C263" s="31"/>
      <c r="D263" s="31"/>
      <c r="E263" s="31"/>
      <c r="F263" s="22"/>
      <c r="G263" s="22"/>
    </row>
    <row r="264" spans="1:7" x14ac:dyDescent="0.3">
      <c r="A264" s="51"/>
      <c r="B264" s="22"/>
      <c r="C264" s="31"/>
      <c r="D264" s="31"/>
      <c r="E264" s="31"/>
      <c r="F264" s="22"/>
      <c r="G264" s="22"/>
    </row>
    <row r="265" spans="1:7" x14ac:dyDescent="0.3">
      <c r="A265" s="51"/>
      <c r="B265" s="22"/>
      <c r="C265" s="31"/>
      <c r="D265" s="31"/>
      <c r="E265" s="31"/>
      <c r="F265" s="22"/>
      <c r="G265" s="22"/>
    </row>
    <row r="266" spans="1:7" x14ac:dyDescent="0.3">
      <c r="A266" s="51"/>
      <c r="B266" s="22"/>
      <c r="C266" s="31"/>
      <c r="D266" s="31"/>
      <c r="E266" s="31"/>
      <c r="F266" s="22"/>
      <c r="G266" s="22"/>
    </row>
    <row r="267" spans="1:7" x14ac:dyDescent="0.3">
      <c r="A267" s="51"/>
      <c r="B267" s="22"/>
      <c r="C267" s="31"/>
      <c r="D267" s="31"/>
      <c r="E267" s="31"/>
      <c r="F267" s="22"/>
      <c r="G267" s="22"/>
    </row>
    <row r="268" spans="1:7" x14ac:dyDescent="0.3">
      <c r="A268" s="51"/>
      <c r="B268" s="22"/>
      <c r="C268" s="31"/>
      <c r="D268" s="31"/>
      <c r="E268" s="31"/>
      <c r="F268" s="22"/>
      <c r="G268" s="22"/>
    </row>
    <row r="269" spans="1:7" x14ac:dyDescent="0.3">
      <c r="A269" s="51"/>
      <c r="B269" s="22"/>
      <c r="C269" s="31"/>
      <c r="D269" s="31"/>
      <c r="E269" s="31"/>
      <c r="F269" s="22"/>
      <c r="G269" s="22"/>
    </row>
    <row r="270" spans="1:7" x14ac:dyDescent="0.3">
      <c r="A270" s="51"/>
      <c r="B270" s="22"/>
      <c r="C270" s="31"/>
      <c r="D270" s="31"/>
      <c r="E270" s="31"/>
      <c r="F270" s="22"/>
      <c r="G270" s="22"/>
    </row>
    <row r="271" spans="1:7" x14ac:dyDescent="0.3">
      <c r="A271" s="51"/>
      <c r="B271" s="22"/>
      <c r="C271" s="31"/>
      <c r="D271" s="31"/>
      <c r="E271" s="31"/>
      <c r="F271" s="22"/>
      <c r="G271" s="22"/>
    </row>
    <row r="272" spans="1:7" x14ac:dyDescent="0.3">
      <c r="A272" s="51"/>
      <c r="B272" s="22"/>
      <c r="C272" s="31"/>
      <c r="D272" s="31"/>
      <c r="E272" s="31"/>
      <c r="F272" s="22"/>
      <c r="G272" s="22"/>
    </row>
    <row r="273" spans="1:7" x14ac:dyDescent="0.3">
      <c r="A273" s="51"/>
      <c r="B273" s="22"/>
      <c r="C273" s="31"/>
      <c r="D273" s="31"/>
      <c r="E273" s="31"/>
      <c r="F273" s="22"/>
      <c r="G273" s="22"/>
    </row>
    <row r="274" spans="1:7" x14ac:dyDescent="0.3">
      <c r="A274" s="51"/>
      <c r="B274" s="22"/>
      <c r="C274" s="31"/>
      <c r="D274" s="31"/>
      <c r="E274" s="31"/>
      <c r="F274" s="22"/>
      <c r="G274" s="22"/>
    </row>
    <row r="275" spans="1:7" x14ac:dyDescent="0.3">
      <c r="A275" s="51"/>
      <c r="B275" s="22"/>
      <c r="C275" s="31"/>
      <c r="D275" s="31"/>
      <c r="E275" s="31"/>
      <c r="F275" s="22"/>
      <c r="G275" s="22"/>
    </row>
    <row r="276" spans="1:7" x14ac:dyDescent="0.3">
      <c r="A276" s="51"/>
      <c r="B276" s="22"/>
      <c r="C276" s="31"/>
      <c r="D276" s="31"/>
      <c r="E276" s="31"/>
      <c r="F276" s="22"/>
      <c r="G276" s="22"/>
    </row>
    <row r="277" spans="1:7" x14ac:dyDescent="0.3">
      <c r="A277" s="51"/>
      <c r="B277" s="22"/>
      <c r="C277" s="31"/>
      <c r="D277" s="31"/>
      <c r="E277" s="31"/>
      <c r="F277" s="22"/>
      <c r="G277" s="22"/>
    </row>
    <row r="278" spans="1:7" x14ac:dyDescent="0.3">
      <c r="A278" s="51"/>
      <c r="B278" s="22"/>
      <c r="C278" s="31"/>
      <c r="D278" s="31"/>
      <c r="E278" s="31"/>
      <c r="F278" s="22"/>
      <c r="G278" s="22"/>
    </row>
    <row r="279" spans="1:7" x14ac:dyDescent="0.3">
      <c r="A279" s="51"/>
      <c r="B279" s="22"/>
      <c r="C279" s="31"/>
      <c r="D279" s="31"/>
      <c r="E279" s="31"/>
      <c r="F279" s="22"/>
      <c r="G279" s="22"/>
    </row>
    <row r="280" spans="1:7" x14ac:dyDescent="0.3">
      <c r="A280" s="51"/>
      <c r="B280" s="22"/>
      <c r="C280" s="31"/>
      <c r="D280" s="31"/>
      <c r="E280" s="31"/>
      <c r="F280" s="22"/>
      <c r="G280" s="22"/>
    </row>
    <row r="281" spans="1:7" x14ac:dyDescent="0.3">
      <c r="A281" s="51"/>
      <c r="B281" s="22"/>
      <c r="C281" s="31"/>
      <c r="D281" s="31"/>
      <c r="E281" s="31"/>
      <c r="F281" s="22"/>
      <c r="G281" s="22"/>
    </row>
    <row r="282" spans="1:7" x14ac:dyDescent="0.3">
      <c r="A282" s="51"/>
      <c r="B282" s="22"/>
      <c r="C282" s="31"/>
      <c r="D282" s="31"/>
      <c r="E282" s="31"/>
      <c r="F282" s="22"/>
      <c r="G282" s="22"/>
    </row>
    <row r="283" spans="1:7" x14ac:dyDescent="0.3">
      <c r="A283" s="51"/>
      <c r="B283" s="22"/>
      <c r="C283" s="31"/>
      <c r="D283" s="31"/>
      <c r="E283" s="31"/>
      <c r="F283" s="22"/>
      <c r="G283" s="22"/>
    </row>
    <row r="284" spans="1:7" x14ac:dyDescent="0.3">
      <c r="A284" s="51"/>
      <c r="B284" s="22"/>
      <c r="C284" s="31"/>
      <c r="D284" s="31"/>
      <c r="E284" s="31"/>
      <c r="F284" s="22"/>
      <c r="G284" s="22"/>
    </row>
    <row r="285" spans="1:7" x14ac:dyDescent="0.3">
      <c r="A285" s="51"/>
      <c r="B285" s="22"/>
      <c r="C285" s="31"/>
      <c r="D285" s="31"/>
      <c r="E285" s="31"/>
      <c r="F285" s="22"/>
      <c r="G285" s="22"/>
    </row>
    <row r="286" spans="1:7" x14ac:dyDescent="0.3">
      <c r="A286" s="51"/>
      <c r="B286" s="22"/>
      <c r="C286" s="31"/>
      <c r="D286" s="31"/>
      <c r="E286" s="31"/>
      <c r="F286" s="22"/>
      <c r="G286" s="22"/>
    </row>
    <row r="287" spans="1:7" x14ac:dyDescent="0.3">
      <c r="A287" s="51"/>
      <c r="B287" s="22"/>
      <c r="C287" s="31"/>
      <c r="D287" s="31"/>
      <c r="E287" s="31"/>
      <c r="F287" s="22"/>
      <c r="G287" s="22"/>
    </row>
    <row r="288" spans="1:7" x14ac:dyDescent="0.3">
      <c r="A288" s="51"/>
      <c r="B288" s="22"/>
      <c r="C288" s="31"/>
      <c r="D288" s="31"/>
      <c r="E288" s="31"/>
      <c r="F288" s="22"/>
      <c r="G288" s="22"/>
    </row>
    <row r="289" spans="1:7" x14ac:dyDescent="0.3">
      <c r="A289" s="51"/>
      <c r="B289" s="22"/>
      <c r="C289" s="31"/>
      <c r="D289" s="31"/>
      <c r="E289" s="31"/>
      <c r="F289" s="22"/>
      <c r="G289" s="22"/>
    </row>
    <row r="290" spans="1:7" x14ac:dyDescent="0.3">
      <c r="A290" s="51"/>
      <c r="B290" s="22"/>
      <c r="C290" s="31"/>
      <c r="D290" s="31"/>
      <c r="E290" s="31"/>
      <c r="F290" s="22"/>
      <c r="G290" s="22"/>
    </row>
    <row r="291" spans="1:7" x14ac:dyDescent="0.3">
      <c r="A291" s="51"/>
      <c r="B291" s="22"/>
      <c r="C291" s="31"/>
      <c r="D291" s="31"/>
      <c r="E291" s="31"/>
      <c r="F291" s="22"/>
      <c r="G291" s="22"/>
    </row>
    <row r="292" spans="1:7" x14ac:dyDescent="0.3">
      <c r="A292" s="51"/>
      <c r="B292" s="22"/>
      <c r="C292" s="31"/>
      <c r="D292" s="31"/>
      <c r="E292" s="31"/>
      <c r="F292" s="22"/>
      <c r="G292" s="22"/>
    </row>
    <row r="293" spans="1:7" x14ac:dyDescent="0.3">
      <c r="A293" s="51"/>
      <c r="B293" s="22"/>
      <c r="C293" s="31"/>
      <c r="D293" s="31"/>
      <c r="E293" s="31"/>
      <c r="F293" s="22"/>
      <c r="G293" s="22"/>
    </row>
    <row r="294" spans="1:7" x14ac:dyDescent="0.3">
      <c r="A294" s="51"/>
      <c r="B294" s="22"/>
      <c r="C294" s="31"/>
      <c r="D294" s="31"/>
      <c r="E294" s="31"/>
      <c r="F294" s="22"/>
      <c r="G294" s="22"/>
    </row>
    <row r="295" spans="1:7" x14ac:dyDescent="0.3">
      <c r="A295" s="51"/>
      <c r="B295" s="22"/>
      <c r="C295" s="31"/>
      <c r="D295" s="31"/>
      <c r="E295" s="31"/>
      <c r="F295" s="22"/>
      <c r="G295" s="22"/>
    </row>
    <row r="296" spans="1:7" x14ac:dyDescent="0.3">
      <c r="A296" s="51"/>
      <c r="B296" s="22"/>
      <c r="C296" s="31"/>
      <c r="D296" s="31"/>
      <c r="E296" s="31"/>
      <c r="F296" s="22"/>
      <c r="G296" s="22"/>
    </row>
    <row r="297" spans="1:7" x14ac:dyDescent="0.3">
      <c r="A297" s="51"/>
      <c r="B297" s="22"/>
      <c r="C297" s="31"/>
      <c r="D297" s="31"/>
      <c r="E297" s="31"/>
      <c r="F297" s="22"/>
      <c r="G297" s="22"/>
    </row>
    <row r="298" spans="1:7" x14ac:dyDescent="0.3">
      <c r="A298" s="51"/>
      <c r="B298" s="22"/>
      <c r="C298" s="31"/>
      <c r="D298" s="31"/>
      <c r="E298" s="31"/>
      <c r="F298" s="22"/>
      <c r="G298" s="22"/>
    </row>
    <row r="299" spans="1:7" x14ac:dyDescent="0.3">
      <c r="A299" s="51"/>
      <c r="B299" s="22"/>
      <c r="C299" s="31"/>
      <c r="D299" s="31"/>
      <c r="E299" s="31"/>
      <c r="F299" s="22"/>
      <c r="G299" s="22"/>
    </row>
    <row r="300" spans="1:7" x14ac:dyDescent="0.3">
      <c r="A300" s="51"/>
      <c r="B300" s="22"/>
      <c r="C300" s="31"/>
      <c r="D300" s="31"/>
      <c r="E300" s="31"/>
      <c r="F300" s="22"/>
      <c r="G300" s="22"/>
    </row>
    <row r="301" spans="1:7" x14ac:dyDescent="0.3">
      <c r="A301" s="51"/>
      <c r="B301" s="22"/>
      <c r="C301" s="31"/>
      <c r="D301" s="31"/>
      <c r="E301" s="31"/>
      <c r="F301" s="22"/>
      <c r="G301" s="22"/>
    </row>
    <row r="302" spans="1:7" x14ac:dyDescent="0.3">
      <c r="A302" s="51"/>
      <c r="B302" s="22"/>
      <c r="C302" s="31"/>
      <c r="D302" s="31"/>
      <c r="E302" s="31"/>
      <c r="F302" s="22"/>
      <c r="G302" s="22"/>
    </row>
    <row r="303" spans="1:7" x14ac:dyDescent="0.3">
      <c r="A303" s="51"/>
      <c r="B303" s="22"/>
      <c r="C303" s="31"/>
      <c r="D303" s="31"/>
      <c r="E303" s="31"/>
      <c r="F303" s="22"/>
      <c r="G303" s="22"/>
    </row>
    <row r="304" spans="1:7" x14ac:dyDescent="0.3">
      <c r="A304" s="51"/>
      <c r="B304" s="22"/>
      <c r="C304" s="31"/>
      <c r="D304" s="31"/>
      <c r="E304" s="31"/>
      <c r="F304" s="22"/>
      <c r="G304" s="22"/>
    </row>
    <row r="305" spans="1:7" x14ac:dyDescent="0.3">
      <c r="A305" s="51"/>
      <c r="B305" s="22"/>
      <c r="C305" s="31"/>
      <c r="D305" s="31"/>
      <c r="E305" s="31"/>
      <c r="F305" s="22"/>
      <c r="G305" s="22"/>
    </row>
    <row r="306" spans="1:7" x14ac:dyDescent="0.3">
      <c r="A306" s="51"/>
      <c r="B306" s="22"/>
      <c r="C306" s="31"/>
      <c r="D306" s="31"/>
      <c r="E306" s="31"/>
      <c r="F306" s="22"/>
      <c r="G306" s="22"/>
    </row>
    <row r="307" spans="1:7" x14ac:dyDescent="0.3">
      <c r="A307" s="51"/>
      <c r="B307" s="22"/>
      <c r="C307" s="31"/>
      <c r="D307" s="31"/>
      <c r="E307" s="31"/>
      <c r="F307" s="22"/>
      <c r="G307" s="22"/>
    </row>
    <row r="308" spans="1:7" x14ac:dyDescent="0.3">
      <c r="A308" s="51"/>
      <c r="B308" s="22"/>
      <c r="C308" s="31"/>
      <c r="D308" s="31"/>
      <c r="E308" s="31"/>
      <c r="F308" s="22"/>
      <c r="G308" s="22"/>
    </row>
    <row r="309" spans="1:7" x14ac:dyDescent="0.3">
      <c r="A309" s="51"/>
      <c r="B309" s="22"/>
      <c r="C309" s="31"/>
      <c r="D309" s="31"/>
      <c r="E309" s="31"/>
      <c r="F309" s="22"/>
      <c r="G309" s="22"/>
    </row>
    <row r="310" spans="1:7" x14ac:dyDescent="0.3">
      <c r="A310" s="51"/>
      <c r="B310" s="22"/>
      <c r="C310" s="31"/>
      <c r="D310" s="31"/>
      <c r="E310" s="31"/>
      <c r="F310" s="22"/>
      <c r="G310" s="22"/>
    </row>
    <row r="311" spans="1:7" x14ac:dyDescent="0.3">
      <c r="A311" s="51"/>
      <c r="B311" s="22"/>
      <c r="C311" s="31"/>
      <c r="D311" s="31"/>
      <c r="E311" s="31"/>
      <c r="F311" s="22"/>
      <c r="G311" s="22"/>
    </row>
    <row r="312" spans="1:7" x14ac:dyDescent="0.3">
      <c r="A312" s="51"/>
      <c r="B312" s="22"/>
      <c r="C312" s="31"/>
      <c r="D312" s="31"/>
      <c r="E312" s="31"/>
      <c r="F312" s="22"/>
      <c r="G312" s="22"/>
    </row>
    <row r="313" spans="1:7" x14ac:dyDescent="0.3">
      <c r="A313" s="51"/>
      <c r="B313" s="22"/>
      <c r="C313" s="31"/>
      <c r="D313" s="31"/>
      <c r="E313" s="31"/>
      <c r="F313" s="22"/>
      <c r="G313" s="22"/>
    </row>
    <row r="314" spans="1:7" x14ac:dyDescent="0.3">
      <c r="A314" s="51"/>
      <c r="B314" s="22"/>
      <c r="C314" s="31"/>
      <c r="D314" s="31"/>
      <c r="E314" s="31"/>
      <c r="F314" s="22"/>
      <c r="G314" s="22"/>
    </row>
    <row r="315" spans="1:7" x14ac:dyDescent="0.3">
      <c r="A315" s="51"/>
      <c r="B315" s="22"/>
      <c r="C315" s="31"/>
      <c r="D315" s="31"/>
      <c r="E315" s="31"/>
      <c r="F315" s="22"/>
      <c r="G315" s="22"/>
    </row>
    <row r="316" spans="1:7" x14ac:dyDescent="0.3">
      <c r="A316" s="51"/>
      <c r="B316" s="22"/>
      <c r="C316" s="31"/>
      <c r="D316" s="31"/>
      <c r="E316" s="31"/>
      <c r="F316" s="22"/>
      <c r="G316" s="22"/>
    </row>
    <row r="317" spans="1:7" x14ac:dyDescent="0.3">
      <c r="A317" s="51"/>
      <c r="B317" s="22"/>
      <c r="C317" s="31"/>
      <c r="D317" s="31"/>
      <c r="E317" s="31"/>
      <c r="F317" s="22"/>
      <c r="G317" s="22"/>
    </row>
    <row r="318" spans="1:7" x14ac:dyDescent="0.3">
      <c r="A318" s="51"/>
      <c r="B318" s="22"/>
      <c r="C318" s="31"/>
      <c r="D318" s="31"/>
      <c r="E318" s="31"/>
      <c r="F318" s="22"/>
      <c r="G318" s="22"/>
    </row>
    <row r="319" spans="1:7" x14ac:dyDescent="0.3">
      <c r="A319" s="51"/>
      <c r="B319" s="22"/>
      <c r="C319" s="31"/>
      <c r="D319" s="31"/>
      <c r="E319" s="31"/>
      <c r="F319" s="22"/>
      <c r="G319" s="22"/>
    </row>
    <row r="320" spans="1:7" x14ac:dyDescent="0.3">
      <c r="A320" s="51"/>
      <c r="B320" s="22"/>
      <c r="C320" s="31"/>
      <c r="D320" s="31"/>
      <c r="E320" s="31"/>
      <c r="F320" s="22"/>
      <c r="G320" s="22"/>
    </row>
    <row r="321" spans="1:7" x14ac:dyDescent="0.3">
      <c r="A321" s="51"/>
      <c r="B321" s="22"/>
      <c r="C321" s="31"/>
      <c r="D321" s="31"/>
      <c r="E321" s="31"/>
      <c r="F321" s="22"/>
      <c r="G321" s="22"/>
    </row>
    <row r="322" spans="1:7" x14ac:dyDescent="0.3">
      <c r="A322" s="51"/>
      <c r="B322" s="22"/>
      <c r="C322" s="31"/>
      <c r="D322" s="31"/>
      <c r="E322" s="31"/>
      <c r="F322" s="22"/>
      <c r="G322" s="22"/>
    </row>
    <row r="323" spans="1:7" x14ac:dyDescent="0.3">
      <c r="A323" s="51"/>
      <c r="B323" s="22"/>
      <c r="C323" s="31"/>
      <c r="D323" s="31"/>
      <c r="E323" s="31"/>
      <c r="F323" s="22"/>
      <c r="G323" s="22"/>
    </row>
    <row r="324" spans="1:7" x14ac:dyDescent="0.3">
      <c r="A324" s="51"/>
      <c r="B324" s="22"/>
      <c r="C324" s="31"/>
      <c r="D324" s="31"/>
      <c r="E324" s="31"/>
      <c r="F324" s="22"/>
      <c r="G324" s="22"/>
    </row>
    <row r="325" spans="1:7" x14ac:dyDescent="0.3">
      <c r="A325" s="51"/>
      <c r="B325" s="22"/>
      <c r="C325" s="31"/>
      <c r="D325" s="31"/>
      <c r="E325" s="31"/>
      <c r="F325" s="22"/>
      <c r="G325" s="22"/>
    </row>
    <row r="326" spans="1:7" x14ac:dyDescent="0.3">
      <c r="A326" s="51"/>
      <c r="B326" s="22"/>
      <c r="C326" s="31"/>
      <c r="D326" s="31"/>
      <c r="E326" s="31"/>
      <c r="F326" s="22"/>
      <c r="G326" s="22"/>
    </row>
    <row r="327" spans="1:7" x14ac:dyDescent="0.3">
      <c r="A327" s="51"/>
      <c r="B327" s="22"/>
      <c r="C327" s="31"/>
      <c r="D327" s="31"/>
      <c r="E327" s="31"/>
      <c r="F327" s="22"/>
      <c r="G327" s="22"/>
    </row>
    <row r="328" spans="1:7" x14ac:dyDescent="0.3">
      <c r="A328" s="51"/>
      <c r="B328" s="22"/>
      <c r="C328" s="31"/>
      <c r="D328" s="31"/>
      <c r="E328" s="31"/>
      <c r="F328" s="22"/>
      <c r="G328" s="22"/>
    </row>
    <row r="329" spans="1:7" x14ac:dyDescent="0.3">
      <c r="A329" s="51"/>
      <c r="B329" s="22"/>
      <c r="C329" s="31"/>
      <c r="D329" s="31"/>
      <c r="E329" s="31"/>
      <c r="F329" s="22"/>
      <c r="G329" s="22"/>
    </row>
    <row r="330" spans="1:7" x14ac:dyDescent="0.3">
      <c r="A330" s="51"/>
      <c r="B330" s="22"/>
      <c r="C330" s="31"/>
      <c r="D330" s="31"/>
      <c r="E330" s="31"/>
      <c r="F330" s="22"/>
      <c r="G330" s="22"/>
    </row>
    <row r="331" spans="1:7" x14ac:dyDescent="0.3">
      <c r="A331" s="51"/>
      <c r="B331" s="22"/>
      <c r="C331" s="31"/>
      <c r="D331" s="31"/>
      <c r="E331" s="31"/>
      <c r="F331" s="22"/>
      <c r="G331" s="22"/>
    </row>
    <row r="332" spans="1:7" x14ac:dyDescent="0.3">
      <c r="A332" s="51"/>
      <c r="B332" s="22"/>
      <c r="C332" s="31"/>
      <c r="D332" s="31"/>
      <c r="E332" s="31"/>
      <c r="F332" s="22"/>
      <c r="G332" s="22"/>
    </row>
    <row r="333" spans="1:7" x14ac:dyDescent="0.3">
      <c r="A333" s="51"/>
      <c r="B333" s="22"/>
      <c r="C333" s="31"/>
      <c r="D333" s="31"/>
      <c r="E333" s="31"/>
      <c r="F333" s="22"/>
      <c r="G333" s="22"/>
    </row>
    <row r="334" spans="1:7" x14ac:dyDescent="0.3">
      <c r="A334" s="51"/>
      <c r="B334" s="22"/>
      <c r="C334" s="31"/>
      <c r="D334" s="31"/>
      <c r="E334" s="31"/>
      <c r="F334" s="22"/>
      <c r="G334" s="22"/>
    </row>
    <row r="335" spans="1:7" x14ac:dyDescent="0.3">
      <c r="A335" s="51"/>
      <c r="B335" s="22"/>
      <c r="C335" s="31"/>
      <c r="D335" s="31"/>
      <c r="E335" s="31"/>
      <c r="F335" s="22"/>
      <c r="G335" s="22"/>
    </row>
    <row r="336" spans="1:7" x14ac:dyDescent="0.3">
      <c r="A336" s="51"/>
      <c r="B336" s="22"/>
      <c r="C336" s="31"/>
      <c r="D336" s="31"/>
      <c r="E336" s="31"/>
      <c r="F336" s="22"/>
      <c r="G336" s="22"/>
    </row>
    <row r="337" spans="1:7" x14ac:dyDescent="0.3">
      <c r="A337" s="51"/>
      <c r="B337" s="22"/>
      <c r="C337" s="31"/>
      <c r="D337" s="31"/>
      <c r="E337" s="31"/>
      <c r="F337" s="22"/>
      <c r="G337" s="22"/>
    </row>
    <row r="338" spans="1:7" x14ac:dyDescent="0.3">
      <c r="A338" s="51"/>
      <c r="B338" s="22"/>
      <c r="C338" s="31"/>
      <c r="D338" s="31"/>
      <c r="E338" s="31"/>
      <c r="F338" s="22"/>
      <c r="G338" s="22"/>
    </row>
    <row r="339" spans="1:7" x14ac:dyDescent="0.3">
      <c r="A339" s="51"/>
      <c r="B339" s="22"/>
      <c r="C339" s="31"/>
      <c r="D339" s="31"/>
      <c r="E339" s="31"/>
      <c r="F339" s="22"/>
      <c r="G339" s="22"/>
    </row>
    <row r="340" spans="1:7" x14ac:dyDescent="0.3">
      <c r="A340" s="51"/>
      <c r="B340" s="22"/>
      <c r="C340" s="31"/>
      <c r="D340" s="31"/>
      <c r="E340" s="31"/>
      <c r="F340" s="22"/>
      <c r="G340" s="22"/>
    </row>
    <row r="341" spans="1:7" x14ac:dyDescent="0.3">
      <c r="A341" s="51"/>
      <c r="B341" s="22"/>
      <c r="C341" s="31"/>
      <c r="D341" s="31"/>
      <c r="E341" s="31"/>
      <c r="F341" s="22"/>
      <c r="G341" s="22"/>
    </row>
    <row r="342" spans="1:7" x14ac:dyDescent="0.3">
      <c r="A342" s="51"/>
      <c r="B342" s="22"/>
      <c r="C342" s="31"/>
      <c r="D342" s="31"/>
      <c r="E342" s="31"/>
      <c r="F342" s="22"/>
      <c r="G342" s="22"/>
    </row>
    <row r="343" spans="1:7" x14ac:dyDescent="0.3">
      <c r="A343" s="51"/>
      <c r="B343" s="22"/>
      <c r="C343" s="31"/>
      <c r="D343" s="31"/>
      <c r="E343" s="31"/>
      <c r="F343" s="22"/>
      <c r="G343" s="22"/>
    </row>
    <row r="344" spans="1:7" x14ac:dyDescent="0.3">
      <c r="A344" s="51"/>
      <c r="B344" s="22"/>
      <c r="C344" s="31"/>
      <c r="D344" s="31"/>
      <c r="E344" s="31"/>
      <c r="F344" s="22"/>
      <c r="G344" s="22"/>
    </row>
    <row r="345" spans="1:7" x14ac:dyDescent="0.3">
      <c r="A345" s="51"/>
      <c r="B345" s="22"/>
      <c r="C345" s="31"/>
      <c r="D345" s="31"/>
      <c r="E345" s="31"/>
      <c r="F345" s="22"/>
      <c r="G345" s="22"/>
    </row>
    <row r="346" spans="1:7" x14ac:dyDescent="0.3">
      <c r="A346" s="51"/>
      <c r="B346" s="22"/>
      <c r="C346" s="31"/>
      <c r="D346" s="31"/>
      <c r="E346" s="31"/>
      <c r="F346" s="22"/>
      <c r="G346" s="22"/>
    </row>
    <row r="347" spans="1:7" x14ac:dyDescent="0.3">
      <c r="A347" s="51"/>
      <c r="B347" s="22"/>
      <c r="C347" s="31"/>
      <c r="D347" s="31"/>
      <c r="E347" s="31"/>
      <c r="F347" s="22"/>
      <c r="G347" s="22"/>
    </row>
    <row r="348" spans="1:7" x14ac:dyDescent="0.3">
      <c r="A348" s="51"/>
      <c r="B348" s="22"/>
      <c r="C348" s="31"/>
      <c r="D348" s="31"/>
      <c r="E348" s="31"/>
      <c r="F348" s="22"/>
      <c r="G348" s="22"/>
    </row>
    <row r="349" spans="1:7" x14ac:dyDescent="0.3">
      <c r="A349" s="51"/>
      <c r="B349" s="22"/>
      <c r="C349" s="31"/>
      <c r="D349" s="31"/>
      <c r="E349" s="31"/>
      <c r="F349" s="22"/>
      <c r="G349" s="22"/>
    </row>
    <row r="350" spans="1:7" x14ac:dyDescent="0.3">
      <c r="A350" s="51"/>
      <c r="B350" s="22"/>
      <c r="C350" s="31"/>
      <c r="D350" s="31"/>
      <c r="E350" s="31"/>
      <c r="F350" s="22"/>
      <c r="G350" s="22"/>
    </row>
    <row r="351" spans="1:7" x14ac:dyDescent="0.3">
      <c r="A351" s="51"/>
      <c r="B351" s="22"/>
      <c r="C351" s="31"/>
      <c r="D351" s="31"/>
      <c r="E351" s="31"/>
      <c r="F351" s="22"/>
      <c r="G351" s="22"/>
    </row>
    <row r="352" spans="1:7" x14ac:dyDescent="0.3">
      <c r="A352" s="51"/>
      <c r="B352" s="22"/>
      <c r="C352" s="31"/>
      <c r="D352" s="31"/>
      <c r="E352" s="31"/>
      <c r="F352" s="22"/>
      <c r="G352" s="22"/>
    </row>
    <row r="353" spans="1:7" x14ac:dyDescent="0.3">
      <c r="A353" s="51"/>
      <c r="B353" s="22"/>
      <c r="C353" s="31"/>
      <c r="D353" s="31"/>
      <c r="E353" s="31"/>
      <c r="F353" s="22"/>
      <c r="G353" s="22"/>
    </row>
    <row r="354" spans="1:7" x14ac:dyDescent="0.3">
      <c r="A354" s="51"/>
      <c r="B354" s="22"/>
      <c r="C354" s="31"/>
      <c r="D354" s="31"/>
      <c r="E354" s="31"/>
      <c r="F354" s="22"/>
      <c r="G354" s="22"/>
    </row>
    <row r="355" spans="1:7" x14ac:dyDescent="0.3">
      <c r="A355" s="51"/>
      <c r="B355" s="22"/>
      <c r="C355" s="31"/>
      <c r="D355" s="31"/>
      <c r="E355" s="31"/>
      <c r="F355" s="22"/>
      <c r="G355" s="22"/>
    </row>
    <row r="356" spans="1:7" x14ac:dyDescent="0.3">
      <c r="A356" s="51"/>
      <c r="B356" s="22"/>
      <c r="C356" s="31"/>
      <c r="D356" s="31"/>
      <c r="E356" s="31"/>
      <c r="F356" s="22"/>
      <c r="G356" s="22"/>
    </row>
    <row r="357" spans="1:7" x14ac:dyDescent="0.3">
      <c r="A357" s="51"/>
      <c r="B357" s="22"/>
      <c r="C357" s="31"/>
      <c r="D357" s="31"/>
      <c r="E357" s="31"/>
      <c r="F357" s="22"/>
      <c r="G357" s="22"/>
    </row>
    <row r="358" spans="1:7" x14ac:dyDescent="0.3">
      <c r="A358" s="51"/>
      <c r="B358" s="22"/>
      <c r="C358" s="31"/>
      <c r="D358" s="31"/>
      <c r="E358" s="31"/>
      <c r="F358" s="22"/>
      <c r="G358" s="22"/>
    </row>
    <row r="359" spans="1:7" x14ac:dyDescent="0.3">
      <c r="A359" s="51"/>
      <c r="B359" s="22"/>
      <c r="C359" s="31"/>
      <c r="D359" s="31"/>
      <c r="E359" s="31"/>
      <c r="F359" s="22"/>
      <c r="G359" s="22"/>
    </row>
    <row r="360" spans="1:7" x14ac:dyDescent="0.3">
      <c r="A360" s="51"/>
      <c r="B360" s="22"/>
      <c r="C360" s="31"/>
      <c r="D360" s="31"/>
      <c r="E360" s="31"/>
      <c r="F360" s="22"/>
      <c r="G360" s="22"/>
    </row>
    <row r="361" spans="1:7" x14ac:dyDescent="0.3">
      <c r="A361" s="51"/>
      <c r="B361" s="22"/>
      <c r="C361" s="31"/>
      <c r="D361" s="31"/>
      <c r="E361" s="31"/>
      <c r="F361" s="22"/>
      <c r="G361" s="22"/>
    </row>
    <row r="362" spans="1:7" x14ac:dyDescent="0.3">
      <c r="A362" s="51"/>
      <c r="B362" s="22"/>
      <c r="C362" s="31"/>
      <c r="D362" s="31"/>
      <c r="E362" s="31"/>
      <c r="F362" s="22"/>
      <c r="G362" s="22"/>
    </row>
    <row r="363" spans="1:7" x14ac:dyDescent="0.3">
      <c r="A363" s="51"/>
      <c r="B363" s="22"/>
      <c r="C363" s="31"/>
      <c r="D363" s="31"/>
      <c r="E363" s="31"/>
      <c r="F363" s="22"/>
      <c r="G363" s="22"/>
    </row>
    <row r="364" spans="1:7" x14ac:dyDescent="0.3">
      <c r="A364" s="51"/>
      <c r="B364" s="22"/>
      <c r="C364" s="31"/>
      <c r="D364" s="31"/>
      <c r="E364" s="31"/>
      <c r="F364" s="22"/>
      <c r="G364" s="22"/>
    </row>
    <row r="365" spans="1:7" x14ac:dyDescent="0.3">
      <c r="A365" s="51"/>
      <c r="B365" s="22"/>
      <c r="C365" s="31"/>
      <c r="D365" s="31"/>
      <c r="E365" s="31"/>
      <c r="F365" s="22"/>
      <c r="G365" s="22"/>
    </row>
    <row r="366" spans="1:7" x14ac:dyDescent="0.3">
      <c r="A366" s="51"/>
      <c r="B366" s="22"/>
      <c r="C366" s="31"/>
      <c r="D366" s="31"/>
      <c r="E366" s="31"/>
      <c r="F366" s="22"/>
      <c r="G366" s="22"/>
    </row>
    <row r="367" spans="1:7" x14ac:dyDescent="0.3">
      <c r="A367" s="51"/>
      <c r="B367" s="22"/>
      <c r="C367" s="31"/>
      <c r="D367" s="31"/>
      <c r="E367" s="31"/>
      <c r="F367" s="22"/>
      <c r="G367" s="22"/>
    </row>
    <row r="368" spans="1:7" x14ac:dyDescent="0.3">
      <c r="A368" s="51"/>
      <c r="B368" s="22"/>
      <c r="C368" s="31"/>
      <c r="D368" s="31"/>
      <c r="E368" s="31"/>
      <c r="F368" s="22"/>
      <c r="G368" s="22"/>
    </row>
    <row r="369" spans="1:7" x14ac:dyDescent="0.3">
      <c r="A369" s="51"/>
      <c r="B369" s="22"/>
      <c r="C369" s="31"/>
      <c r="D369" s="31"/>
      <c r="E369" s="31"/>
      <c r="F369" s="22"/>
      <c r="G369" s="22"/>
    </row>
    <row r="370" spans="1:7" x14ac:dyDescent="0.3">
      <c r="A370" s="51"/>
      <c r="B370" s="22"/>
      <c r="C370" s="31"/>
      <c r="D370" s="31"/>
      <c r="E370" s="31"/>
      <c r="F370" s="22"/>
      <c r="G370" s="22"/>
    </row>
    <row r="371" spans="1:7" x14ac:dyDescent="0.3">
      <c r="A371" s="51"/>
      <c r="B371" s="22"/>
      <c r="C371" s="31"/>
      <c r="D371" s="31"/>
      <c r="E371" s="31"/>
      <c r="F371" s="22"/>
      <c r="G371" s="22"/>
    </row>
    <row r="372" spans="1:7" x14ac:dyDescent="0.3">
      <c r="A372" s="51"/>
      <c r="B372" s="22"/>
      <c r="C372" s="31"/>
      <c r="D372" s="31"/>
      <c r="E372" s="31"/>
      <c r="F372" s="22"/>
      <c r="G372" s="22"/>
    </row>
    <row r="373" spans="1:7" x14ac:dyDescent="0.3">
      <c r="A373" s="51"/>
      <c r="B373" s="22"/>
      <c r="C373" s="31"/>
      <c r="D373" s="31"/>
      <c r="E373" s="31"/>
      <c r="F373" s="22"/>
      <c r="G373" s="22"/>
    </row>
    <row r="374" spans="1:7" x14ac:dyDescent="0.3">
      <c r="A374" s="51"/>
      <c r="B374" s="22"/>
      <c r="C374" s="31"/>
      <c r="D374" s="31"/>
      <c r="E374" s="31"/>
      <c r="F374" s="22"/>
      <c r="G374" s="22"/>
    </row>
    <row r="375" spans="1:7" x14ac:dyDescent="0.3">
      <c r="A375" s="51"/>
      <c r="B375" s="22"/>
      <c r="C375" s="31"/>
      <c r="D375" s="31"/>
      <c r="E375" s="31"/>
      <c r="F375" s="22"/>
      <c r="G375" s="22"/>
    </row>
    <row r="376" spans="1:7" x14ac:dyDescent="0.3">
      <c r="A376" s="51"/>
      <c r="B376" s="22"/>
      <c r="C376" s="31"/>
      <c r="D376" s="31"/>
      <c r="E376" s="31"/>
      <c r="F376" s="22"/>
      <c r="G376" s="22"/>
    </row>
    <row r="377" spans="1:7" x14ac:dyDescent="0.3">
      <c r="A377" s="51"/>
      <c r="B377" s="22"/>
      <c r="C377" s="31"/>
      <c r="D377" s="31"/>
      <c r="E377" s="31"/>
      <c r="F377" s="22"/>
      <c r="G377" s="22"/>
    </row>
    <row r="378" spans="1:7" x14ac:dyDescent="0.3">
      <c r="A378" s="51"/>
      <c r="B378" s="22"/>
      <c r="C378" s="31"/>
      <c r="D378" s="31"/>
      <c r="E378" s="31"/>
      <c r="F378" s="22"/>
      <c r="G378" s="22"/>
    </row>
    <row r="379" spans="1:7" x14ac:dyDescent="0.3">
      <c r="A379" s="51"/>
      <c r="B379" s="22"/>
      <c r="C379" s="31"/>
      <c r="D379" s="31"/>
      <c r="E379" s="31"/>
      <c r="F379" s="22"/>
      <c r="G379" s="22"/>
    </row>
    <row r="380" spans="1:7" x14ac:dyDescent="0.3">
      <c r="A380" s="51"/>
      <c r="B380" s="22"/>
      <c r="C380" s="31"/>
      <c r="D380" s="31"/>
      <c r="E380" s="31"/>
      <c r="F380" s="22"/>
      <c r="G380" s="22"/>
    </row>
    <row r="381" spans="1:7" x14ac:dyDescent="0.3">
      <c r="A381" s="51"/>
      <c r="B381" s="22"/>
      <c r="C381" s="31"/>
      <c r="D381" s="31"/>
      <c r="E381" s="31"/>
      <c r="F381" s="22"/>
      <c r="G381" s="22"/>
    </row>
    <row r="382" spans="1:7" x14ac:dyDescent="0.3">
      <c r="A382" s="51"/>
      <c r="B382" s="22"/>
      <c r="C382" s="31"/>
      <c r="D382" s="31"/>
      <c r="E382" s="31"/>
      <c r="F382" s="22"/>
      <c r="G382" s="22"/>
    </row>
    <row r="383" spans="1:7" x14ac:dyDescent="0.3">
      <c r="A383" s="51"/>
      <c r="B383" s="22"/>
      <c r="C383" s="31"/>
      <c r="D383" s="31"/>
      <c r="E383" s="31"/>
      <c r="F383" s="22"/>
      <c r="G383" s="22"/>
    </row>
    <row r="384" spans="1:7" x14ac:dyDescent="0.3">
      <c r="A384" s="51"/>
      <c r="B384" s="22"/>
      <c r="C384" s="31"/>
      <c r="D384" s="31"/>
      <c r="E384" s="31"/>
      <c r="F384" s="22"/>
      <c r="G384" s="22"/>
    </row>
    <row r="385" spans="1:7" x14ac:dyDescent="0.3">
      <c r="A385" s="51"/>
      <c r="B385" s="22"/>
      <c r="C385" s="31"/>
      <c r="D385" s="31"/>
      <c r="E385" s="31"/>
      <c r="F385" s="22"/>
      <c r="G385" s="22"/>
    </row>
    <row r="386" spans="1:7" x14ac:dyDescent="0.3">
      <c r="A386" s="51"/>
      <c r="B386" s="22"/>
      <c r="C386" s="31"/>
      <c r="D386" s="31"/>
      <c r="E386" s="31"/>
      <c r="F386" s="22"/>
      <c r="G386" s="22"/>
    </row>
    <row r="387" spans="1:7" x14ac:dyDescent="0.3">
      <c r="A387" s="51"/>
      <c r="B387" s="22"/>
      <c r="C387" s="31"/>
      <c r="D387" s="31"/>
      <c r="E387" s="31"/>
      <c r="F387" s="22"/>
      <c r="G387" s="22"/>
    </row>
    <row r="388" spans="1:7" x14ac:dyDescent="0.3">
      <c r="A388" s="51"/>
      <c r="B388" s="22"/>
      <c r="C388" s="31"/>
      <c r="D388" s="31"/>
      <c r="E388" s="31"/>
      <c r="F388" s="22"/>
      <c r="G388" s="22"/>
    </row>
    <row r="389" spans="1:7" x14ac:dyDescent="0.3">
      <c r="A389" s="51"/>
      <c r="B389" s="22"/>
      <c r="C389" s="31"/>
      <c r="D389" s="31"/>
      <c r="E389" s="31"/>
      <c r="F389" s="22"/>
      <c r="G389" s="22"/>
    </row>
    <row r="390" spans="1:7" x14ac:dyDescent="0.3">
      <c r="A390" s="51"/>
      <c r="B390" s="22"/>
      <c r="C390" s="31"/>
      <c r="D390" s="31"/>
      <c r="E390" s="31"/>
      <c r="F390" s="22"/>
      <c r="G390" s="22"/>
    </row>
    <row r="391" spans="1:7" x14ac:dyDescent="0.3">
      <c r="A391" s="51"/>
      <c r="B391" s="22"/>
      <c r="C391" s="31"/>
      <c r="D391" s="31"/>
      <c r="E391" s="31"/>
      <c r="F391" s="22"/>
      <c r="G391" s="22"/>
    </row>
    <row r="392" spans="1:7" x14ac:dyDescent="0.3">
      <c r="A392" s="51"/>
      <c r="B392" s="22"/>
      <c r="C392" s="31"/>
      <c r="D392" s="31"/>
      <c r="E392" s="31"/>
      <c r="F392" s="22"/>
      <c r="G392" s="22"/>
    </row>
    <row r="393" spans="1:7" x14ac:dyDescent="0.3">
      <c r="A393" s="51"/>
      <c r="B393" s="22"/>
      <c r="C393" s="31"/>
      <c r="D393" s="31"/>
      <c r="E393" s="31"/>
      <c r="F393" s="22"/>
      <c r="G393" s="22"/>
    </row>
    <row r="394" spans="1:7" x14ac:dyDescent="0.3">
      <c r="A394" s="51"/>
      <c r="B394" s="22"/>
      <c r="C394" s="31"/>
      <c r="D394" s="31"/>
      <c r="E394" s="31"/>
      <c r="F394" s="22"/>
      <c r="G394" s="22"/>
    </row>
    <row r="395" spans="1:7" x14ac:dyDescent="0.3">
      <c r="A395" s="51"/>
      <c r="B395" s="22"/>
      <c r="C395" s="31"/>
      <c r="D395" s="31"/>
      <c r="E395" s="31"/>
      <c r="F395" s="22"/>
      <c r="G395" s="22"/>
    </row>
    <row r="396" spans="1:7" x14ac:dyDescent="0.3">
      <c r="A396" s="51"/>
      <c r="B396" s="22"/>
      <c r="C396" s="31"/>
      <c r="D396" s="31"/>
      <c r="E396" s="31"/>
      <c r="F396" s="22"/>
      <c r="G396" s="22"/>
    </row>
    <row r="397" spans="1:7" x14ac:dyDescent="0.3">
      <c r="A397" s="51"/>
      <c r="B397" s="22"/>
      <c r="C397" s="31"/>
      <c r="D397" s="31"/>
      <c r="E397" s="31"/>
      <c r="F397" s="22"/>
      <c r="G397" s="22"/>
    </row>
    <row r="398" spans="1:7" x14ac:dyDescent="0.3">
      <c r="A398" s="51"/>
      <c r="B398" s="22"/>
      <c r="C398" s="31"/>
      <c r="D398" s="31"/>
      <c r="E398" s="31"/>
      <c r="F398" s="22"/>
      <c r="G398" s="22"/>
    </row>
    <row r="399" spans="1:7" x14ac:dyDescent="0.3">
      <c r="A399" s="51"/>
      <c r="B399" s="22"/>
      <c r="C399" s="31"/>
      <c r="D399" s="31"/>
      <c r="E399" s="31"/>
      <c r="F399" s="22"/>
      <c r="G399" s="22"/>
    </row>
    <row r="400" spans="1:7" x14ac:dyDescent="0.3">
      <c r="A400" s="51"/>
      <c r="B400" s="22"/>
      <c r="C400" s="31"/>
      <c r="D400" s="31"/>
      <c r="E400" s="31"/>
      <c r="F400" s="22"/>
      <c r="G400" s="22"/>
    </row>
    <row r="401" spans="1:7" x14ac:dyDescent="0.3">
      <c r="A401" s="51"/>
      <c r="B401" s="22"/>
      <c r="C401" s="31"/>
      <c r="D401" s="31"/>
      <c r="E401" s="31"/>
      <c r="F401" s="22"/>
      <c r="G401" s="22"/>
    </row>
    <row r="402" spans="1:7" x14ac:dyDescent="0.3">
      <c r="A402" s="51"/>
      <c r="B402" s="22"/>
      <c r="C402" s="31"/>
      <c r="D402" s="31"/>
      <c r="E402" s="31"/>
      <c r="F402" s="22"/>
      <c r="G402" s="22"/>
    </row>
    <row r="403" spans="1:7" x14ac:dyDescent="0.3">
      <c r="A403" s="51"/>
      <c r="B403" s="22"/>
      <c r="C403" s="31"/>
      <c r="D403" s="31"/>
      <c r="E403" s="31"/>
      <c r="F403" s="22"/>
      <c r="G403" s="22"/>
    </row>
    <row r="404" spans="1:7" x14ac:dyDescent="0.3">
      <c r="A404" s="51"/>
      <c r="B404" s="22"/>
      <c r="C404" s="31"/>
      <c r="D404" s="31"/>
      <c r="E404" s="31"/>
      <c r="F404" s="22"/>
      <c r="G404" s="22"/>
    </row>
    <row r="405" spans="1:7" x14ac:dyDescent="0.3">
      <c r="A405" s="51"/>
      <c r="B405" s="22"/>
      <c r="C405" s="31"/>
      <c r="D405" s="31"/>
      <c r="E405" s="31"/>
      <c r="F405" s="22"/>
      <c r="G405" s="22"/>
    </row>
    <row r="406" spans="1:7" x14ac:dyDescent="0.3">
      <c r="A406" s="51"/>
      <c r="B406" s="22"/>
      <c r="C406" s="31"/>
      <c r="D406" s="31"/>
      <c r="E406" s="31"/>
      <c r="F406" s="22"/>
      <c r="G406" s="22"/>
    </row>
    <row r="407" spans="1:7" x14ac:dyDescent="0.3">
      <c r="A407" s="51"/>
      <c r="B407" s="22"/>
      <c r="C407" s="31"/>
      <c r="D407" s="31"/>
      <c r="E407" s="31"/>
      <c r="F407" s="22"/>
      <c r="G407" s="22"/>
    </row>
    <row r="408" spans="1:7" x14ac:dyDescent="0.3">
      <c r="A408" s="51"/>
      <c r="B408" s="22"/>
      <c r="C408" s="31"/>
      <c r="D408" s="31"/>
      <c r="E408" s="31"/>
      <c r="F408" s="22"/>
      <c r="G408" s="22"/>
    </row>
    <row r="409" spans="1:7" x14ac:dyDescent="0.3">
      <c r="A409" s="51"/>
      <c r="B409" s="22"/>
      <c r="C409" s="31"/>
      <c r="D409" s="31"/>
      <c r="E409" s="31"/>
      <c r="F409" s="22"/>
      <c r="G409" s="22"/>
    </row>
    <row r="410" spans="1:7" x14ac:dyDescent="0.3">
      <c r="A410" s="51"/>
      <c r="B410" s="22"/>
      <c r="C410" s="31"/>
      <c r="D410" s="31"/>
      <c r="E410" s="31"/>
      <c r="F410" s="22"/>
      <c r="G410" s="22"/>
    </row>
    <row r="411" spans="1:7" x14ac:dyDescent="0.3">
      <c r="A411" s="51"/>
      <c r="B411" s="22"/>
      <c r="C411" s="31"/>
      <c r="D411" s="31"/>
      <c r="E411" s="31"/>
      <c r="F411" s="22"/>
      <c r="G411" s="22"/>
    </row>
    <row r="412" spans="1:7" x14ac:dyDescent="0.3">
      <c r="A412" s="51"/>
      <c r="B412" s="22"/>
      <c r="C412" s="31"/>
      <c r="D412" s="31"/>
      <c r="E412" s="31"/>
      <c r="F412" s="22"/>
      <c r="G412" s="22"/>
    </row>
    <row r="413" spans="1:7" x14ac:dyDescent="0.3">
      <c r="A413" s="51"/>
      <c r="B413" s="22"/>
      <c r="C413" s="31"/>
      <c r="D413" s="31"/>
      <c r="E413" s="31"/>
      <c r="F413" s="22"/>
      <c r="G413" s="22"/>
    </row>
    <row r="414" spans="1:7" x14ac:dyDescent="0.3">
      <c r="A414" s="51"/>
      <c r="B414" s="22"/>
      <c r="C414" s="31"/>
      <c r="D414" s="31"/>
      <c r="E414" s="31"/>
      <c r="F414" s="22"/>
      <c r="G414" s="22"/>
    </row>
    <row r="415" spans="1:7" x14ac:dyDescent="0.3">
      <c r="A415" s="51"/>
      <c r="B415" s="22"/>
      <c r="C415" s="31"/>
      <c r="D415" s="31"/>
      <c r="E415" s="31"/>
      <c r="F415" s="22"/>
      <c r="G415" s="22"/>
    </row>
    <row r="416" spans="1:7" x14ac:dyDescent="0.3">
      <c r="A416" s="51"/>
      <c r="B416" s="22"/>
      <c r="C416" s="31"/>
      <c r="D416" s="31"/>
      <c r="E416" s="31"/>
      <c r="F416" s="22"/>
      <c r="G416" s="22"/>
    </row>
    <row r="417" spans="1:7" x14ac:dyDescent="0.3">
      <c r="A417" s="51"/>
      <c r="B417" s="22"/>
      <c r="C417" s="31"/>
      <c r="D417" s="31"/>
      <c r="E417" s="31"/>
      <c r="F417" s="22"/>
      <c r="G417" s="22"/>
    </row>
    <row r="418" spans="1:7" x14ac:dyDescent="0.3">
      <c r="A418" s="51"/>
      <c r="B418" s="22"/>
      <c r="C418" s="31"/>
      <c r="D418" s="31"/>
      <c r="E418" s="31"/>
      <c r="F418" s="22"/>
      <c r="G418" s="22"/>
    </row>
    <row r="419" spans="1:7" x14ac:dyDescent="0.3">
      <c r="A419" s="51"/>
      <c r="B419" s="22"/>
      <c r="C419" s="31"/>
      <c r="D419" s="31"/>
      <c r="E419" s="31"/>
      <c r="F419" s="22"/>
      <c r="G419" s="22"/>
    </row>
    <row r="420" spans="1:7" x14ac:dyDescent="0.3">
      <c r="A420" s="51"/>
      <c r="B420" s="22"/>
      <c r="C420" s="31"/>
      <c r="D420" s="31"/>
      <c r="E420" s="31"/>
      <c r="F420" s="22"/>
      <c r="G420" s="22"/>
    </row>
    <row r="421" spans="1:7" x14ac:dyDescent="0.3">
      <c r="A421" s="51"/>
      <c r="B421" s="22"/>
      <c r="C421" s="31"/>
      <c r="D421" s="31"/>
      <c r="E421" s="31"/>
      <c r="F421" s="22"/>
      <c r="G421" s="22"/>
    </row>
    <row r="422" spans="1:7" x14ac:dyDescent="0.3">
      <c r="A422" s="51"/>
      <c r="B422" s="22"/>
      <c r="C422" s="31"/>
      <c r="D422" s="31"/>
      <c r="E422" s="31"/>
      <c r="F422" s="22"/>
      <c r="G422" s="22"/>
    </row>
    <row r="423" spans="1:7" x14ac:dyDescent="0.3">
      <c r="A423" s="51"/>
      <c r="B423" s="22"/>
      <c r="C423" s="31"/>
      <c r="D423" s="31"/>
      <c r="E423" s="31"/>
      <c r="F423" s="22"/>
      <c r="G423" s="22"/>
    </row>
    <row r="424" spans="1:7" x14ac:dyDescent="0.3">
      <c r="A424" s="51"/>
      <c r="B424" s="22"/>
      <c r="C424" s="31"/>
      <c r="D424" s="31"/>
      <c r="E424" s="31"/>
      <c r="F424" s="22"/>
      <c r="G424" s="22"/>
    </row>
    <row r="425" spans="1:7" x14ac:dyDescent="0.3">
      <c r="A425" s="51"/>
      <c r="B425" s="22"/>
      <c r="C425" s="31"/>
      <c r="D425" s="31"/>
      <c r="E425" s="31"/>
      <c r="F425" s="22"/>
      <c r="G425" s="22"/>
    </row>
    <row r="426" spans="1:7" x14ac:dyDescent="0.3">
      <c r="A426" s="51"/>
      <c r="B426" s="22"/>
      <c r="C426" s="31"/>
      <c r="D426" s="31"/>
      <c r="E426" s="31"/>
      <c r="F426" s="22"/>
      <c r="G426" s="22"/>
    </row>
    <row r="427" spans="1:7" x14ac:dyDescent="0.3">
      <c r="A427" s="51"/>
      <c r="B427" s="22"/>
      <c r="C427" s="31"/>
      <c r="D427" s="31"/>
      <c r="E427" s="31"/>
      <c r="F427" s="22"/>
      <c r="G427" s="22"/>
    </row>
    <row r="428" spans="1:7" x14ac:dyDescent="0.3">
      <c r="A428" s="51"/>
      <c r="B428" s="22"/>
      <c r="C428" s="31"/>
      <c r="D428" s="31"/>
      <c r="E428" s="31"/>
      <c r="F428" s="22"/>
      <c r="G428" s="22"/>
    </row>
    <row r="429" spans="1:7" x14ac:dyDescent="0.3">
      <c r="A429" s="51"/>
      <c r="B429" s="22"/>
      <c r="C429" s="31"/>
      <c r="D429" s="31"/>
      <c r="E429" s="31"/>
      <c r="F429" s="22"/>
      <c r="G429" s="22"/>
    </row>
    <row r="430" spans="1:7" x14ac:dyDescent="0.3">
      <c r="A430" s="51"/>
      <c r="B430" s="22"/>
      <c r="C430" s="31"/>
      <c r="D430" s="31"/>
      <c r="E430" s="31"/>
      <c r="F430" s="22"/>
      <c r="G430" s="22"/>
    </row>
    <row r="431" spans="1:7" x14ac:dyDescent="0.3">
      <c r="A431" s="51"/>
      <c r="B431" s="22"/>
      <c r="C431" s="31"/>
      <c r="D431" s="31"/>
      <c r="E431" s="31"/>
      <c r="F431" s="22"/>
      <c r="G431" s="22"/>
    </row>
    <row r="432" spans="1:7" x14ac:dyDescent="0.3">
      <c r="A432" s="51"/>
      <c r="B432" s="22"/>
      <c r="C432" s="31"/>
      <c r="D432" s="31"/>
      <c r="E432" s="31"/>
      <c r="F432" s="22"/>
      <c r="G432" s="22"/>
    </row>
    <row r="433" spans="1:7" x14ac:dyDescent="0.3">
      <c r="A433" s="51"/>
      <c r="B433" s="22"/>
      <c r="C433" s="31"/>
      <c r="D433" s="31"/>
      <c r="E433" s="31"/>
      <c r="F433" s="22"/>
      <c r="G433" s="22"/>
    </row>
    <row r="434" spans="1:7" x14ac:dyDescent="0.3">
      <c r="A434" s="51"/>
      <c r="B434" s="22"/>
      <c r="C434" s="31"/>
      <c r="D434" s="31"/>
      <c r="E434" s="31"/>
      <c r="F434" s="22"/>
      <c r="G434" s="22"/>
    </row>
    <row r="435" spans="1:7" x14ac:dyDescent="0.3">
      <c r="A435" s="51"/>
      <c r="B435" s="22"/>
      <c r="C435" s="31"/>
      <c r="D435" s="31"/>
      <c r="E435" s="31"/>
      <c r="F435" s="22"/>
      <c r="G435" s="22"/>
    </row>
    <row r="436" spans="1:7" x14ac:dyDescent="0.3">
      <c r="A436" s="51"/>
      <c r="B436" s="22"/>
      <c r="C436" s="31"/>
      <c r="D436" s="31"/>
      <c r="E436" s="31"/>
      <c r="F436" s="22"/>
      <c r="G436" s="22"/>
    </row>
    <row r="437" spans="1:7" x14ac:dyDescent="0.3">
      <c r="A437" s="51"/>
      <c r="B437" s="22"/>
      <c r="C437" s="31"/>
      <c r="D437" s="31"/>
      <c r="E437" s="31"/>
      <c r="F437" s="22"/>
      <c r="G437" s="22"/>
    </row>
    <row r="438" spans="1:7" x14ac:dyDescent="0.3">
      <c r="A438" s="51"/>
      <c r="B438" s="22"/>
      <c r="C438" s="31"/>
      <c r="D438" s="31"/>
      <c r="E438" s="31"/>
      <c r="F438" s="22"/>
      <c r="G438" s="22"/>
    </row>
    <row r="439" spans="1:7" x14ac:dyDescent="0.3">
      <c r="A439" s="51"/>
      <c r="B439" s="22"/>
      <c r="C439" s="31"/>
      <c r="D439" s="31"/>
      <c r="E439" s="31"/>
      <c r="F439" s="22"/>
      <c r="G439" s="22"/>
    </row>
    <row r="440" spans="1:7" x14ac:dyDescent="0.3">
      <c r="A440" s="51"/>
      <c r="B440" s="22"/>
      <c r="C440" s="31"/>
      <c r="D440" s="31"/>
      <c r="E440" s="31"/>
      <c r="F440" s="22"/>
      <c r="G440" s="22"/>
    </row>
    <row r="441" spans="1:7" x14ac:dyDescent="0.3">
      <c r="A441" s="51"/>
      <c r="B441" s="22"/>
      <c r="C441" s="31"/>
      <c r="D441" s="31"/>
      <c r="E441" s="31"/>
      <c r="F441" s="22"/>
      <c r="G441" s="22"/>
    </row>
    <row r="442" spans="1:7" x14ac:dyDescent="0.3">
      <c r="A442" s="51"/>
      <c r="B442" s="22"/>
      <c r="C442" s="31"/>
      <c r="D442" s="31"/>
      <c r="E442" s="31"/>
      <c r="F442" s="22"/>
      <c r="G442" s="22"/>
    </row>
    <row r="443" spans="1:7" x14ac:dyDescent="0.3">
      <c r="A443" s="51"/>
      <c r="B443" s="22"/>
      <c r="C443" s="31"/>
      <c r="D443" s="31"/>
      <c r="E443" s="31"/>
      <c r="F443" s="22"/>
      <c r="G443" s="22"/>
    </row>
    <row r="444" spans="1:7" x14ac:dyDescent="0.3">
      <c r="A444" s="51"/>
      <c r="B444" s="22"/>
      <c r="C444" s="31"/>
      <c r="D444" s="31"/>
      <c r="E444" s="31"/>
      <c r="F444" s="22"/>
      <c r="G444" s="22"/>
    </row>
    <row r="445" spans="1:7" x14ac:dyDescent="0.3">
      <c r="A445" s="51"/>
      <c r="B445" s="22"/>
      <c r="C445" s="31"/>
      <c r="D445" s="31"/>
      <c r="E445" s="31"/>
      <c r="F445" s="22"/>
      <c r="G445" s="22"/>
    </row>
    <row r="446" spans="1:7" x14ac:dyDescent="0.3">
      <c r="A446" s="51"/>
      <c r="B446" s="22"/>
      <c r="C446" s="31"/>
      <c r="D446" s="31"/>
      <c r="E446" s="31"/>
      <c r="F446" s="22"/>
      <c r="G446" s="22"/>
    </row>
    <row r="447" spans="1:7" x14ac:dyDescent="0.3">
      <c r="A447" s="51"/>
      <c r="B447" s="22"/>
      <c r="C447" s="31"/>
      <c r="D447" s="31"/>
      <c r="E447" s="31"/>
      <c r="F447" s="22"/>
      <c r="G447" s="22"/>
    </row>
    <row r="448" spans="1:7" x14ac:dyDescent="0.3">
      <c r="A448" s="51"/>
      <c r="B448" s="22"/>
      <c r="C448" s="31"/>
      <c r="D448" s="31"/>
      <c r="E448" s="31"/>
      <c r="F448" s="22"/>
      <c r="G448" s="22"/>
    </row>
    <row r="449" spans="1:7" x14ac:dyDescent="0.3">
      <c r="A449" s="51"/>
      <c r="B449" s="22"/>
      <c r="C449" s="31"/>
      <c r="D449" s="31"/>
      <c r="E449" s="31"/>
      <c r="F449" s="22"/>
      <c r="G449" s="22"/>
    </row>
    <row r="450" spans="1:7" x14ac:dyDescent="0.3">
      <c r="A450" s="51"/>
      <c r="B450" s="22"/>
      <c r="C450" s="31"/>
      <c r="D450" s="31"/>
      <c r="E450" s="31"/>
      <c r="F450" s="22"/>
      <c r="G450" s="22"/>
    </row>
    <row r="451" spans="1:7" x14ac:dyDescent="0.3">
      <c r="A451" s="51"/>
      <c r="B451" s="22"/>
      <c r="C451" s="31"/>
      <c r="D451" s="31"/>
      <c r="E451" s="31"/>
      <c r="F451" s="22"/>
      <c r="G451" s="22"/>
    </row>
    <row r="452" spans="1:7" x14ac:dyDescent="0.3">
      <c r="A452" s="51"/>
      <c r="B452" s="22"/>
      <c r="C452" s="31"/>
      <c r="D452" s="31"/>
      <c r="E452" s="31"/>
      <c r="F452" s="22"/>
      <c r="G452" s="22"/>
    </row>
    <row r="453" spans="1:7" x14ac:dyDescent="0.3">
      <c r="A453" s="51"/>
      <c r="B453" s="22"/>
      <c r="C453" s="31"/>
      <c r="D453" s="31"/>
      <c r="E453" s="31"/>
      <c r="F453" s="22"/>
      <c r="G453" s="22"/>
    </row>
    <row r="454" spans="1:7" x14ac:dyDescent="0.3">
      <c r="A454" s="51"/>
      <c r="B454" s="22"/>
      <c r="C454" s="31"/>
      <c r="D454" s="31"/>
      <c r="E454" s="31"/>
      <c r="F454" s="22"/>
      <c r="G454" s="22"/>
    </row>
    <row r="455" spans="1:7" x14ac:dyDescent="0.3">
      <c r="A455" s="51"/>
      <c r="B455" s="22"/>
      <c r="C455" s="31"/>
      <c r="D455" s="31"/>
      <c r="E455" s="31"/>
      <c r="F455" s="22"/>
      <c r="G455" s="22"/>
    </row>
    <row r="456" spans="1:7" x14ac:dyDescent="0.3">
      <c r="A456" s="51"/>
      <c r="B456" s="22"/>
      <c r="C456" s="31"/>
      <c r="D456" s="31"/>
      <c r="E456" s="31"/>
      <c r="F456" s="22"/>
      <c r="G456" s="22"/>
    </row>
    <row r="457" spans="1:7" x14ac:dyDescent="0.3">
      <c r="A457" s="51"/>
      <c r="B457" s="22"/>
      <c r="C457" s="31"/>
      <c r="D457" s="31"/>
      <c r="E457" s="31"/>
      <c r="F457" s="22"/>
      <c r="G457" s="22"/>
    </row>
    <row r="458" spans="1:7" x14ac:dyDescent="0.3">
      <c r="A458" s="51"/>
      <c r="B458" s="22"/>
      <c r="C458" s="31"/>
      <c r="D458" s="31"/>
      <c r="E458" s="31"/>
      <c r="F458" s="22"/>
      <c r="G458" s="22"/>
    </row>
    <row r="459" spans="1:7" x14ac:dyDescent="0.3">
      <c r="A459" s="51"/>
      <c r="B459" s="22"/>
      <c r="C459" s="31"/>
      <c r="D459" s="31"/>
      <c r="E459" s="31"/>
      <c r="F459" s="22"/>
      <c r="G459" s="22"/>
    </row>
    <row r="460" spans="1:7" x14ac:dyDescent="0.3">
      <c r="A460" s="51"/>
      <c r="B460" s="22"/>
      <c r="C460" s="31"/>
      <c r="D460" s="31"/>
      <c r="E460" s="31"/>
      <c r="F460" s="22"/>
      <c r="G460" s="22"/>
    </row>
    <row r="461" spans="1:7" x14ac:dyDescent="0.3">
      <c r="A461" s="51"/>
      <c r="B461" s="22"/>
      <c r="C461" s="31"/>
      <c r="D461" s="31"/>
      <c r="E461" s="31"/>
      <c r="F461" s="22"/>
      <c r="G461" s="22"/>
    </row>
    <row r="462" spans="1:7" x14ac:dyDescent="0.3">
      <c r="A462" s="51"/>
      <c r="B462" s="22"/>
      <c r="C462" s="31"/>
      <c r="D462" s="31"/>
      <c r="E462" s="31"/>
      <c r="F462" s="22"/>
      <c r="G462" s="22"/>
    </row>
    <row r="463" spans="1:7" x14ac:dyDescent="0.3">
      <c r="A463" s="51"/>
      <c r="B463" s="22"/>
      <c r="C463" s="31"/>
      <c r="D463" s="31"/>
      <c r="E463" s="31"/>
      <c r="F463" s="22"/>
      <c r="G463" s="22"/>
    </row>
    <row r="464" spans="1:7" x14ac:dyDescent="0.3">
      <c r="A464" s="51"/>
      <c r="B464" s="22"/>
      <c r="C464" s="31"/>
      <c r="D464" s="31"/>
      <c r="E464" s="31"/>
      <c r="F464" s="22"/>
      <c r="G464" s="22"/>
    </row>
    <row r="465" spans="1:7" x14ac:dyDescent="0.3">
      <c r="A465" s="51"/>
      <c r="B465" s="22"/>
      <c r="C465" s="31"/>
      <c r="D465" s="31"/>
      <c r="E465" s="31"/>
      <c r="F465" s="22"/>
      <c r="G465" s="22"/>
    </row>
    <row r="466" spans="1:7" x14ac:dyDescent="0.3">
      <c r="A466" s="51"/>
      <c r="B466" s="22"/>
      <c r="C466" s="31"/>
      <c r="D466" s="31"/>
      <c r="E466" s="31"/>
      <c r="F466" s="22"/>
      <c r="G466" s="22"/>
    </row>
    <row r="467" spans="1:7" x14ac:dyDescent="0.3">
      <c r="A467" s="51"/>
      <c r="B467" s="22"/>
      <c r="C467" s="31"/>
      <c r="D467" s="31"/>
      <c r="E467" s="31"/>
      <c r="F467" s="22"/>
      <c r="G467" s="22"/>
    </row>
    <row r="468" spans="1:7" x14ac:dyDescent="0.3">
      <c r="A468" s="51"/>
      <c r="B468" s="22"/>
      <c r="C468" s="31"/>
      <c r="D468" s="31"/>
      <c r="E468" s="31"/>
      <c r="F468" s="22"/>
      <c r="G468" s="22"/>
    </row>
    <row r="469" spans="1:7" x14ac:dyDescent="0.3">
      <c r="A469" s="51"/>
      <c r="B469" s="22"/>
      <c r="C469" s="31"/>
      <c r="D469" s="31"/>
      <c r="E469" s="31"/>
      <c r="F469" s="22"/>
      <c r="G469" s="22"/>
    </row>
    <row r="470" spans="1:7" x14ac:dyDescent="0.3">
      <c r="A470" s="51"/>
      <c r="B470" s="22"/>
      <c r="C470" s="31"/>
      <c r="D470" s="31"/>
      <c r="E470" s="31"/>
      <c r="F470" s="22"/>
      <c r="G470" s="22"/>
    </row>
    <row r="471" spans="1:7" x14ac:dyDescent="0.3">
      <c r="A471" s="51"/>
      <c r="B471" s="22"/>
      <c r="C471" s="31"/>
      <c r="D471" s="31"/>
      <c r="E471" s="31"/>
      <c r="F471" s="22"/>
      <c r="G471" s="22"/>
    </row>
    <row r="472" spans="1:7" x14ac:dyDescent="0.3">
      <c r="A472" s="51"/>
      <c r="B472" s="22"/>
      <c r="C472" s="31"/>
      <c r="D472" s="31"/>
      <c r="E472" s="31"/>
      <c r="F472" s="22"/>
      <c r="G472" s="22"/>
    </row>
    <row r="473" spans="1:7" x14ac:dyDescent="0.3">
      <c r="A473" s="51"/>
      <c r="B473" s="22"/>
      <c r="C473" s="31"/>
      <c r="D473" s="31"/>
      <c r="E473" s="31"/>
      <c r="F473" s="22"/>
      <c r="G473" s="22"/>
    </row>
    <row r="474" spans="1:7" x14ac:dyDescent="0.3">
      <c r="A474" s="51"/>
      <c r="B474" s="22"/>
      <c r="C474" s="31"/>
      <c r="D474" s="31"/>
      <c r="E474" s="31"/>
      <c r="F474" s="22"/>
      <c r="G474" s="22"/>
    </row>
    <row r="475" spans="1:7" x14ac:dyDescent="0.3">
      <c r="A475" s="51"/>
      <c r="B475" s="22"/>
      <c r="C475" s="31"/>
      <c r="D475" s="31"/>
      <c r="E475" s="31"/>
      <c r="F475" s="22"/>
      <c r="G475" s="22"/>
    </row>
    <row r="476" spans="1:7" x14ac:dyDescent="0.3">
      <c r="A476" s="51"/>
      <c r="B476" s="22"/>
      <c r="C476" s="31"/>
      <c r="D476" s="31"/>
      <c r="E476" s="31"/>
      <c r="F476" s="22"/>
      <c r="G476" s="22"/>
    </row>
    <row r="477" spans="1:7" x14ac:dyDescent="0.3">
      <c r="A477" s="51"/>
      <c r="B477" s="22"/>
      <c r="C477" s="31"/>
      <c r="D477" s="31"/>
      <c r="E477" s="31"/>
      <c r="F477" s="22"/>
      <c r="G477" s="22"/>
    </row>
    <row r="478" spans="1:7" x14ac:dyDescent="0.3">
      <c r="A478" s="51"/>
      <c r="B478" s="22"/>
      <c r="C478" s="31"/>
      <c r="D478" s="31"/>
      <c r="E478" s="31"/>
      <c r="F478" s="22"/>
      <c r="G478" s="22"/>
    </row>
    <row r="479" spans="1:7" x14ac:dyDescent="0.3">
      <c r="A479" s="51"/>
      <c r="B479" s="22"/>
      <c r="C479" s="31"/>
      <c r="D479" s="31"/>
      <c r="E479" s="31"/>
      <c r="F479" s="22"/>
      <c r="G479" s="22"/>
    </row>
    <row r="480" spans="1:7" x14ac:dyDescent="0.3">
      <c r="A480" s="51"/>
      <c r="B480" s="22"/>
      <c r="C480" s="31"/>
      <c r="D480" s="31"/>
      <c r="E480" s="31"/>
      <c r="F480" s="22"/>
      <c r="G480" s="22"/>
    </row>
    <row r="481" spans="1:7" x14ac:dyDescent="0.3">
      <c r="A481" s="51"/>
      <c r="B481" s="22"/>
      <c r="C481" s="31"/>
      <c r="D481" s="31"/>
      <c r="E481" s="31"/>
      <c r="F481" s="22"/>
      <c r="G481" s="22"/>
    </row>
    <row r="482" spans="1:7" x14ac:dyDescent="0.3">
      <c r="A482" s="51"/>
      <c r="B482" s="22"/>
      <c r="C482" s="31"/>
      <c r="D482" s="31"/>
      <c r="E482" s="31"/>
      <c r="F482" s="22"/>
      <c r="G482" s="22"/>
    </row>
    <row r="483" spans="1:7" x14ac:dyDescent="0.3">
      <c r="A483" s="51"/>
      <c r="B483" s="22"/>
      <c r="C483" s="31"/>
      <c r="D483" s="31"/>
      <c r="E483" s="31"/>
      <c r="F483" s="22"/>
      <c r="G483" s="22"/>
    </row>
    <row r="484" spans="1:7" x14ac:dyDescent="0.3">
      <c r="A484" s="51"/>
      <c r="B484" s="22"/>
      <c r="C484" s="31"/>
      <c r="D484" s="31"/>
      <c r="E484" s="31"/>
      <c r="F484" s="22"/>
      <c r="G484" s="22"/>
    </row>
    <row r="485" spans="1:7" x14ac:dyDescent="0.3">
      <c r="A485" s="51"/>
      <c r="B485" s="22"/>
      <c r="C485" s="31"/>
      <c r="D485" s="31"/>
      <c r="E485" s="31"/>
      <c r="F485" s="22"/>
      <c r="G485" s="22"/>
    </row>
    <row r="486" spans="1:7" x14ac:dyDescent="0.3">
      <c r="A486" s="51"/>
      <c r="B486" s="22"/>
      <c r="C486" s="31"/>
      <c r="D486" s="31"/>
      <c r="E486" s="31"/>
      <c r="F486" s="22"/>
      <c r="G486" s="22"/>
    </row>
    <row r="487" spans="1:7" x14ac:dyDescent="0.3">
      <c r="A487" s="51"/>
      <c r="B487" s="22"/>
      <c r="C487" s="31"/>
      <c r="D487" s="31"/>
      <c r="E487" s="31"/>
      <c r="F487" s="22"/>
      <c r="G487" s="22"/>
    </row>
    <row r="488" spans="1:7" x14ac:dyDescent="0.3">
      <c r="A488" s="51"/>
      <c r="B488" s="22"/>
      <c r="C488" s="31"/>
      <c r="D488" s="31"/>
      <c r="E488" s="31"/>
      <c r="F488" s="22"/>
      <c r="G488" s="22"/>
    </row>
    <row r="489" spans="1:7" x14ac:dyDescent="0.3">
      <c r="A489" s="51"/>
      <c r="B489" s="22"/>
      <c r="C489" s="31"/>
      <c r="D489" s="31"/>
      <c r="E489" s="31"/>
      <c r="F489" s="22"/>
      <c r="G489" s="22"/>
    </row>
    <row r="490" spans="1:7" x14ac:dyDescent="0.3">
      <c r="A490" s="51"/>
      <c r="B490" s="22"/>
      <c r="C490" s="31"/>
      <c r="D490" s="31"/>
      <c r="E490" s="31"/>
      <c r="F490" s="22"/>
      <c r="G490" s="22"/>
    </row>
    <row r="491" spans="1:7" x14ac:dyDescent="0.3">
      <c r="A491" s="51"/>
      <c r="B491" s="22"/>
      <c r="C491" s="31"/>
      <c r="D491" s="31"/>
      <c r="E491" s="31"/>
      <c r="F491" s="22"/>
      <c r="G491" s="22"/>
    </row>
    <row r="492" spans="1:7" x14ac:dyDescent="0.3">
      <c r="A492" s="51"/>
      <c r="B492" s="22"/>
      <c r="C492" s="31"/>
      <c r="D492" s="31"/>
      <c r="E492" s="31"/>
      <c r="F492" s="22"/>
      <c r="G492" s="22"/>
    </row>
    <row r="493" spans="1:7" x14ac:dyDescent="0.3">
      <c r="A493" s="51"/>
      <c r="B493" s="22"/>
      <c r="C493" s="31"/>
      <c r="D493" s="31"/>
      <c r="E493" s="31"/>
      <c r="F493" s="22"/>
      <c r="G493" s="22"/>
    </row>
    <row r="494" spans="1:7" x14ac:dyDescent="0.3">
      <c r="A494" s="51"/>
      <c r="B494" s="22"/>
      <c r="C494" s="31"/>
      <c r="D494" s="31"/>
      <c r="E494" s="31"/>
      <c r="F494" s="22"/>
      <c r="G494" s="22"/>
    </row>
    <row r="495" spans="1:7" x14ac:dyDescent="0.3">
      <c r="A495" s="51"/>
      <c r="B495" s="22"/>
      <c r="C495" s="31"/>
      <c r="D495" s="31"/>
      <c r="E495" s="31"/>
      <c r="F495" s="22"/>
      <c r="G495" s="22"/>
    </row>
    <row r="496" spans="1:7" x14ac:dyDescent="0.3">
      <c r="A496" s="51"/>
      <c r="B496" s="22"/>
      <c r="C496" s="31"/>
      <c r="D496" s="31"/>
      <c r="E496" s="31"/>
      <c r="F496" s="22"/>
      <c r="G496" s="22"/>
    </row>
    <row r="497" spans="1:7" x14ac:dyDescent="0.3">
      <c r="A497" s="59"/>
      <c r="B497" s="59"/>
      <c r="C497" s="59"/>
      <c r="D497" s="59"/>
      <c r="E497" s="59"/>
      <c r="F497" s="59"/>
      <c r="G497" s="59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E33B8-7D2F-4EFF-8417-5AB66BEC6FAF}">
  <sheetPr codeName="Sheet11"/>
  <dimension ref="A1:G497"/>
  <sheetViews>
    <sheetView workbookViewId="0">
      <selection activeCell="F17" sqref="F17"/>
    </sheetView>
  </sheetViews>
  <sheetFormatPr defaultRowHeight="14.4" x14ac:dyDescent="0.3"/>
  <cols>
    <col min="1" max="7" width="20.6640625" style="21" customWidth="1"/>
  </cols>
  <sheetData>
    <row r="1" spans="1:7" x14ac:dyDescent="0.3">
      <c r="A1" s="50" t="s">
        <v>0</v>
      </c>
      <c r="B1" s="50" t="s">
        <v>337</v>
      </c>
      <c r="C1" s="50" t="s">
        <v>341</v>
      </c>
      <c r="D1" s="50" t="s">
        <v>6</v>
      </c>
      <c r="E1" s="50" t="s">
        <v>116</v>
      </c>
      <c r="F1" s="50"/>
      <c r="G1" s="50" t="s">
        <v>7</v>
      </c>
    </row>
    <row r="2" spans="1:7" x14ac:dyDescent="0.3">
      <c r="A2" s="51" t="s">
        <v>342</v>
      </c>
      <c r="B2" s="22">
        <v>25</v>
      </c>
      <c r="C2" s="52">
        <v>10</v>
      </c>
      <c r="D2" s="52">
        <v>1</v>
      </c>
      <c r="E2" s="52">
        <v>0</v>
      </c>
      <c r="F2" s="60"/>
      <c r="G2" s="22"/>
    </row>
    <row r="3" spans="1:7" x14ac:dyDescent="0.3">
      <c r="A3" s="51" t="s">
        <v>343</v>
      </c>
      <c r="B3" s="22">
        <v>100</v>
      </c>
      <c r="C3" s="52">
        <v>1</v>
      </c>
      <c r="D3" s="52">
        <v>1</v>
      </c>
      <c r="E3" s="52">
        <v>0</v>
      </c>
      <c r="F3" s="22"/>
      <c r="G3" s="22"/>
    </row>
    <row r="4" spans="1:7" x14ac:dyDescent="0.3">
      <c r="A4" s="51" t="s">
        <v>344</v>
      </c>
      <c r="B4" s="22">
        <v>450</v>
      </c>
      <c r="C4" s="31">
        <v>1</v>
      </c>
      <c r="D4" s="52">
        <v>0</v>
      </c>
      <c r="E4" s="52">
        <v>0</v>
      </c>
      <c r="F4" s="22"/>
      <c r="G4" s="22"/>
    </row>
    <row r="5" spans="1:7" x14ac:dyDescent="0.3">
      <c r="A5" s="51" t="s">
        <v>345</v>
      </c>
      <c r="B5" s="22">
        <v>25</v>
      </c>
      <c r="C5" s="31">
        <v>1</v>
      </c>
      <c r="D5" s="52">
        <v>1</v>
      </c>
      <c r="E5" s="52">
        <v>0</v>
      </c>
      <c r="F5" s="22"/>
      <c r="G5" s="22"/>
    </row>
    <row r="6" spans="1:7" x14ac:dyDescent="0.3">
      <c r="A6" s="51" t="s">
        <v>365</v>
      </c>
      <c r="B6" s="22">
        <v>10000</v>
      </c>
      <c r="C6" s="31">
        <v>1</v>
      </c>
      <c r="D6" s="52">
        <v>0</v>
      </c>
      <c r="E6" s="52">
        <v>0</v>
      </c>
      <c r="F6" s="22"/>
      <c r="G6" s="22"/>
    </row>
    <row r="7" spans="1:7" x14ac:dyDescent="0.3">
      <c r="A7" s="51" t="s">
        <v>363</v>
      </c>
      <c r="B7" s="22">
        <v>20000</v>
      </c>
      <c r="C7" s="52">
        <v>1</v>
      </c>
      <c r="D7" s="52">
        <v>5</v>
      </c>
      <c r="E7" s="52">
        <v>0</v>
      </c>
      <c r="F7" s="22"/>
      <c r="G7" s="22"/>
    </row>
    <row r="8" spans="1:7" x14ac:dyDescent="0.3">
      <c r="A8" s="51" t="s">
        <v>364</v>
      </c>
      <c r="B8" s="22">
        <v>8500</v>
      </c>
      <c r="C8" s="52">
        <v>1</v>
      </c>
      <c r="D8" s="52">
        <v>5</v>
      </c>
      <c r="E8" s="52">
        <v>0</v>
      </c>
      <c r="F8" s="22"/>
      <c r="G8" s="22"/>
    </row>
    <row r="9" spans="1:7" x14ac:dyDescent="0.3">
      <c r="A9" s="51" t="s">
        <v>366</v>
      </c>
      <c r="B9" s="22">
        <v>3500</v>
      </c>
      <c r="C9" s="52">
        <v>1</v>
      </c>
      <c r="D9" s="52">
        <v>1</v>
      </c>
      <c r="E9" s="52">
        <v>0</v>
      </c>
      <c r="F9" s="22"/>
      <c r="G9" s="22"/>
    </row>
    <row r="10" spans="1:7" x14ac:dyDescent="0.3">
      <c r="A10" s="51" t="s">
        <v>367</v>
      </c>
      <c r="B10" s="22">
        <v>54000</v>
      </c>
      <c r="C10" s="52">
        <v>1</v>
      </c>
      <c r="D10" s="52">
        <v>1</v>
      </c>
      <c r="E10" s="52">
        <v>-2</v>
      </c>
      <c r="F10" s="22"/>
      <c r="G10" s="22"/>
    </row>
    <row r="11" spans="1:7" x14ac:dyDescent="0.3">
      <c r="A11" s="51" t="s">
        <v>368</v>
      </c>
      <c r="B11" s="22">
        <v>4500</v>
      </c>
      <c r="C11" s="52">
        <v>1</v>
      </c>
      <c r="D11" s="52">
        <v>1</v>
      </c>
      <c r="E11" s="52">
        <v>0</v>
      </c>
      <c r="F11" s="22"/>
      <c r="G11" s="22"/>
    </row>
    <row r="12" spans="1:7" x14ac:dyDescent="0.3">
      <c r="A12" s="51" t="s">
        <v>369</v>
      </c>
      <c r="B12" s="22">
        <v>2000</v>
      </c>
      <c r="C12" s="52">
        <v>1</v>
      </c>
      <c r="D12" s="52">
        <v>1</v>
      </c>
      <c r="E12" s="52">
        <v>0</v>
      </c>
      <c r="F12" s="22"/>
      <c r="G12" s="22"/>
    </row>
    <row r="13" spans="1:7" x14ac:dyDescent="0.3">
      <c r="A13" s="51" t="s">
        <v>370</v>
      </c>
      <c r="B13" s="22">
        <v>3000</v>
      </c>
      <c r="C13" s="52">
        <v>1</v>
      </c>
      <c r="D13" s="52">
        <v>1</v>
      </c>
      <c r="E13" s="52">
        <v>0</v>
      </c>
      <c r="F13" s="22"/>
      <c r="G13" s="22"/>
    </row>
    <row r="14" spans="1:7" x14ac:dyDescent="0.3">
      <c r="A14" s="51" t="s">
        <v>371</v>
      </c>
      <c r="B14" s="22">
        <v>2500</v>
      </c>
      <c r="C14" s="52">
        <v>1</v>
      </c>
      <c r="D14" s="52">
        <v>0</v>
      </c>
      <c r="E14" s="52">
        <v>0</v>
      </c>
      <c r="F14" s="22"/>
      <c r="G14" s="22"/>
    </row>
    <row r="15" spans="1:7" x14ac:dyDescent="0.3">
      <c r="A15" s="51" t="s">
        <v>372</v>
      </c>
      <c r="B15" s="22">
        <v>85000</v>
      </c>
      <c r="C15" s="31">
        <v>1</v>
      </c>
      <c r="D15" s="31">
        <v>0</v>
      </c>
      <c r="E15" s="52">
        <v>0</v>
      </c>
      <c r="F15" s="22"/>
      <c r="G15" s="22"/>
    </row>
    <row r="16" spans="1:7" x14ac:dyDescent="0.3">
      <c r="A16" s="51" t="s">
        <v>373</v>
      </c>
      <c r="B16" s="22">
        <v>25662</v>
      </c>
      <c r="C16" s="31">
        <v>1</v>
      </c>
      <c r="D16" s="31">
        <v>1</v>
      </c>
      <c r="E16" s="52">
        <v>0</v>
      </c>
      <c r="F16" s="22"/>
      <c r="G16" s="22"/>
    </row>
    <row r="17" spans="1:7" x14ac:dyDescent="0.3">
      <c r="A17" s="51" t="s">
        <v>374</v>
      </c>
      <c r="B17" s="22">
        <v>22000</v>
      </c>
      <c r="C17" s="31">
        <v>1</v>
      </c>
      <c r="D17" s="31">
        <v>1</v>
      </c>
      <c r="E17" s="31">
        <v>0</v>
      </c>
      <c r="F17" s="22"/>
      <c r="G17" s="22"/>
    </row>
    <row r="18" spans="1:7" x14ac:dyDescent="0.3">
      <c r="A18" s="51" t="s">
        <v>375</v>
      </c>
      <c r="B18" s="22">
        <v>18000</v>
      </c>
      <c r="C18" s="31">
        <v>1</v>
      </c>
      <c r="D18" s="31">
        <v>1</v>
      </c>
      <c r="E18" s="31">
        <v>0</v>
      </c>
      <c r="F18" s="22"/>
      <c r="G18" s="22"/>
    </row>
    <row r="19" spans="1:7" x14ac:dyDescent="0.3">
      <c r="A19" s="51" t="s">
        <v>376</v>
      </c>
      <c r="B19" s="22">
        <v>22000</v>
      </c>
      <c r="C19" s="31">
        <v>1</v>
      </c>
      <c r="D19" s="31">
        <v>1</v>
      </c>
      <c r="E19" s="31">
        <v>0</v>
      </c>
      <c r="F19" s="22"/>
      <c r="G19" s="22"/>
    </row>
    <row r="20" spans="1:7" x14ac:dyDescent="0.3">
      <c r="A20" s="51" t="s">
        <v>377</v>
      </c>
      <c r="B20" s="22">
        <v>14000</v>
      </c>
      <c r="C20" s="31">
        <v>1</v>
      </c>
      <c r="D20" s="31">
        <v>1</v>
      </c>
      <c r="E20" s="31">
        <v>0</v>
      </c>
      <c r="F20" s="22"/>
      <c r="G20" s="22"/>
    </row>
    <row r="21" spans="1:7" x14ac:dyDescent="0.3">
      <c r="A21" s="51" t="s">
        <v>378</v>
      </c>
      <c r="B21" s="22">
        <v>16000</v>
      </c>
      <c r="C21" s="31">
        <v>1</v>
      </c>
      <c r="D21" s="31">
        <v>1</v>
      </c>
      <c r="E21" s="31">
        <v>0</v>
      </c>
      <c r="F21" s="22"/>
      <c r="G21" s="22"/>
    </row>
    <row r="22" spans="1:7" x14ac:dyDescent="0.3">
      <c r="A22" s="51" t="s">
        <v>379</v>
      </c>
      <c r="B22" s="22">
        <v>9500</v>
      </c>
      <c r="C22" s="31">
        <v>1</v>
      </c>
      <c r="D22" s="31">
        <v>1</v>
      </c>
      <c r="E22" s="31">
        <v>0</v>
      </c>
      <c r="F22" s="22"/>
      <c r="G22" s="22"/>
    </row>
    <row r="23" spans="1:7" x14ac:dyDescent="0.3">
      <c r="A23" s="51" t="s">
        <v>380</v>
      </c>
      <c r="B23" s="22">
        <v>12000</v>
      </c>
      <c r="C23" s="31">
        <v>1</v>
      </c>
      <c r="D23" s="31">
        <v>1</v>
      </c>
      <c r="E23" s="31">
        <v>0</v>
      </c>
      <c r="F23" s="22"/>
      <c r="G23" s="22"/>
    </row>
    <row r="24" spans="1:7" x14ac:dyDescent="0.3">
      <c r="A24" s="51" t="s">
        <v>381</v>
      </c>
      <c r="B24" s="22">
        <v>6500</v>
      </c>
      <c r="C24" s="31">
        <v>1</v>
      </c>
      <c r="D24" s="31">
        <v>1</v>
      </c>
      <c r="E24" s="31">
        <v>0</v>
      </c>
      <c r="F24" s="22"/>
      <c r="G24" s="22"/>
    </row>
    <row r="25" spans="1:7" x14ac:dyDescent="0.3">
      <c r="A25" s="51" t="s">
        <v>382</v>
      </c>
      <c r="B25" s="22">
        <v>8500</v>
      </c>
      <c r="C25" s="31">
        <v>1</v>
      </c>
      <c r="D25" s="31">
        <v>1</v>
      </c>
      <c r="E25" s="31">
        <v>0</v>
      </c>
      <c r="F25" s="22"/>
      <c r="G25" s="22"/>
    </row>
    <row r="26" spans="1:7" x14ac:dyDescent="0.3">
      <c r="A26" s="51"/>
      <c r="B26" s="22"/>
      <c r="C26" s="31"/>
      <c r="D26" s="31"/>
      <c r="E26" s="31"/>
      <c r="F26" s="22"/>
      <c r="G26" s="22"/>
    </row>
    <row r="27" spans="1:7" x14ac:dyDescent="0.3">
      <c r="A27" s="51"/>
      <c r="B27" s="22"/>
      <c r="C27" s="31"/>
      <c r="D27" s="31"/>
      <c r="E27" s="31"/>
      <c r="F27" s="22"/>
      <c r="G27" s="22"/>
    </row>
    <row r="28" spans="1:7" x14ac:dyDescent="0.3">
      <c r="A28" s="51"/>
      <c r="B28" s="22"/>
      <c r="C28" s="31"/>
      <c r="D28" s="31"/>
      <c r="E28" s="31"/>
      <c r="F28" s="22"/>
      <c r="G28" s="22"/>
    </row>
    <row r="29" spans="1:7" x14ac:dyDescent="0.3">
      <c r="A29" s="51"/>
      <c r="B29" s="22"/>
      <c r="C29" s="31"/>
      <c r="D29" s="31"/>
      <c r="E29" s="31"/>
      <c r="F29" s="22"/>
      <c r="G29" s="22"/>
    </row>
    <row r="30" spans="1:7" x14ac:dyDescent="0.3">
      <c r="A30" s="51"/>
      <c r="B30" s="22"/>
      <c r="C30" s="31"/>
      <c r="D30" s="31"/>
      <c r="E30" s="31"/>
      <c r="F30" s="22"/>
      <c r="G30" s="22"/>
    </row>
    <row r="31" spans="1:7" x14ac:dyDescent="0.3">
      <c r="A31" s="51"/>
      <c r="B31" s="22"/>
      <c r="C31" s="31"/>
      <c r="D31" s="31"/>
      <c r="E31" s="31"/>
      <c r="F31" s="22"/>
      <c r="G31" s="22"/>
    </row>
    <row r="32" spans="1:7" x14ac:dyDescent="0.3">
      <c r="A32" s="51"/>
      <c r="B32" s="22"/>
      <c r="C32" s="31"/>
      <c r="D32" s="31"/>
      <c r="E32" s="31"/>
      <c r="F32" s="22"/>
      <c r="G32" s="22"/>
    </row>
    <row r="33" spans="1:7" x14ac:dyDescent="0.3">
      <c r="A33" s="51"/>
      <c r="B33" s="22"/>
      <c r="C33" s="31"/>
      <c r="D33" s="31"/>
      <c r="E33" s="31"/>
      <c r="F33" s="22"/>
      <c r="G33" s="22"/>
    </row>
    <row r="34" spans="1:7" x14ac:dyDescent="0.3">
      <c r="A34" s="51"/>
      <c r="B34" s="22"/>
      <c r="C34" s="31"/>
      <c r="D34" s="31"/>
      <c r="E34" s="31"/>
      <c r="F34" s="22"/>
      <c r="G34" s="22"/>
    </row>
    <row r="35" spans="1:7" x14ac:dyDescent="0.3">
      <c r="A35" s="51"/>
      <c r="B35" s="22"/>
      <c r="C35" s="31"/>
      <c r="D35" s="31"/>
      <c r="E35" s="31"/>
      <c r="F35" s="22"/>
      <c r="G35" s="22"/>
    </row>
    <row r="36" spans="1:7" x14ac:dyDescent="0.3">
      <c r="A36" s="51"/>
      <c r="B36" s="22"/>
      <c r="C36" s="31"/>
      <c r="D36" s="31"/>
      <c r="E36" s="31"/>
      <c r="F36" s="22"/>
      <c r="G36" s="22"/>
    </row>
    <row r="37" spans="1:7" x14ac:dyDescent="0.3">
      <c r="A37" s="51"/>
      <c r="B37" s="22"/>
      <c r="C37" s="31"/>
      <c r="D37" s="31"/>
      <c r="E37" s="31"/>
      <c r="F37" s="22"/>
      <c r="G37" s="22"/>
    </row>
    <row r="38" spans="1:7" x14ac:dyDescent="0.3">
      <c r="A38" s="51"/>
      <c r="B38" s="22"/>
      <c r="C38" s="31"/>
      <c r="D38" s="31"/>
      <c r="E38" s="31"/>
      <c r="F38" s="22"/>
      <c r="G38" s="22"/>
    </row>
    <row r="39" spans="1:7" x14ac:dyDescent="0.3">
      <c r="A39" s="51"/>
      <c r="B39" s="22"/>
      <c r="C39" s="31"/>
      <c r="D39" s="31"/>
      <c r="E39" s="31"/>
      <c r="F39" s="22"/>
      <c r="G39" s="22"/>
    </row>
    <row r="40" spans="1:7" x14ac:dyDescent="0.3">
      <c r="A40" s="51"/>
      <c r="B40" s="22"/>
      <c r="C40" s="31"/>
      <c r="D40" s="31"/>
      <c r="E40" s="31"/>
      <c r="F40" s="22"/>
      <c r="G40" s="22"/>
    </row>
    <row r="41" spans="1:7" x14ac:dyDescent="0.3">
      <c r="A41" s="51"/>
      <c r="B41" s="22"/>
      <c r="C41" s="31"/>
      <c r="D41" s="31"/>
      <c r="E41" s="31"/>
      <c r="F41" s="22"/>
      <c r="G41" s="22"/>
    </row>
    <row r="42" spans="1:7" x14ac:dyDescent="0.3">
      <c r="A42" s="51"/>
      <c r="B42" s="22"/>
      <c r="C42" s="31"/>
      <c r="D42" s="31"/>
      <c r="E42" s="31"/>
      <c r="F42" s="22"/>
      <c r="G42" s="22"/>
    </row>
    <row r="43" spans="1:7" x14ac:dyDescent="0.3">
      <c r="A43" s="51"/>
      <c r="B43" s="22"/>
      <c r="C43" s="31"/>
      <c r="D43" s="31"/>
      <c r="E43" s="31"/>
      <c r="F43" s="22"/>
      <c r="G43" s="22"/>
    </row>
    <row r="44" spans="1:7" x14ac:dyDescent="0.3">
      <c r="A44" s="51"/>
      <c r="B44" s="22"/>
      <c r="C44" s="31"/>
      <c r="D44" s="31"/>
      <c r="E44" s="31"/>
      <c r="F44" s="22"/>
      <c r="G44" s="22"/>
    </row>
    <row r="45" spans="1:7" x14ac:dyDescent="0.3">
      <c r="A45" s="51"/>
      <c r="B45" s="22"/>
      <c r="C45" s="31"/>
      <c r="D45" s="31"/>
      <c r="E45" s="31"/>
      <c r="F45" s="22"/>
      <c r="G45" s="22"/>
    </row>
    <row r="46" spans="1:7" x14ac:dyDescent="0.3">
      <c r="A46" s="51"/>
      <c r="B46" s="22"/>
      <c r="C46" s="31"/>
      <c r="D46" s="31"/>
      <c r="E46" s="31"/>
      <c r="F46" s="22"/>
      <c r="G46" s="22"/>
    </row>
    <row r="47" spans="1:7" x14ac:dyDescent="0.3">
      <c r="A47" s="51"/>
      <c r="B47" s="22"/>
      <c r="C47" s="31"/>
      <c r="D47" s="31"/>
      <c r="E47" s="31"/>
      <c r="F47" s="22"/>
      <c r="G47" s="22"/>
    </row>
    <row r="48" spans="1:7" x14ac:dyDescent="0.3">
      <c r="A48" s="51"/>
      <c r="B48" s="22"/>
      <c r="C48" s="31"/>
      <c r="D48" s="31"/>
      <c r="E48" s="31"/>
      <c r="F48" s="22"/>
      <c r="G48" s="22"/>
    </row>
    <row r="49" spans="1:7" x14ac:dyDescent="0.3">
      <c r="A49" s="51"/>
      <c r="B49" s="22"/>
      <c r="C49" s="31"/>
      <c r="D49" s="31"/>
      <c r="E49" s="31"/>
      <c r="F49" s="22"/>
      <c r="G49" s="22"/>
    </row>
    <row r="50" spans="1:7" x14ac:dyDescent="0.3">
      <c r="A50" s="51"/>
      <c r="B50" s="22"/>
      <c r="C50" s="31"/>
      <c r="D50" s="31"/>
      <c r="E50" s="31"/>
      <c r="F50" s="22"/>
      <c r="G50" s="22"/>
    </row>
    <row r="51" spans="1:7" x14ac:dyDescent="0.3">
      <c r="A51" s="51"/>
      <c r="B51" s="22"/>
      <c r="C51" s="31"/>
      <c r="D51" s="31"/>
      <c r="E51" s="31"/>
      <c r="F51" s="22"/>
      <c r="G51" s="22"/>
    </row>
    <row r="52" spans="1:7" x14ac:dyDescent="0.3">
      <c r="A52" s="51"/>
      <c r="B52" s="22"/>
      <c r="C52" s="31"/>
      <c r="D52" s="31"/>
      <c r="E52" s="31"/>
      <c r="F52" s="22"/>
      <c r="G52" s="22"/>
    </row>
    <row r="53" spans="1:7" x14ac:dyDescent="0.3">
      <c r="A53" s="51"/>
      <c r="B53" s="22"/>
      <c r="C53" s="31"/>
      <c r="D53" s="31"/>
      <c r="E53" s="31"/>
      <c r="F53" s="22"/>
      <c r="G53" s="22"/>
    </row>
    <row r="54" spans="1:7" x14ac:dyDescent="0.3">
      <c r="A54" s="51"/>
      <c r="B54" s="22"/>
      <c r="C54" s="31"/>
      <c r="D54" s="31"/>
      <c r="E54" s="31"/>
      <c r="F54" s="22"/>
      <c r="G54" s="22"/>
    </row>
    <row r="55" spans="1:7" x14ac:dyDescent="0.3">
      <c r="A55" s="51"/>
      <c r="B55" s="22"/>
      <c r="C55" s="31"/>
      <c r="D55" s="31"/>
      <c r="E55" s="31"/>
      <c r="F55" s="22"/>
      <c r="G55" s="22"/>
    </row>
    <row r="56" spans="1:7" x14ac:dyDescent="0.3">
      <c r="A56" s="51"/>
      <c r="B56" s="22"/>
      <c r="C56" s="31"/>
      <c r="D56" s="31"/>
      <c r="E56" s="31"/>
      <c r="F56" s="22"/>
      <c r="G56" s="22"/>
    </row>
    <row r="57" spans="1:7" x14ac:dyDescent="0.3">
      <c r="A57" s="51"/>
      <c r="B57" s="22"/>
      <c r="C57" s="31"/>
      <c r="D57" s="31"/>
      <c r="E57" s="31"/>
      <c r="F57" s="22"/>
      <c r="G57" s="22"/>
    </row>
    <row r="58" spans="1:7" x14ac:dyDescent="0.3">
      <c r="A58" s="51"/>
      <c r="B58" s="22"/>
      <c r="C58" s="31"/>
      <c r="D58" s="31"/>
      <c r="E58" s="31"/>
      <c r="F58" s="22"/>
      <c r="G58" s="22"/>
    </row>
    <row r="59" spans="1:7" x14ac:dyDescent="0.3">
      <c r="A59" s="51"/>
      <c r="B59" s="22"/>
      <c r="C59" s="31"/>
      <c r="D59" s="31"/>
      <c r="E59" s="31"/>
      <c r="F59" s="22"/>
      <c r="G59" s="22"/>
    </row>
    <row r="60" spans="1:7" x14ac:dyDescent="0.3">
      <c r="A60" s="51"/>
      <c r="B60" s="22"/>
      <c r="C60" s="31"/>
      <c r="D60" s="31"/>
      <c r="E60" s="31"/>
      <c r="F60" s="22"/>
      <c r="G60" s="22"/>
    </row>
    <row r="61" spans="1:7" x14ac:dyDescent="0.3">
      <c r="A61" s="51"/>
      <c r="B61" s="22"/>
      <c r="C61" s="31"/>
      <c r="D61" s="31"/>
      <c r="E61" s="31"/>
      <c r="F61" s="22"/>
      <c r="G61" s="22"/>
    </row>
    <row r="62" spans="1:7" x14ac:dyDescent="0.3">
      <c r="A62" s="51"/>
      <c r="B62" s="22"/>
      <c r="C62" s="31"/>
      <c r="D62" s="31"/>
      <c r="E62" s="31"/>
      <c r="F62" s="22"/>
      <c r="G62" s="22"/>
    </row>
    <row r="63" spans="1:7" x14ac:dyDescent="0.3">
      <c r="A63" s="51"/>
      <c r="B63" s="22"/>
      <c r="C63" s="31"/>
      <c r="D63" s="31"/>
      <c r="E63" s="31"/>
      <c r="F63" s="22"/>
      <c r="G63" s="22"/>
    </row>
    <row r="64" spans="1:7" x14ac:dyDescent="0.3">
      <c r="A64" s="51"/>
      <c r="B64" s="22"/>
      <c r="C64" s="31"/>
      <c r="D64" s="31"/>
      <c r="E64" s="31"/>
      <c r="F64" s="22"/>
      <c r="G64" s="22"/>
    </row>
    <row r="65" spans="1:7" x14ac:dyDescent="0.3">
      <c r="A65" s="51"/>
      <c r="B65" s="22"/>
      <c r="C65" s="31"/>
      <c r="D65" s="31"/>
      <c r="E65" s="31"/>
      <c r="F65" s="22"/>
      <c r="G65" s="22"/>
    </row>
    <row r="66" spans="1:7" x14ac:dyDescent="0.3">
      <c r="A66" s="51"/>
      <c r="B66" s="22"/>
      <c r="C66" s="31"/>
      <c r="D66" s="31"/>
      <c r="E66" s="31"/>
      <c r="F66" s="22"/>
      <c r="G66" s="22"/>
    </row>
    <row r="67" spans="1:7" x14ac:dyDescent="0.3">
      <c r="A67" s="51"/>
      <c r="B67" s="22"/>
      <c r="C67" s="31"/>
      <c r="D67" s="31"/>
      <c r="E67" s="31"/>
      <c r="F67" s="22"/>
      <c r="G67" s="22"/>
    </row>
    <row r="68" spans="1:7" x14ac:dyDescent="0.3">
      <c r="A68" s="51"/>
      <c r="B68" s="22"/>
      <c r="C68" s="31"/>
      <c r="D68" s="31"/>
      <c r="E68" s="31"/>
      <c r="F68" s="22"/>
      <c r="G68" s="22"/>
    </row>
    <row r="69" spans="1:7" x14ac:dyDescent="0.3">
      <c r="A69" s="51"/>
      <c r="B69" s="22"/>
      <c r="C69" s="31"/>
      <c r="D69" s="31"/>
      <c r="E69" s="31"/>
      <c r="F69" s="22"/>
      <c r="G69" s="22"/>
    </row>
    <row r="70" spans="1:7" x14ac:dyDescent="0.3">
      <c r="A70" s="51"/>
      <c r="B70" s="22"/>
      <c r="C70" s="31"/>
      <c r="D70" s="31"/>
      <c r="E70" s="31"/>
      <c r="F70" s="22"/>
      <c r="G70" s="22"/>
    </row>
    <row r="71" spans="1:7" x14ac:dyDescent="0.3">
      <c r="A71" s="51"/>
      <c r="B71" s="22"/>
      <c r="C71" s="31"/>
      <c r="D71" s="31"/>
      <c r="E71" s="31"/>
      <c r="F71" s="22"/>
      <c r="G71" s="22"/>
    </row>
    <row r="72" spans="1:7" x14ac:dyDescent="0.3">
      <c r="A72" s="51"/>
      <c r="B72" s="22"/>
      <c r="C72" s="31"/>
      <c r="D72" s="31"/>
      <c r="E72" s="31"/>
      <c r="F72" s="22"/>
      <c r="G72" s="22"/>
    </row>
    <row r="73" spans="1:7" x14ac:dyDescent="0.3">
      <c r="A73" s="51"/>
      <c r="B73" s="22"/>
      <c r="C73" s="31"/>
      <c r="D73" s="31"/>
      <c r="E73" s="31"/>
      <c r="F73" s="22"/>
      <c r="G73" s="22"/>
    </row>
    <row r="74" spans="1:7" x14ac:dyDescent="0.3">
      <c r="A74" s="51"/>
      <c r="B74" s="22"/>
      <c r="C74" s="31"/>
      <c r="D74" s="31"/>
      <c r="E74" s="31"/>
      <c r="F74" s="22"/>
      <c r="G74" s="22"/>
    </row>
    <row r="75" spans="1:7" x14ac:dyDescent="0.3">
      <c r="A75" s="51"/>
      <c r="B75" s="22"/>
      <c r="C75" s="31"/>
      <c r="D75" s="31"/>
      <c r="E75" s="31"/>
      <c r="F75" s="22"/>
      <c r="G75" s="22"/>
    </row>
    <row r="76" spans="1:7" x14ac:dyDescent="0.3">
      <c r="A76" s="51"/>
      <c r="B76" s="22"/>
      <c r="C76" s="31"/>
      <c r="D76" s="31"/>
      <c r="E76" s="31"/>
      <c r="F76" s="22"/>
      <c r="G76" s="22"/>
    </row>
    <row r="77" spans="1:7" x14ac:dyDescent="0.3">
      <c r="A77" s="51"/>
      <c r="B77" s="22"/>
      <c r="C77" s="31"/>
      <c r="D77" s="31"/>
      <c r="E77" s="31"/>
      <c r="F77" s="22"/>
      <c r="G77" s="22"/>
    </row>
    <row r="78" spans="1:7" x14ac:dyDescent="0.3">
      <c r="A78" s="51"/>
      <c r="B78" s="22"/>
      <c r="C78" s="31"/>
      <c r="D78" s="31"/>
      <c r="E78" s="31"/>
      <c r="F78" s="22"/>
      <c r="G78" s="22"/>
    </row>
    <row r="79" spans="1:7" x14ac:dyDescent="0.3">
      <c r="A79" s="51"/>
      <c r="B79" s="22"/>
      <c r="C79" s="31"/>
      <c r="D79" s="31"/>
      <c r="E79" s="31"/>
      <c r="F79" s="22"/>
      <c r="G79" s="22"/>
    </row>
    <row r="80" spans="1:7" x14ac:dyDescent="0.3">
      <c r="A80" s="51"/>
      <c r="B80" s="22"/>
      <c r="C80" s="31"/>
      <c r="D80" s="31"/>
      <c r="E80" s="31"/>
      <c r="F80" s="22"/>
      <c r="G80" s="22"/>
    </row>
    <row r="81" spans="1:7" x14ac:dyDescent="0.3">
      <c r="A81" s="51"/>
      <c r="B81" s="22"/>
      <c r="C81" s="31"/>
      <c r="D81" s="31"/>
      <c r="E81" s="31"/>
      <c r="F81" s="22"/>
      <c r="G81" s="22"/>
    </row>
    <row r="82" spans="1:7" x14ac:dyDescent="0.3">
      <c r="A82" s="51"/>
      <c r="B82" s="22"/>
      <c r="C82" s="31"/>
      <c r="D82" s="31"/>
      <c r="E82" s="31"/>
      <c r="F82" s="22"/>
      <c r="G82" s="22"/>
    </row>
    <row r="83" spans="1:7" x14ac:dyDescent="0.3">
      <c r="A83" s="51"/>
      <c r="B83" s="22"/>
      <c r="C83" s="31"/>
      <c r="D83" s="31"/>
      <c r="E83" s="31"/>
      <c r="F83" s="22"/>
      <c r="G83" s="22"/>
    </row>
    <row r="84" spans="1:7" x14ac:dyDescent="0.3">
      <c r="A84" s="51"/>
      <c r="B84" s="22"/>
      <c r="C84" s="31"/>
      <c r="D84" s="31"/>
      <c r="E84" s="31"/>
      <c r="F84" s="22"/>
      <c r="G84" s="22"/>
    </row>
    <row r="85" spans="1:7" x14ac:dyDescent="0.3">
      <c r="A85" s="51"/>
      <c r="B85" s="22"/>
      <c r="C85" s="31"/>
      <c r="D85" s="31"/>
      <c r="E85" s="31"/>
      <c r="F85" s="22"/>
      <c r="G85" s="22"/>
    </row>
    <row r="86" spans="1:7" x14ac:dyDescent="0.3">
      <c r="A86" s="51"/>
      <c r="B86" s="22"/>
      <c r="C86" s="31"/>
      <c r="D86" s="31"/>
      <c r="E86" s="31"/>
      <c r="F86" s="22"/>
      <c r="G86" s="22"/>
    </row>
    <row r="87" spans="1:7" x14ac:dyDescent="0.3">
      <c r="A87" s="51"/>
      <c r="B87" s="22"/>
      <c r="C87" s="31"/>
      <c r="D87" s="31"/>
      <c r="E87" s="31"/>
      <c r="F87" s="22"/>
      <c r="G87" s="22"/>
    </row>
    <row r="88" spans="1:7" x14ac:dyDescent="0.3">
      <c r="A88" s="51"/>
      <c r="B88" s="22"/>
      <c r="C88" s="31"/>
      <c r="D88" s="31"/>
      <c r="E88" s="31"/>
      <c r="F88" s="22"/>
      <c r="G88" s="22"/>
    </row>
    <row r="89" spans="1:7" x14ac:dyDescent="0.3">
      <c r="A89" s="51"/>
      <c r="B89" s="22"/>
      <c r="C89" s="31"/>
      <c r="D89" s="31"/>
      <c r="E89" s="31"/>
      <c r="F89" s="22"/>
      <c r="G89" s="22"/>
    </row>
    <row r="90" spans="1:7" x14ac:dyDescent="0.3">
      <c r="A90" s="51"/>
      <c r="B90" s="22"/>
      <c r="C90" s="31"/>
      <c r="D90" s="31"/>
      <c r="E90" s="31"/>
      <c r="F90" s="22"/>
      <c r="G90" s="22"/>
    </row>
    <row r="91" spans="1:7" x14ac:dyDescent="0.3">
      <c r="A91" s="51"/>
      <c r="B91" s="22"/>
      <c r="C91" s="31"/>
      <c r="D91" s="31"/>
      <c r="E91" s="31"/>
      <c r="F91" s="22"/>
      <c r="G91" s="22"/>
    </row>
    <row r="92" spans="1:7" x14ac:dyDescent="0.3">
      <c r="A92" s="51"/>
      <c r="B92" s="22"/>
      <c r="C92" s="31"/>
      <c r="D92" s="31"/>
      <c r="E92" s="31"/>
      <c r="F92" s="22"/>
      <c r="G92" s="22"/>
    </row>
    <row r="93" spans="1:7" x14ac:dyDescent="0.3">
      <c r="A93" s="51"/>
      <c r="B93" s="22"/>
      <c r="C93" s="31"/>
      <c r="D93" s="31"/>
      <c r="E93" s="31"/>
      <c r="F93" s="22"/>
      <c r="G93" s="22"/>
    </row>
    <row r="94" spans="1:7" x14ac:dyDescent="0.3">
      <c r="A94" s="51"/>
      <c r="B94" s="22"/>
      <c r="C94" s="31"/>
      <c r="D94" s="31"/>
      <c r="E94" s="31"/>
      <c r="F94" s="22"/>
      <c r="G94" s="22"/>
    </row>
    <row r="95" spans="1:7" x14ac:dyDescent="0.3">
      <c r="A95" s="51"/>
      <c r="B95" s="22"/>
      <c r="C95" s="31"/>
      <c r="D95" s="31"/>
      <c r="E95" s="31"/>
      <c r="F95" s="22"/>
      <c r="G95" s="22"/>
    </row>
    <row r="96" spans="1:7" x14ac:dyDescent="0.3">
      <c r="A96" s="51"/>
      <c r="B96" s="22"/>
      <c r="C96" s="31"/>
      <c r="D96" s="31"/>
      <c r="E96" s="31"/>
      <c r="F96" s="22"/>
      <c r="G96" s="22"/>
    </row>
    <row r="97" spans="1:7" x14ac:dyDescent="0.3">
      <c r="A97" s="51"/>
      <c r="B97" s="22"/>
      <c r="C97" s="31"/>
      <c r="D97" s="31"/>
      <c r="E97" s="31"/>
      <c r="F97" s="22"/>
      <c r="G97" s="22"/>
    </row>
    <row r="98" spans="1:7" x14ac:dyDescent="0.3">
      <c r="A98" s="51"/>
      <c r="B98" s="22"/>
      <c r="C98" s="31"/>
      <c r="D98" s="31"/>
      <c r="E98" s="31"/>
      <c r="F98" s="22"/>
      <c r="G98" s="22"/>
    </row>
    <row r="99" spans="1:7" x14ac:dyDescent="0.3">
      <c r="A99" s="51"/>
      <c r="B99" s="22"/>
      <c r="C99" s="31"/>
      <c r="D99" s="31"/>
      <c r="E99" s="31"/>
      <c r="F99" s="22"/>
      <c r="G99" s="22"/>
    </row>
    <row r="100" spans="1:7" x14ac:dyDescent="0.3">
      <c r="A100" s="51"/>
      <c r="B100" s="22"/>
      <c r="C100" s="31"/>
      <c r="D100" s="31"/>
      <c r="E100" s="31"/>
      <c r="F100" s="22"/>
      <c r="G100" s="22"/>
    </row>
    <row r="101" spans="1:7" x14ac:dyDescent="0.3">
      <c r="A101" s="51"/>
      <c r="B101" s="22"/>
      <c r="C101" s="31"/>
      <c r="D101" s="31"/>
      <c r="E101" s="31"/>
      <c r="F101" s="22"/>
      <c r="G101" s="22"/>
    </row>
    <row r="102" spans="1:7" x14ac:dyDescent="0.3">
      <c r="A102" s="51"/>
      <c r="B102" s="22"/>
      <c r="C102" s="31"/>
      <c r="D102" s="31"/>
      <c r="E102" s="31"/>
      <c r="F102" s="22"/>
      <c r="G102" s="22"/>
    </row>
    <row r="103" spans="1:7" x14ac:dyDescent="0.3">
      <c r="A103" s="51"/>
      <c r="B103" s="22"/>
      <c r="C103" s="31"/>
      <c r="D103" s="31"/>
      <c r="E103" s="31"/>
      <c r="F103" s="22"/>
      <c r="G103" s="22"/>
    </row>
    <row r="104" spans="1:7" x14ac:dyDescent="0.3">
      <c r="A104" s="51"/>
      <c r="B104" s="22"/>
      <c r="C104" s="31"/>
      <c r="D104" s="31"/>
      <c r="E104" s="31"/>
      <c r="F104" s="22"/>
      <c r="G104" s="22"/>
    </row>
    <row r="105" spans="1:7" x14ac:dyDescent="0.3">
      <c r="A105" s="51"/>
      <c r="B105" s="22"/>
      <c r="C105" s="31"/>
      <c r="D105" s="31"/>
      <c r="E105" s="31"/>
      <c r="F105" s="22"/>
      <c r="G105" s="22"/>
    </row>
    <row r="106" spans="1:7" x14ac:dyDescent="0.3">
      <c r="A106" s="51"/>
      <c r="B106" s="22"/>
      <c r="C106" s="31"/>
      <c r="D106" s="31"/>
      <c r="E106" s="31"/>
      <c r="F106" s="22"/>
      <c r="G106" s="22"/>
    </row>
    <row r="107" spans="1:7" x14ac:dyDescent="0.3">
      <c r="A107" s="51"/>
      <c r="B107" s="22"/>
      <c r="C107" s="31"/>
      <c r="D107" s="31"/>
      <c r="E107" s="31"/>
      <c r="F107" s="22"/>
      <c r="G107" s="22"/>
    </row>
    <row r="108" spans="1:7" x14ac:dyDescent="0.3">
      <c r="A108" s="51"/>
      <c r="B108" s="22"/>
      <c r="C108" s="31"/>
      <c r="D108" s="31"/>
      <c r="E108" s="31"/>
      <c r="F108" s="22"/>
      <c r="G108" s="22"/>
    </row>
    <row r="109" spans="1:7" x14ac:dyDescent="0.3">
      <c r="A109" s="51"/>
      <c r="B109" s="22"/>
      <c r="C109" s="31"/>
      <c r="D109" s="31"/>
      <c r="E109" s="31"/>
      <c r="F109" s="22"/>
      <c r="G109" s="22"/>
    </row>
    <row r="110" spans="1:7" x14ac:dyDescent="0.3">
      <c r="A110" s="51"/>
      <c r="B110" s="22"/>
      <c r="C110" s="31"/>
      <c r="D110" s="31"/>
      <c r="E110" s="31"/>
      <c r="F110" s="22"/>
      <c r="G110" s="22"/>
    </row>
    <row r="111" spans="1:7" x14ac:dyDescent="0.3">
      <c r="A111" s="51"/>
      <c r="B111" s="22"/>
      <c r="C111" s="31"/>
      <c r="D111" s="31"/>
      <c r="E111" s="31"/>
      <c r="F111" s="22"/>
      <c r="G111" s="22"/>
    </row>
    <row r="112" spans="1:7" x14ac:dyDescent="0.3">
      <c r="A112" s="51"/>
      <c r="B112" s="22"/>
      <c r="C112" s="31"/>
      <c r="D112" s="31"/>
      <c r="E112" s="31"/>
      <c r="F112" s="22"/>
      <c r="G112" s="22"/>
    </row>
    <row r="113" spans="1:7" x14ac:dyDescent="0.3">
      <c r="A113" s="51"/>
      <c r="B113" s="22"/>
      <c r="C113" s="31"/>
      <c r="D113" s="31"/>
      <c r="E113" s="31"/>
      <c r="F113" s="22"/>
      <c r="G113" s="22"/>
    </row>
    <row r="114" spans="1:7" x14ac:dyDescent="0.3">
      <c r="A114" s="51"/>
      <c r="B114" s="22"/>
      <c r="C114" s="31"/>
      <c r="D114" s="31"/>
      <c r="E114" s="31"/>
      <c r="F114" s="22"/>
      <c r="G114" s="22"/>
    </row>
    <row r="115" spans="1:7" x14ac:dyDescent="0.3">
      <c r="A115" s="51"/>
      <c r="B115" s="22"/>
      <c r="C115" s="31"/>
      <c r="D115" s="31"/>
      <c r="E115" s="31"/>
      <c r="F115" s="22"/>
      <c r="G115" s="22"/>
    </row>
    <row r="116" spans="1:7" x14ac:dyDescent="0.3">
      <c r="A116" s="51"/>
      <c r="B116" s="22"/>
      <c r="C116" s="31"/>
      <c r="D116" s="31"/>
      <c r="E116" s="31"/>
      <c r="F116" s="22"/>
      <c r="G116" s="22"/>
    </row>
    <row r="117" spans="1:7" x14ac:dyDescent="0.3">
      <c r="A117" s="51"/>
      <c r="B117" s="22"/>
      <c r="C117" s="31"/>
      <c r="D117" s="31"/>
      <c r="E117" s="31"/>
      <c r="F117" s="22"/>
      <c r="G117" s="22"/>
    </row>
    <row r="118" spans="1:7" x14ac:dyDescent="0.3">
      <c r="A118" s="51"/>
      <c r="B118" s="22"/>
      <c r="C118" s="31"/>
      <c r="D118" s="31"/>
      <c r="E118" s="31"/>
      <c r="F118" s="22"/>
      <c r="G118" s="22"/>
    </row>
    <row r="119" spans="1:7" x14ac:dyDescent="0.3">
      <c r="A119" s="51"/>
      <c r="B119" s="22"/>
      <c r="C119" s="31"/>
      <c r="D119" s="31"/>
      <c r="E119" s="31"/>
      <c r="F119" s="22"/>
      <c r="G119" s="22"/>
    </row>
    <row r="120" spans="1:7" x14ac:dyDescent="0.3">
      <c r="A120" s="51"/>
      <c r="B120" s="22"/>
      <c r="C120" s="31"/>
      <c r="D120" s="31"/>
      <c r="E120" s="31"/>
      <c r="F120" s="22"/>
      <c r="G120" s="22"/>
    </row>
    <row r="121" spans="1:7" x14ac:dyDescent="0.3">
      <c r="A121" s="51"/>
      <c r="B121" s="22"/>
      <c r="C121" s="31"/>
      <c r="D121" s="31"/>
      <c r="E121" s="31"/>
      <c r="F121" s="22"/>
      <c r="G121" s="22"/>
    </row>
    <row r="122" spans="1:7" x14ac:dyDescent="0.3">
      <c r="A122" s="51"/>
      <c r="B122" s="22"/>
      <c r="C122" s="31"/>
      <c r="D122" s="31"/>
      <c r="E122" s="31"/>
      <c r="F122" s="22"/>
      <c r="G122" s="22"/>
    </row>
    <row r="123" spans="1:7" x14ac:dyDescent="0.3">
      <c r="A123" s="51"/>
      <c r="B123" s="22"/>
      <c r="C123" s="31"/>
      <c r="D123" s="31"/>
      <c r="E123" s="31"/>
      <c r="F123" s="22"/>
      <c r="G123" s="22"/>
    </row>
    <row r="124" spans="1:7" x14ac:dyDescent="0.3">
      <c r="A124" s="51"/>
      <c r="B124" s="22"/>
      <c r="C124" s="31"/>
      <c r="D124" s="31"/>
      <c r="E124" s="31"/>
      <c r="F124" s="22"/>
      <c r="G124" s="22"/>
    </row>
    <row r="125" spans="1:7" x14ac:dyDescent="0.3">
      <c r="A125" s="51"/>
      <c r="B125" s="22"/>
      <c r="C125" s="31"/>
      <c r="D125" s="31"/>
      <c r="E125" s="31"/>
      <c r="F125" s="22"/>
      <c r="G125" s="22"/>
    </row>
    <row r="126" spans="1:7" x14ac:dyDescent="0.3">
      <c r="A126" s="51"/>
      <c r="B126" s="22"/>
      <c r="C126" s="31"/>
      <c r="D126" s="31"/>
      <c r="E126" s="31"/>
      <c r="F126" s="22"/>
      <c r="G126" s="22"/>
    </row>
    <row r="127" spans="1:7" x14ac:dyDescent="0.3">
      <c r="A127" s="51"/>
      <c r="B127" s="22"/>
      <c r="C127" s="31"/>
      <c r="D127" s="31"/>
      <c r="E127" s="31"/>
      <c r="F127" s="22"/>
      <c r="G127" s="22"/>
    </row>
    <row r="128" spans="1:7" x14ac:dyDescent="0.3">
      <c r="A128" s="51"/>
      <c r="B128" s="22"/>
      <c r="C128" s="31"/>
      <c r="D128" s="31"/>
      <c r="E128" s="31"/>
      <c r="F128" s="22"/>
      <c r="G128" s="22"/>
    </row>
    <row r="129" spans="1:7" x14ac:dyDescent="0.3">
      <c r="A129" s="51"/>
      <c r="B129" s="22"/>
      <c r="C129" s="31"/>
      <c r="D129" s="31"/>
      <c r="E129" s="31"/>
      <c r="F129" s="22"/>
      <c r="G129" s="22"/>
    </row>
    <row r="130" spans="1:7" x14ac:dyDescent="0.3">
      <c r="A130" s="51"/>
      <c r="B130" s="22"/>
      <c r="C130" s="31"/>
      <c r="D130" s="31"/>
      <c r="E130" s="31"/>
      <c r="F130" s="22"/>
      <c r="G130" s="22"/>
    </row>
    <row r="131" spans="1:7" x14ac:dyDescent="0.3">
      <c r="A131" s="51"/>
      <c r="B131" s="22"/>
      <c r="C131" s="31"/>
      <c r="D131" s="31"/>
      <c r="E131" s="31"/>
      <c r="F131" s="22"/>
      <c r="G131" s="22"/>
    </row>
    <row r="132" spans="1:7" x14ac:dyDescent="0.3">
      <c r="A132" s="51"/>
      <c r="B132" s="22"/>
      <c r="C132" s="31"/>
      <c r="D132" s="31"/>
      <c r="E132" s="31"/>
      <c r="F132" s="22"/>
      <c r="G132" s="22"/>
    </row>
    <row r="133" spans="1:7" x14ac:dyDescent="0.3">
      <c r="A133" s="51"/>
      <c r="B133" s="22"/>
      <c r="C133" s="31"/>
      <c r="D133" s="31"/>
      <c r="E133" s="31"/>
      <c r="F133" s="22"/>
      <c r="G133" s="22"/>
    </row>
    <row r="134" spans="1:7" x14ac:dyDescent="0.3">
      <c r="A134" s="51"/>
      <c r="B134" s="22"/>
      <c r="C134" s="31"/>
      <c r="D134" s="31"/>
      <c r="E134" s="31"/>
      <c r="F134" s="22"/>
      <c r="G134" s="22"/>
    </row>
    <row r="135" spans="1:7" x14ac:dyDescent="0.3">
      <c r="A135" s="51"/>
      <c r="B135" s="22"/>
      <c r="C135" s="31"/>
      <c r="D135" s="31"/>
      <c r="E135" s="31"/>
      <c r="F135" s="22"/>
      <c r="G135" s="22"/>
    </row>
    <row r="136" spans="1:7" x14ac:dyDescent="0.3">
      <c r="A136" s="51"/>
      <c r="B136" s="22"/>
      <c r="C136" s="31"/>
      <c r="D136" s="31"/>
      <c r="E136" s="31"/>
      <c r="F136" s="22"/>
      <c r="G136" s="22"/>
    </row>
    <row r="137" spans="1:7" x14ac:dyDescent="0.3">
      <c r="A137" s="51"/>
      <c r="B137" s="22"/>
      <c r="C137" s="31"/>
      <c r="D137" s="31"/>
      <c r="E137" s="31"/>
      <c r="F137" s="22"/>
      <c r="G137" s="22"/>
    </row>
    <row r="138" spans="1:7" x14ac:dyDescent="0.3">
      <c r="A138" s="51"/>
      <c r="B138" s="22"/>
      <c r="C138" s="31"/>
      <c r="D138" s="31"/>
      <c r="E138" s="31"/>
      <c r="F138" s="22"/>
      <c r="G138" s="22"/>
    </row>
    <row r="139" spans="1:7" x14ac:dyDescent="0.3">
      <c r="A139" s="51"/>
      <c r="B139" s="22"/>
      <c r="C139" s="31"/>
      <c r="D139" s="31"/>
      <c r="E139" s="31"/>
      <c r="F139" s="22"/>
      <c r="G139" s="22"/>
    </row>
    <row r="140" spans="1:7" x14ac:dyDescent="0.3">
      <c r="A140" s="51"/>
      <c r="B140" s="22"/>
      <c r="C140" s="31"/>
      <c r="D140" s="31"/>
      <c r="E140" s="31"/>
      <c r="F140" s="22"/>
      <c r="G140" s="22"/>
    </row>
    <row r="141" spans="1:7" x14ac:dyDescent="0.3">
      <c r="A141" s="51"/>
      <c r="B141" s="22"/>
      <c r="C141" s="31"/>
      <c r="D141" s="31"/>
      <c r="E141" s="31"/>
      <c r="F141" s="22"/>
      <c r="G141" s="22"/>
    </row>
    <row r="142" spans="1:7" x14ac:dyDescent="0.3">
      <c r="A142" s="51"/>
      <c r="B142" s="22"/>
      <c r="C142" s="31"/>
      <c r="D142" s="31"/>
      <c r="E142" s="31"/>
      <c r="F142" s="22"/>
      <c r="G142" s="22"/>
    </row>
    <row r="143" spans="1:7" x14ac:dyDescent="0.3">
      <c r="A143" s="51"/>
      <c r="B143" s="22"/>
      <c r="C143" s="31"/>
      <c r="D143" s="31"/>
      <c r="E143" s="31"/>
      <c r="F143" s="22"/>
      <c r="G143" s="22"/>
    </row>
    <row r="144" spans="1:7" x14ac:dyDescent="0.3">
      <c r="A144" s="51"/>
      <c r="B144" s="22"/>
      <c r="C144" s="31"/>
      <c r="D144" s="31"/>
      <c r="E144" s="31"/>
      <c r="F144" s="22"/>
      <c r="G144" s="22"/>
    </row>
    <row r="145" spans="1:7" x14ac:dyDescent="0.3">
      <c r="A145" s="51"/>
      <c r="B145" s="22"/>
      <c r="C145" s="31"/>
      <c r="D145" s="31"/>
      <c r="E145" s="31"/>
      <c r="F145" s="22"/>
      <c r="G145" s="22"/>
    </row>
    <row r="146" spans="1:7" x14ac:dyDescent="0.3">
      <c r="A146" s="51"/>
      <c r="B146" s="22"/>
      <c r="C146" s="31"/>
      <c r="D146" s="31"/>
      <c r="E146" s="31"/>
      <c r="F146" s="22"/>
      <c r="G146" s="22"/>
    </row>
    <row r="147" spans="1:7" x14ac:dyDescent="0.3">
      <c r="A147" s="51"/>
      <c r="B147" s="22"/>
      <c r="C147" s="31"/>
      <c r="D147" s="31"/>
      <c r="E147" s="31"/>
      <c r="F147" s="22"/>
      <c r="G147" s="22"/>
    </row>
    <row r="148" spans="1:7" x14ac:dyDescent="0.3">
      <c r="A148" s="51"/>
      <c r="B148" s="22"/>
      <c r="C148" s="31"/>
      <c r="D148" s="31"/>
      <c r="E148" s="31"/>
      <c r="F148" s="22"/>
      <c r="G148" s="22"/>
    </row>
    <row r="149" spans="1:7" x14ac:dyDescent="0.3">
      <c r="A149" s="51"/>
      <c r="B149" s="22"/>
      <c r="C149" s="31"/>
      <c r="D149" s="31"/>
      <c r="E149" s="31"/>
      <c r="F149" s="22"/>
      <c r="G149" s="22"/>
    </row>
    <row r="150" spans="1:7" x14ac:dyDescent="0.3">
      <c r="A150" s="51"/>
      <c r="B150" s="22"/>
      <c r="C150" s="31"/>
      <c r="D150" s="31"/>
      <c r="E150" s="31"/>
      <c r="F150" s="22"/>
      <c r="G150" s="22"/>
    </row>
    <row r="151" spans="1:7" x14ac:dyDescent="0.3">
      <c r="A151" s="51"/>
      <c r="B151" s="22"/>
      <c r="C151" s="31"/>
      <c r="D151" s="31"/>
      <c r="E151" s="31"/>
      <c r="F151" s="22"/>
      <c r="G151" s="22"/>
    </row>
    <row r="152" spans="1:7" x14ac:dyDescent="0.3">
      <c r="A152" s="51"/>
      <c r="B152" s="22"/>
      <c r="C152" s="31"/>
      <c r="D152" s="31"/>
      <c r="E152" s="31"/>
      <c r="F152" s="22"/>
      <c r="G152" s="22"/>
    </row>
    <row r="153" spans="1:7" x14ac:dyDescent="0.3">
      <c r="A153" s="51"/>
      <c r="B153" s="22"/>
      <c r="C153" s="31"/>
      <c r="D153" s="31"/>
      <c r="E153" s="31"/>
      <c r="F153" s="22"/>
      <c r="G153" s="22"/>
    </row>
    <row r="154" spans="1:7" x14ac:dyDescent="0.3">
      <c r="A154" s="51"/>
      <c r="B154" s="22"/>
      <c r="C154" s="31"/>
      <c r="D154" s="31"/>
      <c r="E154" s="31"/>
      <c r="F154" s="22"/>
      <c r="G154" s="22"/>
    </row>
    <row r="155" spans="1:7" x14ac:dyDescent="0.3">
      <c r="A155" s="51"/>
      <c r="B155" s="22"/>
      <c r="C155" s="31"/>
      <c r="D155" s="31"/>
      <c r="E155" s="31"/>
      <c r="F155" s="22"/>
      <c r="G155" s="22"/>
    </row>
    <row r="156" spans="1:7" x14ac:dyDescent="0.3">
      <c r="A156" s="51"/>
      <c r="B156" s="22"/>
      <c r="C156" s="31"/>
      <c r="D156" s="31"/>
      <c r="E156" s="31"/>
      <c r="F156" s="22"/>
      <c r="G156" s="22"/>
    </row>
    <row r="157" spans="1:7" x14ac:dyDescent="0.3">
      <c r="A157" s="51"/>
      <c r="B157" s="22"/>
      <c r="C157" s="31"/>
      <c r="D157" s="31"/>
      <c r="E157" s="31"/>
      <c r="F157" s="22"/>
      <c r="G157" s="22"/>
    </row>
    <row r="158" spans="1:7" x14ac:dyDescent="0.3">
      <c r="A158" s="51"/>
      <c r="B158" s="22"/>
      <c r="C158" s="31"/>
      <c r="D158" s="31"/>
      <c r="E158" s="31"/>
      <c r="F158" s="22"/>
      <c r="G158" s="22"/>
    </row>
    <row r="159" spans="1:7" x14ac:dyDescent="0.3">
      <c r="A159" s="51"/>
      <c r="B159" s="22"/>
      <c r="C159" s="31"/>
      <c r="D159" s="31"/>
      <c r="E159" s="31"/>
      <c r="F159" s="22"/>
      <c r="G159" s="22"/>
    </row>
    <row r="160" spans="1:7" x14ac:dyDescent="0.3">
      <c r="A160" s="51"/>
      <c r="B160" s="22"/>
      <c r="C160" s="31"/>
      <c r="D160" s="31"/>
      <c r="E160" s="31"/>
      <c r="F160" s="22"/>
      <c r="G160" s="22"/>
    </row>
    <row r="161" spans="1:7" x14ac:dyDescent="0.3">
      <c r="A161" s="51"/>
      <c r="B161" s="22"/>
      <c r="C161" s="31"/>
      <c r="D161" s="31"/>
      <c r="E161" s="31"/>
      <c r="F161" s="22"/>
      <c r="G161" s="22"/>
    </row>
    <row r="162" spans="1:7" x14ac:dyDescent="0.3">
      <c r="A162" s="51"/>
      <c r="B162" s="22"/>
      <c r="C162" s="31"/>
      <c r="D162" s="31"/>
      <c r="E162" s="31"/>
      <c r="F162" s="22"/>
      <c r="G162" s="22"/>
    </row>
    <row r="163" spans="1:7" x14ac:dyDescent="0.3">
      <c r="A163" s="51"/>
      <c r="B163" s="22"/>
      <c r="C163" s="31"/>
      <c r="D163" s="31"/>
      <c r="E163" s="31"/>
      <c r="F163" s="22"/>
      <c r="G163" s="22"/>
    </row>
    <row r="164" spans="1:7" x14ac:dyDescent="0.3">
      <c r="A164" s="51"/>
      <c r="B164" s="22"/>
      <c r="C164" s="31"/>
      <c r="D164" s="31"/>
      <c r="E164" s="31"/>
      <c r="F164" s="22"/>
      <c r="G164" s="22"/>
    </row>
    <row r="165" spans="1:7" x14ac:dyDescent="0.3">
      <c r="A165" s="51"/>
      <c r="B165" s="22"/>
      <c r="C165" s="31"/>
      <c r="D165" s="31"/>
      <c r="E165" s="31"/>
      <c r="F165" s="22"/>
      <c r="G165" s="22"/>
    </row>
    <row r="166" spans="1:7" x14ac:dyDescent="0.3">
      <c r="A166" s="51"/>
      <c r="B166" s="22"/>
      <c r="C166" s="31"/>
      <c r="D166" s="31"/>
      <c r="E166" s="31"/>
      <c r="F166" s="22"/>
      <c r="G166" s="22"/>
    </row>
    <row r="167" spans="1:7" x14ac:dyDescent="0.3">
      <c r="A167" s="51"/>
      <c r="B167" s="22"/>
      <c r="C167" s="31"/>
      <c r="D167" s="31"/>
      <c r="E167" s="31"/>
      <c r="F167" s="22"/>
      <c r="G167" s="22"/>
    </row>
    <row r="168" spans="1:7" x14ac:dyDescent="0.3">
      <c r="A168" s="51"/>
      <c r="B168" s="22"/>
      <c r="C168" s="31"/>
      <c r="D168" s="31"/>
      <c r="E168" s="31"/>
      <c r="F168" s="22"/>
      <c r="G168" s="22"/>
    </row>
    <row r="169" spans="1:7" x14ac:dyDescent="0.3">
      <c r="A169" s="51"/>
      <c r="B169" s="22"/>
      <c r="C169" s="31"/>
      <c r="D169" s="31"/>
      <c r="E169" s="31"/>
      <c r="F169" s="22"/>
      <c r="G169" s="22"/>
    </row>
    <row r="170" spans="1:7" x14ac:dyDescent="0.3">
      <c r="A170" s="51"/>
      <c r="B170" s="22"/>
      <c r="C170" s="31"/>
      <c r="D170" s="31"/>
      <c r="E170" s="31"/>
      <c r="F170" s="22"/>
      <c r="G170" s="22"/>
    </row>
    <row r="171" spans="1:7" x14ac:dyDescent="0.3">
      <c r="A171" s="51"/>
      <c r="B171" s="22"/>
      <c r="C171" s="31"/>
      <c r="D171" s="31"/>
      <c r="E171" s="31"/>
      <c r="F171" s="22"/>
      <c r="G171" s="22"/>
    </row>
    <row r="172" spans="1:7" x14ac:dyDescent="0.3">
      <c r="A172" s="51"/>
      <c r="B172" s="22"/>
      <c r="C172" s="31"/>
      <c r="D172" s="31"/>
      <c r="E172" s="31"/>
      <c r="F172" s="22"/>
      <c r="G172" s="22"/>
    </row>
    <row r="173" spans="1:7" x14ac:dyDescent="0.3">
      <c r="A173" s="51"/>
      <c r="B173" s="22"/>
      <c r="C173" s="31"/>
      <c r="D173" s="31"/>
      <c r="E173" s="31"/>
      <c r="F173" s="22"/>
      <c r="G173" s="22"/>
    </row>
    <row r="174" spans="1:7" x14ac:dyDescent="0.3">
      <c r="A174" s="51"/>
      <c r="B174" s="22"/>
      <c r="C174" s="31"/>
      <c r="D174" s="31"/>
      <c r="E174" s="31"/>
      <c r="F174" s="22"/>
      <c r="G174" s="22"/>
    </row>
    <row r="175" spans="1:7" x14ac:dyDescent="0.3">
      <c r="A175" s="51"/>
      <c r="B175" s="22"/>
      <c r="C175" s="31"/>
      <c r="D175" s="31"/>
      <c r="E175" s="31"/>
      <c r="F175" s="22"/>
      <c r="G175" s="22"/>
    </row>
    <row r="176" spans="1:7" x14ac:dyDescent="0.3">
      <c r="A176" s="51"/>
      <c r="B176" s="22"/>
      <c r="C176" s="31"/>
      <c r="D176" s="31"/>
      <c r="E176" s="31"/>
      <c r="F176" s="22"/>
      <c r="G176" s="22"/>
    </row>
    <row r="177" spans="1:7" x14ac:dyDescent="0.3">
      <c r="A177" s="51"/>
      <c r="B177" s="22"/>
      <c r="C177" s="31"/>
      <c r="D177" s="31"/>
      <c r="E177" s="31"/>
      <c r="F177" s="22"/>
      <c r="G177" s="22"/>
    </row>
    <row r="178" spans="1:7" x14ac:dyDescent="0.3">
      <c r="A178" s="51"/>
      <c r="B178" s="22"/>
      <c r="C178" s="31"/>
      <c r="D178" s="31"/>
      <c r="E178" s="31"/>
      <c r="F178" s="22"/>
      <c r="G178" s="22"/>
    </row>
    <row r="179" spans="1:7" x14ac:dyDescent="0.3">
      <c r="A179" s="51"/>
      <c r="B179" s="22"/>
      <c r="C179" s="31"/>
      <c r="D179" s="31"/>
      <c r="E179" s="31"/>
      <c r="F179" s="22"/>
      <c r="G179" s="22"/>
    </row>
    <row r="180" spans="1:7" x14ac:dyDescent="0.3">
      <c r="A180" s="51"/>
      <c r="B180" s="22"/>
      <c r="C180" s="31"/>
      <c r="D180" s="31"/>
      <c r="E180" s="31"/>
      <c r="F180" s="22"/>
      <c r="G180" s="22"/>
    </row>
    <row r="181" spans="1:7" x14ac:dyDescent="0.3">
      <c r="A181" s="51"/>
      <c r="B181" s="22"/>
      <c r="C181" s="31"/>
      <c r="D181" s="31"/>
      <c r="E181" s="31"/>
      <c r="F181" s="22"/>
      <c r="G181" s="22"/>
    </row>
    <row r="182" spans="1:7" x14ac:dyDescent="0.3">
      <c r="A182" s="51"/>
      <c r="B182" s="22"/>
      <c r="C182" s="31"/>
      <c r="D182" s="31"/>
      <c r="E182" s="31"/>
      <c r="F182" s="22"/>
      <c r="G182" s="22"/>
    </row>
    <row r="183" spans="1:7" x14ac:dyDescent="0.3">
      <c r="A183" s="51"/>
      <c r="B183" s="22"/>
      <c r="C183" s="31"/>
      <c r="D183" s="31"/>
      <c r="E183" s="31"/>
      <c r="F183" s="22"/>
      <c r="G183" s="22"/>
    </row>
    <row r="184" spans="1:7" x14ac:dyDescent="0.3">
      <c r="A184" s="51"/>
      <c r="B184" s="22"/>
      <c r="C184" s="31"/>
      <c r="D184" s="31"/>
      <c r="E184" s="31"/>
      <c r="F184" s="22"/>
      <c r="G184" s="22"/>
    </row>
    <row r="185" spans="1:7" x14ac:dyDescent="0.3">
      <c r="A185" s="51"/>
      <c r="B185" s="22"/>
      <c r="C185" s="31"/>
      <c r="D185" s="31"/>
      <c r="E185" s="31"/>
      <c r="F185" s="22"/>
      <c r="G185" s="22"/>
    </row>
    <row r="186" spans="1:7" x14ac:dyDescent="0.3">
      <c r="A186" s="51"/>
      <c r="B186" s="22"/>
      <c r="C186" s="31"/>
      <c r="D186" s="31"/>
      <c r="E186" s="31"/>
      <c r="F186" s="22"/>
      <c r="G186" s="22"/>
    </row>
    <row r="187" spans="1:7" x14ac:dyDescent="0.3">
      <c r="A187" s="51"/>
      <c r="B187" s="22"/>
      <c r="C187" s="31"/>
      <c r="D187" s="31"/>
      <c r="E187" s="31"/>
      <c r="F187" s="22"/>
      <c r="G187" s="22"/>
    </row>
    <row r="188" spans="1:7" x14ac:dyDescent="0.3">
      <c r="A188" s="51"/>
      <c r="B188" s="22"/>
      <c r="C188" s="31"/>
      <c r="D188" s="31"/>
      <c r="E188" s="31"/>
      <c r="F188" s="22"/>
      <c r="G188" s="22"/>
    </row>
    <row r="189" spans="1:7" x14ac:dyDescent="0.3">
      <c r="A189" s="51"/>
      <c r="B189" s="22"/>
      <c r="C189" s="31"/>
      <c r="D189" s="31"/>
      <c r="E189" s="31"/>
      <c r="F189" s="22"/>
      <c r="G189" s="22"/>
    </row>
    <row r="190" spans="1:7" x14ac:dyDescent="0.3">
      <c r="A190" s="51"/>
      <c r="B190" s="22"/>
      <c r="C190" s="31"/>
      <c r="D190" s="31"/>
      <c r="E190" s="31"/>
      <c r="F190" s="22"/>
      <c r="G190" s="22"/>
    </row>
    <row r="191" spans="1:7" x14ac:dyDescent="0.3">
      <c r="A191" s="51"/>
      <c r="B191" s="22"/>
      <c r="C191" s="31"/>
      <c r="D191" s="31"/>
      <c r="E191" s="31"/>
      <c r="F191" s="22"/>
      <c r="G191" s="22"/>
    </row>
    <row r="192" spans="1:7" x14ac:dyDescent="0.3">
      <c r="A192" s="51"/>
      <c r="B192" s="22"/>
      <c r="C192" s="31"/>
      <c r="D192" s="31"/>
      <c r="E192" s="31"/>
      <c r="F192" s="22"/>
      <c r="G192" s="22"/>
    </row>
    <row r="193" spans="1:7" x14ac:dyDescent="0.3">
      <c r="A193" s="51"/>
      <c r="B193" s="22"/>
      <c r="C193" s="31"/>
      <c r="D193" s="31"/>
      <c r="E193" s="31"/>
      <c r="F193" s="22"/>
      <c r="G193" s="22"/>
    </row>
    <row r="194" spans="1:7" x14ac:dyDescent="0.3">
      <c r="A194" s="51"/>
      <c r="B194" s="22"/>
      <c r="C194" s="31"/>
      <c r="D194" s="31"/>
      <c r="E194" s="31"/>
      <c r="F194" s="22"/>
      <c r="G194" s="22"/>
    </row>
    <row r="195" spans="1:7" x14ac:dyDescent="0.3">
      <c r="A195" s="51"/>
      <c r="B195" s="22"/>
      <c r="C195" s="31"/>
      <c r="D195" s="31"/>
      <c r="E195" s="31"/>
      <c r="F195" s="22"/>
      <c r="G195" s="22"/>
    </row>
    <row r="196" spans="1:7" x14ac:dyDescent="0.3">
      <c r="A196" s="51"/>
      <c r="B196" s="22"/>
      <c r="C196" s="31"/>
      <c r="D196" s="31"/>
      <c r="E196" s="31"/>
      <c r="F196" s="22"/>
      <c r="G196" s="22"/>
    </row>
    <row r="197" spans="1:7" x14ac:dyDescent="0.3">
      <c r="A197" s="51"/>
      <c r="B197" s="22"/>
      <c r="C197" s="31"/>
      <c r="D197" s="31"/>
      <c r="E197" s="31"/>
      <c r="F197" s="22"/>
      <c r="G197" s="22"/>
    </row>
    <row r="198" spans="1:7" x14ac:dyDescent="0.3">
      <c r="A198" s="51"/>
      <c r="B198" s="22"/>
      <c r="C198" s="31"/>
      <c r="D198" s="31"/>
      <c r="E198" s="31"/>
      <c r="F198" s="22"/>
      <c r="G198" s="22"/>
    </row>
    <row r="199" spans="1:7" x14ac:dyDescent="0.3">
      <c r="A199" s="51"/>
      <c r="B199" s="22"/>
      <c r="C199" s="31"/>
      <c r="D199" s="31"/>
      <c r="E199" s="31"/>
      <c r="F199" s="22"/>
      <c r="G199" s="22"/>
    </row>
    <row r="200" spans="1:7" x14ac:dyDescent="0.3">
      <c r="A200" s="51"/>
      <c r="B200" s="22"/>
      <c r="C200" s="31"/>
      <c r="D200" s="31"/>
      <c r="E200" s="31"/>
      <c r="F200" s="22"/>
      <c r="G200" s="22"/>
    </row>
    <row r="201" spans="1:7" x14ac:dyDescent="0.3">
      <c r="A201" s="51"/>
      <c r="B201" s="22"/>
      <c r="C201" s="31"/>
      <c r="D201" s="31"/>
      <c r="E201" s="31"/>
      <c r="F201" s="22"/>
      <c r="G201" s="22"/>
    </row>
    <row r="202" spans="1:7" x14ac:dyDescent="0.3">
      <c r="A202" s="51"/>
      <c r="B202" s="22"/>
      <c r="C202" s="31"/>
      <c r="D202" s="31"/>
      <c r="E202" s="31"/>
      <c r="F202" s="22"/>
      <c r="G202" s="22"/>
    </row>
    <row r="203" spans="1:7" x14ac:dyDescent="0.3">
      <c r="A203" s="51"/>
      <c r="B203" s="22"/>
      <c r="C203" s="31"/>
      <c r="D203" s="31"/>
      <c r="E203" s="31"/>
      <c r="F203" s="22"/>
      <c r="G203" s="22"/>
    </row>
    <row r="204" spans="1:7" x14ac:dyDescent="0.3">
      <c r="A204" s="51"/>
      <c r="B204" s="22"/>
      <c r="C204" s="31"/>
      <c r="D204" s="31"/>
      <c r="E204" s="31"/>
      <c r="F204" s="22"/>
      <c r="G204" s="22"/>
    </row>
    <row r="205" spans="1:7" x14ac:dyDescent="0.3">
      <c r="A205" s="51"/>
      <c r="B205" s="22"/>
      <c r="C205" s="31"/>
      <c r="D205" s="31"/>
      <c r="E205" s="31"/>
      <c r="F205" s="22"/>
      <c r="G205" s="22"/>
    </row>
    <row r="206" spans="1:7" x14ac:dyDescent="0.3">
      <c r="A206" s="51"/>
      <c r="B206" s="22"/>
      <c r="C206" s="31"/>
      <c r="D206" s="31"/>
      <c r="E206" s="31"/>
      <c r="F206" s="22"/>
      <c r="G206" s="22"/>
    </row>
    <row r="207" spans="1:7" x14ac:dyDescent="0.3">
      <c r="A207" s="51"/>
      <c r="B207" s="22"/>
      <c r="C207" s="31"/>
      <c r="D207" s="31"/>
      <c r="E207" s="31"/>
      <c r="F207" s="22"/>
      <c r="G207" s="22"/>
    </row>
    <row r="208" spans="1:7" x14ac:dyDescent="0.3">
      <c r="A208" s="51"/>
      <c r="B208" s="22"/>
      <c r="C208" s="31"/>
      <c r="D208" s="31"/>
      <c r="E208" s="31"/>
      <c r="F208" s="22"/>
      <c r="G208" s="22"/>
    </row>
    <row r="209" spans="1:7" x14ac:dyDescent="0.3">
      <c r="A209" s="51"/>
      <c r="B209" s="22"/>
      <c r="C209" s="31"/>
      <c r="D209" s="31"/>
      <c r="E209" s="31"/>
      <c r="F209" s="22"/>
      <c r="G209" s="22"/>
    </row>
    <row r="210" spans="1:7" x14ac:dyDescent="0.3">
      <c r="A210" s="51"/>
      <c r="B210" s="22"/>
      <c r="C210" s="31"/>
      <c r="D210" s="31"/>
      <c r="E210" s="31"/>
      <c r="F210" s="22"/>
      <c r="G210" s="22"/>
    </row>
    <row r="211" spans="1:7" x14ac:dyDescent="0.3">
      <c r="A211" s="51"/>
      <c r="B211" s="22"/>
      <c r="C211" s="31"/>
      <c r="D211" s="31"/>
      <c r="E211" s="31"/>
      <c r="F211" s="22"/>
      <c r="G211" s="22"/>
    </row>
    <row r="212" spans="1:7" x14ac:dyDescent="0.3">
      <c r="A212" s="51"/>
      <c r="B212" s="22"/>
      <c r="C212" s="31"/>
      <c r="D212" s="31"/>
      <c r="E212" s="31"/>
      <c r="F212" s="22"/>
      <c r="G212" s="22"/>
    </row>
    <row r="213" spans="1:7" x14ac:dyDescent="0.3">
      <c r="A213" s="51"/>
      <c r="B213" s="22"/>
      <c r="C213" s="31"/>
      <c r="D213" s="31"/>
      <c r="E213" s="31"/>
      <c r="F213" s="22"/>
      <c r="G213" s="22"/>
    </row>
    <row r="214" spans="1:7" x14ac:dyDescent="0.3">
      <c r="A214" s="51"/>
      <c r="B214" s="22"/>
      <c r="C214" s="31"/>
      <c r="D214" s="31"/>
      <c r="E214" s="31"/>
      <c r="F214" s="22"/>
      <c r="G214" s="22"/>
    </row>
    <row r="215" spans="1:7" x14ac:dyDescent="0.3">
      <c r="A215" s="51"/>
      <c r="B215" s="22"/>
      <c r="C215" s="31"/>
      <c r="D215" s="31"/>
      <c r="E215" s="31"/>
      <c r="F215" s="22"/>
      <c r="G215" s="22"/>
    </row>
    <row r="216" spans="1:7" x14ac:dyDescent="0.3">
      <c r="A216" s="51"/>
      <c r="B216" s="22"/>
      <c r="C216" s="31"/>
      <c r="D216" s="31"/>
      <c r="E216" s="31"/>
      <c r="F216" s="22"/>
      <c r="G216" s="22"/>
    </row>
    <row r="217" spans="1:7" x14ac:dyDescent="0.3">
      <c r="A217" s="51"/>
      <c r="B217" s="22"/>
      <c r="C217" s="31"/>
      <c r="D217" s="31"/>
      <c r="E217" s="31"/>
      <c r="F217" s="22"/>
      <c r="G217" s="22"/>
    </row>
    <row r="218" spans="1:7" x14ac:dyDescent="0.3">
      <c r="A218" s="51"/>
      <c r="B218" s="22"/>
      <c r="C218" s="31"/>
      <c r="D218" s="31"/>
      <c r="E218" s="31"/>
      <c r="F218" s="22"/>
      <c r="G218" s="22"/>
    </row>
    <row r="219" spans="1:7" x14ac:dyDescent="0.3">
      <c r="A219" s="51"/>
      <c r="B219" s="22"/>
      <c r="C219" s="31"/>
      <c r="D219" s="31"/>
      <c r="E219" s="31"/>
      <c r="F219" s="22"/>
      <c r="G219" s="22"/>
    </row>
    <row r="220" spans="1:7" x14ac:dyDescent="0.3">
      <c r="A220" s="51"/>
      <c r="B220" s="22"/>
      <c r="C220" s="31"/>
      <c r="D220" s="31"/>
      <c r="E220" s="31"/>
      <c r="F220" s="22"/>
      <c r="G220" s="22"/>
    </row>
    <row r="221" spans="1:7" x14ac:dyDescent="0.3">
      <c r="A221" s="51"/>
      <c r="B221" s="22"/>
      <c r="C221" s="31"/>
      <c r="D221" s="31"/>
      <c r="E221" s="31"/>
      <c r="F221" s="22"/>
      <c r="G221" s="22"/>
    </row>
    <row r="222" spans="1:7" x14ac:dyDescent="0.3">
      <c r="A222" s="51"/>
      <c r="B222" s="22"/>
      <c r="C222" s="31"/>
      <c r="D222" s="31"/>
      <c r="E222" s="31"/>
      <c r="F222" s="22"/>
      <c r="G222" s="22"/>
    </row>
    <row r="223" spans="1:7" x14ac:dyDescent="0.3">
      <c r="A223" s="51"/>
      <c r="B223" s="22"/>
      <c r="C223" s="31"/>
      <c r="D223" s="31"/>
      <c r="E223" s="31"/>
      <c r="F223" s="22"/>
      <c r="G223" s="22"/>
    </row>
    <row r="224" spans="1:7" x14ac:dyDescent="0.3">
      <c r="A224" s="51"/>
      <c r="B224" s="22"/>
      <c r="C224" s="31"/>
      <c r="D224" s="31"/>
      <c r="E224" s="31"/>
      <c r="F224" s="22"/>
      <c r="G224" s="22"/>
    </row>
    <row r="225" spans="1:7" x14ac:dyDescent="0.3">
      <c r="A225" s="51"/>
      <c r="B225" s="22"/>
      <c r="C225" s="31"/>
      <c r="D225" s="31"/>
      <c r="E225" s="31"/>
      <c r="F225" s="22"/>
      <c r="G225" s="22"/>
    </row>
    <row r="226" spans="1:7" x14ac:dyDescent="0.3">
      <c r="A226" s="51"/>
      <c r="B226" s="22"/>
      <c r="C226" s="31"/>
      <c r="D226" s="31"/>
      <c r="E226" s="31"/>
      <c r="F226" s="22"/>
      <c r="G226" s="22"/>
    </row>
    <row r="227" spans="1:7" x14ac:dyDescent="0.3">
      <c r="A227" s="51"/>
      <c r="B227" s="22"/>
      <c r="C227" s="31"/>
      <c r="D227" s="31"/>
      <c r="E227" s="31"/>
      <c r="F227" s="22"/>
      <c r="G227" s="22"/>
    </row>
    <row r="228" spans="1:7" x14ac:dyDescent="0.3">
      <c r="A228" s="51"/>
      <c r="B228" s="22"/>
      <c r="C228" s="31"/>
      <c r="D228" s="31"/>
      <c r="E228" s="31"/>
      <c r="F228" s="22"/>
      <c r="G228" s="22"/>
    </row>
    <row r="229" spans="1:7" x14ac:dyDescent="0.3">
      <c r="A229" s="51"/>
      <c r="B229" s="22"/>
      <c r="C229" s="31"/>
      <c r="D229" s="31"/>
      <c r="E229" s="31"/>
      <c r="F229" s="22"/>
      <c r="G229" s="22"/>
    </row>
    <row r="230" spans="1:7" x14ac:dyDescent="0.3">
      <c r="A230" s="51"/>
      <c r="B230" s="22"/>
      <c r="C230" s="31"/>
      <c r="D230" s="31"/>
      <c r="E230" s="31"/>
      <c r="F230" s="22"/>
      <c r="G230" s="22"/>
    </row>
    <row r="231" spans="1:7" x14ac:dyDescent="0.3">
      <c r="A231" s="51"/>
      <c r="B231" s="22"/>
      <c r="C231" s="31"/>
      <c r="D231" s="31"/>
      <c r="E231" s="31"/>
      <c r="F231" s="22"/>
      <c r="G231" s="22"/>
    </row>
    <row r="232" spans="1:7" x14ac:dyDescent="0.3">
      <c r="A232" s="51"/>
      <c r="B232" s="22"/>
      <c r="C232" s="31"/>
      <c r="D232" s="31"/>
      <c r="E232" s="31"/>
      <c r="F232" s="22"/>
      <c r="G232" s="22"/>
    </row>
    <row r="233" spans="1:7" x14ac:dyDescent="0.3">
      <c r="A233" s="51"/>
      <c r="B233" s="22"/>
      <c r="C233" s="31"/>
      <c r="D233" s="31"/>
      <c r="E233" s="31"/>
      <c r="F233" s="22"/>
      <c r="G233" s="22"/>
    </row>
    <row r="234" spans="1:7" x14ac:dyDescent="0.3">
      <c r="A234" s="51"/>
      <c r="B234" s="22"/>
      <c r="C234" s="31"/>
      <c r="D234" s="31"/>
      <c r="E234" s="31"/>
      <c r="F234" s="22"/>
      <c r="G234" s="22"/>
    </row>
    <row r="235" spans="1:7" x14ac:dyDescent="0.3">
      <c r="A235" s="51"/>
      <c r="B235" s="22"/>
      <c r="C235" s="31"/>
      <c r="D235" s="31"/>
      <c r="E235" s="31"/>
      <c r="F235" s="22"/>
      <c r="G235" s="22"/>
    </row>
    <row r="236" spans="1:7" x14ac:dyDescent="0.3">
      <c r="A236" s="51"/>
      <c r="B236" s="22"/>
      <c r="C236" s="31"/>
      <c r="D236" s="31"/>
      <c r="E236" s="31"/>
      <c r="F236" s="22"/>
      <c r="G236" s="22"/>
    </row>
    <row r="237" spans="1:7" x14ac:dyDescent="0.3">
      <c r="A237" s="51"/>
      <c r="B237" s="22"/>
      <c r="C237" s="31"/>
      <c r="D237" s="31"/>
      <c r="E237" s="31"/>
      <c r="F237" s="22"/>
      <c r="G237" s="22"/>
    </row>
    <row r="238" spans="1:7" x14ac:dyDescent="0.3">
      <c r="A238" s="51"/>
      <c r="B238" s="22"/>
      <c r="C238" s="31"/>
      <c r="D238" s="31"/>
      <c r="E238" s="31"/>
      <c r="F238" s="22"/>
      <c r="G238" s="22"/>
    </row>
    <row r="239" spans="1:7" x14ac:dyDescent="0.3">
      <c r="A239" s="51"/>
      <c r="B239" s="22"/>
      <c r="C239" s="31"/>
      <c r="D239" s="31"/>
      <c r="E239" s="31"/>
      <c r="F239" s="22"/>
      <c r="G239" s="22"/>
    </row>
    <row r="240" spans="1:7" x14ac:dyDescent="0.3">
      <c r="A240" s="51"/>
      <c r="B240" s="22"/>
      <c r="C240" s="31"/>
      <c r="D240" s="31"/>
      <c r="E240" s="31"/>
      <c r="F240" s="22"/>
      <c r="G240" s="22"/>
    </row>
    <row r="241" spans="1:7" x14ac:dyDescent="0.3">
      <c r="A241" s="51"/>
      <c r="B241" s="22"/>
      <c r="C241" s="31"/>
      <c r="D241" s="31"/>
      <c r="E241" s="31"/>
      <c r="F241" s="22"/>
      <c r="G241" s="22"/>
    </row>
    <row r="242" spans="1:7" x14ac:dyDescent="0.3">
      <c r="A242" s="51"/>
      <c r="B242" s="22"/>
      <c r="C242" s="31"/>
      <c r="D242" s="31"/>
      <c r="E242" s="31"/>
      <c r="F242" s="22"/>
      <c r="G242" s="22"/>
    </row>
    <row r="243" spans="1:7" x14ac:dyDescent="0.3">
      <c r="A243" s="51"/>
      <c r="B243" s="22"/>
      <c r="C243" s="31"/>
      <c r="D243" s="31"/>
      <c r="E243" s="31"/>
      <c r="F243" s="22"/>
      <c r="G243" s="22"/>
    </row>
    <row r="244" spans="1:7" x14ac:dyDescent="0.3">
      <c r="A244" s="51"/>
      <c r="B244" s="22"/>
      <c r="C244" s="31"/>
      <c r="D244" s="31"/>
      <c r="E244" s="31"/>
      <c r="F244" s="22"/>
      <c r="G244" s="22"/>
    </row>
    <row r="245" spans="1:7" x14ac:dyDescent="0.3">
      <c r="A245" s="51"/>
      <c r="B245" s="22"/>
      <c r="C245" s="31"/>
      <c r="D245" s="31"/>
      <c r="E245" s="31"/>
      <c r="F245" s="22"/>
      <c r="G245" s="22"/>
    </row>
    <row r="246" spans="1:7" x14ac:dyDescent="0.3">
      <c r="A246" s="51"/>
      <c r="B246" s="22"/>
      <c r="C246" s="31"/>
      <c r="D246" s="31"/>
      <c r="E246" s="31"/>
      <c r="F246" s="22"/>
      <c r="G246" s="22"/>
    </row>
    <row r="247" spans="1:7" x14ac:dyDescent="0.3">
      <c r="A247" s="51"/>
      <c r="B247" s="22"/>
      <c r="C247" s="31"/>
      <c r="D247" s="31"/>
      <c r="E247" s="31"/>
      <c r="F247" s="22"/>
      <c r="G247" s="22"/>
    </row>
    <row r="248" spans="1:7" x14ac:dyDescent="0.3">
      <c r="A248" s="51"/>
      <c r="B248" s="22"/>
      <c r="C248" s="31"/>
      <c r="D248" s="31"/>
      <c r="E248" s="31"/>
      <c r="F248" s="22"/>
      <c r="G248" s="22"/>
    </row>
    <row r="249" spans="1:7" x14ac:dyDescent="0.3">
      <c r="A249" s="51"/>
      <c r="B249" s="22"/>
      <c r="C249" s="31"/>
      <c r="D249" s="31"/>
      <c r="E249" s="31"/>
      <c r="F249" s="22"/>
      <c r="G249" s="22"/>
    </row>
    <row r="250" spans="1:7" x14ac:dyDescent="0.3">
      <c r="A250" s="51"/>
      <c r="B250" s="22"/>
      <c r="C250" s="31"/>
      <c r="D250" s="31"/>
      <c r="E250" s="31"/>
      <c r="F250" s="22"/>
      <c r="G250" s="22"/>
    </row>
    <row r="251" spans="1:7" x14ac:dyDescent="0.3">
      <c r="A251" s="51"/>
      <c r="B251" s="22"/>
      <c r="C251" s="31"/>
      <c r="D251" s="31"/>
      <c r="E251" s="31"/>
      <c r="F251" s="22"/>
      <c r="G251" s="22"/>
    </row>
    <row r="252" spans="1:7" x14ac:dyDescent="0.3">
      <c r="A252" s="51"/>
      <c r="B252" s="22"/>
      <c r="C252" s="31"/>
      <c r="D252" s="31"/>
      <c r="E252" s="31"/>
      <c r="F252" s="22"/>
      <c r="G252" s="22"/>
    </row>
    <row r="253" spans="1:7" x14ac:dyDescent="0.3">
      <c r="A253" s="51"/>
      <c r="B253" s="22"/>
      <c r="C253" s="31"/>
      <c r="D253" s="31"/>
      <c r="E253" s="31"/>
      <c r="F253" s="22"/>
      <c r="G253" s="22"/>
    </row>
    <row r="254" spans="1:7" x14ac:dyDescent="0.3">
      <c r="A254" s="51"/>
      <c r="B254" s="22"/>
      <c r="C254" s="31"/>
      <c r="D254" s="31"/>
      <c r="E254" s="31"/>
      <c r="F254" s="22"/>
      <c r="G254" s="22"/>
    </row>
    <row r="255" spans="1:7" x14ac:dyDescent="0.3">
      <c r="A255" s="51"/>
      <c r="B255" s="22"/>
      <c r="C255" s="31"/>
      <c r="D255" s="31"/>
      <c r="E255" s="31"/>
      <c r="F255" s="22"/>
      <c r="G255" s="22"/>
    </row>
    <row r="256" spans="1:7" x14ac:dyDescent="0.3">
      <c r="A256" s="51"/>
      <c r="B256" s="22"/>
      <c r="C256" s="31"/>
      <c r="D256" s="31"/>
      <c r="E256" s="31"/>
      <c r="F256" s="22"/>
      <c r="G256" s="22"/>
    </row>
    <row r="257" spans="1:7" x14ac:dyDescent="0.3">
      <c r="A257" s="51"/>
      <c r="B257" s="22"/>
      <c r="C257" s="31"/>
      <c r="D257" s="31"/>
      <c r="E257" s="31"/>
      <c r="F257" s="22"/>
      <c r="G257" s="22"/>
    </row>
    <row r="258" spans="1:7" x14ac:dyDescent="0.3">
      <c r="A258" s="51"/>
      <c r="B258" s="22"/>
      <c r="C258" s="31"/>
      <c r="D258" s="31"/>
      <c r="E258" s="31"/>
      <c r="F258" s="22"/>
      <c r="G258" s="22"/>
    </row>
    <row r="259" spans="1:7" x14ac:dyDescent="0.3">
      <c r="A259" s="51"/>
      <c r="B259" s="22"/>
      <c r="C259" s="31"/>
      <c r="D259" s="31"/>
      <c r="E259" s="31"/>
      <c r="F259" s="22"/>
      <c r="G259" s="22"/>
    </row>
    <row r="260" spans="1:7" x14ac:dyDescent="0.3">
      <c r="A260" s="51"/>
      <c r="B260" s="22"/>
      <c r="C260" s="31"/>
      <c r="D260" s="31"/>
      <c r="E260" s="31"/>
      <c r="F260" s="22"/>
      <c r="G260" s="22"/>
    </row>
    <row r="261" spans="1:7" x14ac:dyDescent="0.3">
      <c r="A261" s="51"/>
      <c r="B261" s="22"/>
      <c r="C261" s="31"/>
      <c r="D261" s="31"/>
      <c r="E261" s="31"/>
      <c r="F261" s="22"/>
      <c r="G261" s="22"/>
    </row>
    <row r="262" spans="1:7" x14ac:dyDescent="0.3">
      <c r="A262" s="51"/>
      <c r="B262" s="22"/>
      <c r="C262" s="31"/>
      <c r="D262" s="31"/>
      <c r="E262" s="31"/>
      <c r="F262" s="22"/>
      <c r="G262" s="22"/>
    </row>
    <row r="263" spans="1:7" x14ac:dyDescent="0.3">
      <c r="A263" s="51"/>
      <c r="B263" s="22"/>
      <c r="C263" s="31"/>
      <c r="D263" s="31"/>
      <c r="E263" s="31"/>
      <c r="F263" s="22"/>
      <c r="G263" s="22"/>
    </row>
    <row r="264" spans="1:7" x14ac:dyDescent="0.3">
      <c r="A264" s="51"/>
      <c r="B264" s="22"/>
      <c r="C264" s="31"/>
      <c r="D264" s="31"/>
      <c r="E264" s="31"/>
      <c r="F264" s="22"/>
      <c r="G264" s="22"/>
    </row>
    <row r="265" spans="1:7" x14ac:dyDescent="0.3">
      <c r="A265" s="51"/>
      <c r="B265" s="22"/>
      <c r="C265" s="31"/>
      <c r="D265" s="31"/>
      <c r="E265" s="31"/>
      <c r="F265" s="22"/>
      <c r="G265" s="22"/>
    </row>
    <row r="266" spans="1:7" x14ac:dyDescent="0.3">
      <c r="A266" s="51"/>
      <c r="B266" s="22"/>
      <c r="C266" s="31"/>
      <c r="D266" s="31"/>
      <c r="E266" s="31"/>
      <c r="F266" s="22"/>
      <c r="G266" s="22"/>
    </row>
    <row r="267" spans="1:7" x14ac:dyDescent="0.3">
      <c r="A267" s="51"/>
      <c r="B267" s="22"/>
      <c r="C267" s="31"/>
      <c r="D267" s="31"/>
      <c r="E267" s="31"/>
      <c r="F267" s="22"/>
      <c r="G267" s="22"/>
    </row>
    <row r="268" spans="1:7" x14ac:dyDescent="0.3">
      <c r="A268" s="51"/>
      <c r="B268" s="22"/>
      <c r="C268" s="31"/>
      <c r="D268" s="31"/>
      <c r="E268" s="31"/>
      <c r="F268" s="22"/>
      <c r="G268" s="22"/>
    </row>
    <row r="269" spans="1:7" x14ac:dyDescent="0.3">
      <c r="A269" s="51"/>
      <c r="B269" s="22"/>
      <c r="C269" s="31"/>
      <c r="D269" s="31"/>
      <c r="E269" s="31"/>
      <c r="F269" s="22"/>
      <c r="G269" s="22"/>
    </row>
    <row r="270" spans="1:7" x14ac:dyDescent="0.3">
      <c r="A270" s="51"/>
      <c r="B270" s="22"/>
      <c r="C270" s="31"/>
      <c r="D270" s="31"/>
      <c r="E270" s="31"/>
      <c r="F270" s="22"/>
      <c r="G270" s="22"/>
    </row>
    <row r="271" spans="1:7" x14ac:dyDescent="0.3">
      <c r="A271" s="51"/>
      <c r="B271" s="22"/>
      <c r="C271" s="31"/>
      <c r="D271" s="31"/>
      <c r="E271" s="31"/>
      <c r="F271" s="22"/>
      <c r="G271" s="22"/>
    </row>
    <row r="272" spans="1:7" x14ac:dyDescent="0.3">
      <c r="A272" s="51"/>
      <c r="B272" s="22"/>
      <c r="C272" s="31"/>
      <c r="D272" s="31"/>
      <c r="E272" s="31"/>
      <c r="F272" s="22"/>
      <c r="G272" s="22"/>
    </row>
    <row r="273" spans="1:7" x14ac:dyDescent="0.3">
      <c r="A273" s="51"/>
      <c r="B273" s="22"/>
      <c r="C273" s="31"/>
      <c r="D273" s="31"/>
      <c r="E273" s="31"/>
      <c r="F273" s="22"/>
      <c r="G273" s="22"/>
    </row>
    <row r="274" spans="1:7" x14ac:dyDescent="0.3">
      <c r="A274" s="51"/>
      <c r="B274" s="22"/>
      <c r="C274" s="31"/>
      <c r="D274" s="31"/>
      <c r="E274" s="31"/>
      <c r="F274" s="22"/>
      <c r="G274" s="22"/>
    </row>
    <row r="275" spans="1:7" x14ac:dyDescent="0.3">
      <c r="A275" s="51"/>
      <c r="B275" s="22"/>
      <c r="C275" s="31"/>
      <c r="D275" s="31"/>
      <c r="E275" s="31"/>
      <c r="F275" s="22"/>
      <c r="G275" s="22"/>
    </row>
    <row r="276" spans="1:7" x14ac:dyDescent="0.3">
      <c r="A276" s="51"/>
      <c r="B276" s="22"/>
      <c r="C276" s="31"/>
      <c r="D276" s="31"/>
      <c r="E276" s="31"/>
      <c r="F276" s="22"/>
      <c r="G276" s="22"/>
    </row>
    <row r="277" spans="1:7" x14ac:dyDescent="0.3">
      <c r="A277" s="51"/>
      <c r="B277" s="22"/>
      <c r="C277" s="31"/>
      <c r="D277" s="31"/>
      <c r="E277" s="31"/>
      <c r="F277" s="22"/>
      <c r="G277" s="22"/>
    </row>
    <row r="278" spans="1:7" x14ac:dyDescent="0.3">
      <c r="A278" s="51"/>
      <c r="B278" s="22"/>
      <c r="C278" s="31"/>
      <c r="D278" s="31"/>
      <c r="E278" s="31"/>
      <c r="F278" s="22"/>
      <c r="G278" s="22"/>
    </row>
    <row r="279" spans="1:7" x14ac:dyDescent="0.3">
      <c r="A279" s="51"/>
      <c r="B279" s="22"/>
      <c r="C279" s="31"/>
      <c r="D279" s="31"/>
      <c r="E279" s="31"/>
      <c r="F279" s="22"/>
      <c r="G279" s="22"/>
    </row>
    <row r="280" spans="1:7" x14ac:dyDescent="0.3">
      <c r="A280" s="51"/>
      <c r="B280" s="22"/>
      <c r="C280" s="31"/>
      <c r="D280" s="31"/>
      <c r="E280" s="31"/>
      <c r="F280" s="22"/>
      <c r="G280" s="22"/>
    </row>
    <row r="281" spans="1:7" x14ac:dyDescent="0.3">
      <c r="A281" s="51"/>
      <c r="B281" s="22"/>
      <c r="C281" s="31"/>
      <c r="D281" s="31"/>
      <c r="E281" s="31"/>
      <c r="F281" s="22"/>
      <c r="G281" s="22"/>
    </row>
    <row r="282" spans="1:7" x14ac:dyDescent="0.3">
      <c r="A282" s="51"/>
      <c r="B282" s="22"/>
      <c r="C282" s="31"/>
      <c r="D282" s="31"/>
      <c r="E282" s="31"/>
      <c r="F282" s="22"/>
      <c r="G282" s="22"/>
    </row>
    <row r="283" spans="1:7" x14ac:dyDescent="0.3">
      <c r="A283" s="51"/>
      <c r="B283" s="22"/>
      <c r="C283" s="31"/>
      <c r="D283" s="31"/>
      <c r="E283" s="31"/>
      <c r="F283" s="22"/>
      <c r="G283" s="22"/>
    </row>
    <row r="284" spans="1:7" x14ac:dyDescent="0.3">
      <c r="A284" s="51"/>
      <c r="B284" s="22"/>
      <c r="C284" s="31"/>
      <c r="D284" s="31"/>
      <c r="E284" s="31"/>
      <c r="F284" s="22"/>
      <c r="G284" s="22"/>
    </row>
    <row r="285" spans="1:7" x14ac:dyDescent="0.3">
      <c r="A285" s="51"/>
      <c r="B285" s="22"/>
      <c r="C285" s="31"/>
      <c r="D285" s="31"/>
      <c r="E285" s="31"/>
      <c r="F285" s="22"/>
      <c r="G285" s="22"/>
    </row>
    <row r="286" spans="1:7" x14ac:dyDescent="0.3">
      <c r="A286" s="51"/>
      <c r="B286" s="22"/>
      <c r="C286" s="31"/>
      <c r="D286" s="31"/>
      <c r="E286" s="31"/>
      <c r="F286" s="22"/>
      <c r="G286" s="22"/>
    </row>
    <row r="287" spans="1:7" x14ac:dyDescent="0.3">
      <c r="A287" s="51"/>
      <c r="B287" s="22"/>
      <c r="C287" s="31"/>
      <c r="D287" s="31"/>
      <c r="E287" s="31"/>
      <c r="F287" s="22"/>
      <c r="G287" s="22"/>
    </row>
    <row r="288" spans="1:7" x14ac:dyDescent="0.3">
      <c r="A288" s="51"/>
      <c r="B288" s="22"/>
      <c r="C288" s="31"/>
      <c r="D288" s="31"/>
      <c r="E288" s="31"/>
      <c r="F288" s="22"/>
      <c r="G288" s="22"/>
    </row>
    <row r="289" spans="1:7" x14ac:dyDescent="0.3">
      <c r="A289" s="51"/>
      <c r="B289" s="22"/>
      <c r="C289" s="31"/>
      <c r="D289" s="31"/>
      <c r="E289" s="31"/>
      <c r="F289" s="22"/>
      <c r="G289" s="22"/>
    </row>
    <row r="290" spans="1:7" x14ac:dyDescent="0.3">
      <c r="A290" s="51"/>
      <c r="B290" s="22"/>
      <c r="C290" s="31"/>
      <c r="D290" s="31"/>
      <c r="E290" s="31"/>
      <c r="F290" s="22"/>
      <c r="G290" s="22"/>
    </row>
    <row r="291" spans="1:7" x14ac:dyDescent="0.3">
      <c r="A291" s="51"/>
      <c r="B291" s="22"/>
      <c r="C291" s="31"/>
      <c r="D291" s="31"/>
      <c r="E291" s="31"/>
      <c r="F291" s="22"/>
      <c r="G291" s="22"/>
    </row>
    <row r="292" spans="1:7" x14ac:dyDescent="0.3">
      <c r="A292" s="51"/>
      <c r="B292" s="22"/>
      <c r="C292" s="31"/>
      <c r="D292" s="31"/>
      <c r="E292" s="31"/>
      <c r="F292" s="22"/>
      <c r="G292" s="22"/>
    </row>
    <row r="293" spans="1:7" x14ac:dyDescent="0.3">
      <c r="A293" s="51"/>
      <c r="B293" s="22"/>
      <c r="C293" s="31"/>
      <c r="D293" s="31"/>
      <c r="E293" s="31"/>
      <c r="F293" s="22"/>
      <c r="G293" s="22"/>
    </row>
    <row r="294" spans="1:7" x14ac:dyDescent="0.3">
      <c r="A294" s="51"/>
      <c r="B294" s="22"/>
      <c r="C294" s="31"/>
      <c r="D294" s="31"/>
      <c r="E294" s="31"/>
      <c r="F294" s="22"/>
      <c r="G294" s="22"/>
    </row>
    <row r="295" spans="1:7" x14ac:dyDescent="0.3">
      <c r="A295" s="51"/>
      <c r="B295" s="22"/>
      <c r="C295" s="31"/>
      <c r="D295" s="31"/>
      <c r="E295" s="31"/>
      <c r="F295" s="22"/>
      <c r="G295" s="22"/>
    </row>
    <row r="296" spans="1:7" x14ac:dyDescent="0.3">
      <c r="A296" s="51"/>
      <c r="B296" s="22"/>
      <c r="C296" s="31"/>
      <c r="D296" s="31"/>
      <c r="E296" s="31"/>
      <c r="F296" s="22"/>
      <c r="G296" s="22"/>
    </row>
    <row r="297" spans="1:7" x14ac:dyDescent="0.3">
      <c r="A297" s="51"/>
      <c r="B297" s="22"/>
      <c r="C297" s="31"/>
      <c r="D297" s="31"/>
      <c r="E297" s="31"/>
      <c r="F297" s="22"/>
      <c r="G297" s="22"/>
    </row>
    <row r="298" spans="1:7" x14ac:dyDescent="0.3">
      <c r="A298" s="51"/>
      <c r="B298" s="22"/>
      <c r="C298" s="31"/>
      <c r="D298" s="31"/>
      <c r="E298" s="31"/>
      <c r="F298" s="22"/>
      <c r="G298" s="22"/>
    </row>
    <row r="299" spans="1:7" x14ac:dyDescent="0.3">
      <c r="A299" s="51"/>
      <c r="B299" s="22"/>
      <c r="C299" s="31"/>
      <c r="D299" s="31"/>
      <c r="E299" s="31"/>
      <c r="F299" s="22"/>
      <c r="G299" s="22"/>
    </row>
    <row r="300" spans="1:7" x14ac:dyDescent="0.3">
      <c r="A300" s="51"/>
      <c r="B300" s="22"/>
      <c r="C300" s="31"/>
      <c r="D300" s="31"/>
      <c r="E300" s="31"/>
      <c r="F300" s="22"/>
      <c r="G300" s="22"/>
    </row>
    <row r="301" spans="1:7" x14ac:dyDescent="0.3">
      <c r="A301" s="51"/>
      <c r="B301" s="22"/>
      <c r="C301" s="31"/>
      <c r="D301" s="31"/>
      <c r="E301" s="31"/>
      <c r="F301" s="22"/>
      <c r="G301" s="22"/>
    </row>
    <row r="302" spans="1:7" x14ac:dyDescent="0.3">
      <c r="A302" s="51"/>
      <c r="B302" s="22"/>
      <c r="C302" s="31"/>
      <c r="D302" s="31"/>
      <c r="E302" s="31"/>
      <c r="F302" s="22"/>
      <c r="G302" s="22"/>
    </row>
    <row r="303" spans="1:7" x14ac:dyDescent="0.3">
      <c r="A303" s="51"/>
      <c r="B303" s="22"/>
      <c r="C303" s="31"/>
      <c r="D303" s="31"/>
      <c r="E303" s="31"/>
      <c r="F303" s="22"/>
      <c r="G303" s="22"/>
    </row>
    <row r="304" spans="1:7" x14ac:dyDescent="0.3">
      <c r="A304" s="51"/>
      <c r="B304" s="22"/>
      <c r="C304" s="31"/>
      <c r="D304" s="31"/>
      <c r="E304" s="31"/>
      <c r="F304" s="22"/>
      <c r="G304" s="22"/>
    </row>
    <row r="305" spans="1:7" x14ac:dyDescent="0.3">
      <c r="A305" s="51"/>
      <c r="B305" s="22"/>
      <c r="C305" s="31"/>
      <c r="D305" s="31"/>
      <c r="E305" s="31"/>
      <c r="F305" s="22"/>
      <c r="G305" s="22"/>
    </row>
    <row r="306" spans="1:7" x14ac:dyDescent="0.3">
      <c r="A306" s="51"/>
      <c r="B306" s="22"/>
      <c r="C306" s="31"/>
      <c r="D306" s="31"/>
      <c r="E306" s="31"/>
      <c r="F306" s="22"/>
      <c r="G306" s="22"/>
    </row>
    <row r="307" spans="1:7" x14ac:dyDescent="0.3">
      <c r="A307" s="51"/>
      <c r="B307" s="22"/>
      <c r="C307" s="31"/>
      <c r="D307" s="31"/>
      <c r="E307" s="31"/>
      <c r="F307" s="22"/>
      <c r="G307" s="22"/>
    </row>
    <row r="308" spans="1:7" x14ac:dyDescent="0.3">
      <c r="A308" s="51"/>
      <c r="B308" s="22"/>
      <c r="C308" s="31"/>
      <c r="D308" s="31"/>
      <c r="E308" s="31"/>
      <c r="F308" s="22"/>
      <c r="G308" s="22"/>
    </row>
    <row r="309" spans="1:7" x14ac:dyDescent="0.3">
      <c r="A309" s="51"/>
      <c r="B309" s="22"/>
      <c r="C309" s="31"/>
      <c r="D309" s="31"/>
      <c r="E309" s="31"/>
      <c r="F309" s="22"/>
      <c r="G309" s="22"/>
    </row>
    <row r="310" spans="1:7" x14ac:dyDescent="0.3">
      <c r="A310" s="51"/>
      <c r="B310" s="22"/>
      <c r="C310" s="31"/>
      <c r="D310" s="31"/>
      <c r="E310" s="31"/>
      <c r="F310" s="22"/>
      <c r="G310" s="22"/>
    </row>
    <row r="311" spans="1:7" x14ac:dyDescent="0.3">
      <c r="A311" s="51"/>
      <c r="B311" s="22"/>
      <c r="C311" s="31"/>
      <c r="D311" s="31"/>
      <c r="E311" s="31"/>
      <c r="F311" s="22"/>
      <c r="G311" s="22"/>
    </row>
    <row r="312" spans="1:7" x14ac:dyDescent="0.3">
      <c r="A312" s="51"/>
      <c r="B312" s="22"/>
      <c r="C312" s="31"/>
      <c r="D312" s="31"/>
      <c r="E312" s="31"/>
      <c r="F312" s="22"/>
      <c r="G312" s="22"/>
    </row>
    <row r="313" spans="1:7" x14ac:dyDescent="0.3">
      <c r="A313" s="51"/>
      <c r="B313" s="22"/>
      <c r="C313" s="31"/>
      <c r="D313" s="31"/>
      <c r="E313" s="31"/>
      <c r="F313" s="22"/>
      <c r="G313" s="22"/>
    </row>
    <row r="314" spans="1:7" x14ac:dyDescent="0.3">
      <c r="A314" s="51"/>
      <c r="B314" s="22"/>
      <c r="C314" s="31"/>
      <c r="D314" s="31"/>
      <c r="E314" s="31"/>
      <c r="F314" s="22"/>
      <c r="G314" s="22"/>
    </row>
    <row r="315" spans="1:7" x14ac:dyDescent="0.3">
      <c r="A315" s="51"/>
      <c r="B315" s="22"/>
      <c r="C315" s="31"/>
      <c r="D315" s="31"/>
      <c r="E315" s="31"/>
      <c r="F315" s="22"/>
      <c r="G315" s="22"/>
    </row>
    <row r="316" spans="1:7" x14ac:dyDescent="0.3">
      <c r="A316" s="51"/>
      <c r="B316" s="22"/>
      <c r="C316" s="31"/>
      <c r="D316" s="31"/>
      <c r="E316" s="31"/>
      <c r="F316" s="22"/>
      <c r="G316" s="22"/>
    </row>
    <row r="317" spans="1:7" x14ac:dyDescent="0.3">
      <c r="A317" s="51"/>
      <c r="B317" s="22"/>
      <c r="C317" s="31"/>
      <c r="D317" s="31"/>
      <c r="E317" s="31"/>
      <c r="F317" s="22"/>
      <c r="G317" s="22"/>
    </row>
    <row r="318" spans="1:7" x14ac:dyDescent="0.3">
      <c r="A318" s="51"/>
      <c r="B318" s="22"/>
      <c r="C318" s="31"/>
      <c r="D318" s="31"/>
      <c r="E318" s="31"/>
      <c r="F318" s="22"/>
      <c r="G318" s="22"/>
    </row>
    <row r="319" spans="1:7" x14ac:dyDescent="0.3">
      <c r="A319" s="51"/>
      <c r="B319" s="22"/>
      <c r="C319" s="31"/>
      <c r="D319" s="31"/>
      <c r="E319" s="31"/>
      <c r="F319" s="22"/>
      <c r="G319" s="22"/>
    </row>
    <row r="320" spans="1:7" x14ac:dyDescent="0.3">
      <c r="A320" s="51"/>
      <c r="B320" s="22"/>
      <c r="C320" s="31"/>
      <c r="D320" s="31"/>
      <c r="E320" s="31"/>
      <c r="F320" s="22"/>
      <c r="G320" s="22"/>
    </row>
    <row r="321" spans="1:7" x14ac:dyDescent="0.3">
      <c r="A321" s="51"/>
      <c r="B321" s="22"/>
      <c r="C321" s="31"/>
      <c r="D321" s="31"/>
      <c r="E321" s="31"/>
      <c r="F321" s="22"/>
      <c r="G321" s="22"/>
    </row>
    <row r="322" spans="1:7" x14ac:dyDescent="0.3">
      <c r="A322" s="51"/>
      <c r="B322" s="22"/>
      <c r="C322" s="31"/>
      <c r="D322" s="31"/>
      <c r="E322" s="31"/>
      <c r="F322" s="22"/>
      <c r="G322" s="22"/>
    </row>
    <row r="323" spans="1:7" x14ac:dyDescent="0.3">
      <c r="A323" s="51"/>
      <c r="B323" s="22"/>
      <c r="C323" s="31"/>
      <c r="D323" s="31"/>
      <c r="E323" s="31"/>
      <c r="F323" s="22"/>
      <c r="G323" s="22"/>
    </row>
    <row r="324" spans="1:7" x14ac:dyDescent="0.3">
      <c r="A324" s="51"/>
      <c r="B324" s="22"/>
      <c r="C324" s="31"/>
      <c r="D324" s="31"/>
      <c r="E324" s="31"/>
      <c r="F324" s="22"/>
      <c r="G324" s="22"/>
    </row>
    <row r="325" spans="1:7" x14ac:dyDescent="0.3">
      <c r="A325" s="51"/>
      <c r="B325" s="22"/>
      <c r="C325" s="31"/>
      <c r="D325" s="31"/>
      <c r="E325" s="31"/>
      <c r="F325" s="22"/>
      <c r="G325" s="22"/>
    </row>
    <row r="326" spans="1:7" x14ac:dyDescent="0.3">
      <c r="A326" s="51"/>
      <c r="B326" s="22"/>
      <c r="C326" s="31"/>
      <c r="D326" s="31"/>
      <c r="E326" s="31"/>
      <c r="F326" s="22"/>
      <c r="G326" s="22"/>
    </row>
    <row r="327" spans="1:7" x14ac:dyDescent="0.3">
      <c r="A327" s="51"/>
      <c r="B327" s="22"/>
      <c r="C327" s="31"/>
      <c r="D327" s="31"/>
      <c r="E327" s="31"/>
      <c r="F327" s="22"/>
      <c r="G327" s="22"/>
    </row>
    <row r="328" spans="1:7" x14ac:dyDescent="0.3">
      <c r="A328" s="51"/>
      <c r="B328" s="22"/>
      <c r="C328" s="31"/>
      <c r="D328" s="31"/>
      <c r="E328" s="31"/>
      <c r="F328" s="22"/>
      <c r="G328" s="22"/>
    </row>
    <row r="329" spans="1:7" x14ac:dyDescent="0.3">
      <c r="A329" s="51"/>
      <c r="B329" s="22"/>
      <c r="C329" s="31"/>
      <c r="D329" s="31"/>
      <c r="E329" s="31"/>
      <c r="F329" s="22"/>
      <c r="G329" s="22"/>
    </row>
    <row r="330" spans="1:7" x14ac:dyDescent="0.3">
      <c r="A330" s="51"/>
      <c r="B330" s="22"/>
      <c r="C330" s="31"/>
      <c r="D330" s="31"/>
      <c r="E330" s="31"/>
      <c r="F330" s="22"/>
      <c r="G330" s="22"/>
    </row>
    <row r="331" spans="1:7" x14ac:dyDescent="0.3">
      <c r="A331" s="51"/>
      <c r="B331" s="22"/>
      <c r="C331" s="31"/>
      <c r="D331" s="31"/>
      <c r="E331" s="31"/>
      <c r="F331" s="22"/>
      <c r="G331" s="22"/>
    </row>
    <row r="332" spans="1:7" x14ac:dyDescent="0.3">
      <c r="A332" s="51"/>
      <c r="B332" s="22"/>
      <c r="C332" s="31"/>
      <c r="D332" s="31"/>
      <c r="E332" s="31"/>
      <c r="F332" s="22"/>
      <c r="G332" s="22"/>
    </row>
    <row r="333" spans="1:7" x14ac:dyDescent="0.3">
      <c r="A333" s="51"/>
      <c r="B333" s="22"/>
      <c r="C333" s="31"/>
      <c r="D333" s="31"/>
      <c r="E333" s="31"/>
      <c r="F333" s="22"/>
      <c r="G333" s="22"/>
    </row>
    <row r="334" spans="1:7" x14ac:dyDescent="0.3">
      <c r="A334" s="51"/>
      <c r="B334" s="22"/>
      <c r="C334" s="31"/>
      <c r="D334" s="31"/>
      <c r="E334" s="31"/>
      <c r="F334" s="22"/>
      <c r="G334" s="22"/>
    </row>
    <row r="335" spans="1:7" x14ac:dyDescent="0.3">
      <c r="A335" s="51"/>
      <c r="B335" s="22"/>
      <c r="C335" s="31"/>
      <c r="D335" s="31"/>
      <c r="E335" s="31"/>
      <c r="F335" s="22"/>
      <c r="G335" s="22"/>
    </row>
    <row r="336" spans="1:7" x14ac:dyDescent="0.3">
      <c r="A336" s="51"/>
      <c r="B336" s="22"/>
      <c r="C336" s="31"/>
      <c r="D336" s="31"/>
      <c r="E336" s="31"/>
      <c r="F336" s="22"/>
      <c r="G336" s="22"/>
    </row>
    <row r="337" spans="1:7" x14ac:dyDescent="0.3">
      <c r="A337" s="51"/>
      <c r="B337" s="22"/>
      <c r="C337" s="31"/>
      <c r="D337" s="31"/>
      <c r="E337" s="31"/>
      <c r="F337" s="22"/>
      <c r="G337" s="22"/>
    </row>
    <row r="338" spans="1:7" x14ac:dyDescent="0.3">
      <c r="A338" s="51"/>
      <c r="B338" s="22"/>
      <c r="C338" s="31"/>
      <c r="D338" s="31"/>
      <c r="E338" s="31"/>
      <c r="F338" s="22"/>
      <c r="G338" s="22"/>
    </row>
    <row r="339" spans="1:7" x14ac:dyDescent="0.3">
      <c r="A339" s="51"/>
      <c r="B339" s="22"/>
      <c r="C339" s="31"/>
      <c r="D339" s="31"/>
      <c r="E339" s="31"/>
      <c r="F339" s="22"/>
      <c r="G339" s="22"/>
    </row>
    <row r="340" spans="1:7" x14ac:dyDescent="0.3">
      <c r="A340" s="51"/>
      <c r="B340" s="22"/>
      <c r="C340" s="31"/>
      <c r="D340" s="31"/>
      <c r="E340" s="31"/>
      <c r="F340" s="22"/>
      <c r="G340" s="22"/>
    </row>
    <row r="341" spans="1:7" x14ac:dyDescent="0.3">
      <c r="A341" s="51"/>
      <c r="B341" s="22"/>
      <c r="C341" s="31"/>
      <c r="D341" s="31"/>
      <c r="E341" s="31"/>
      <c r="F341" s="22"/>
      <c r="G341" s="22"/>
    </row>
    <row r="342" spans="1:7" x14ac:dyDescent="0.3">
      <c r="A342" s="51"/>
      <c r="B342" s="22"/>
      <c r="C342" s="31"/>
      <c r="D342" s="31"/>
      <c r="E342" s="31"/>
      <c r="F342" s="22"/>
      <c r="G342" s="22"/>
    </row>
    <row r="343" spans="1:7" x14ac:dyDescent="0.3">
      <c r="A343" s="51"/>
      <c r="B343" s="22"/>
      <c r="C343" s="31"/>
      <c r="D343" s="31"/>
      <c r="E343" s="31"/>
      <c r="F343" s="22"/>
      <c r="G343" s="22"/>
    </row>
    <row r="344" spans="1:7" x14ac:dyDescent="0.3">
      <c r="A344" s="51"/>
      <c r="B344" s="22"/>
      <c r="C344" s="31"/>
      <c r="D344" s="31"/>
      <c r="E344" s="31"/>
      <c r="F344" s="22"/>
      <c r="G344" s="22"/>
    </row>
    <row r="345" spans="1:7" x14ac:dyDescent="0.3">
      <c r="A345" s="51"/>
      <c r="B345" s="22"/>
      <c r="C345" s="31"/>
      <c r="D345" s="31"/>
      <c r="E345" s="31"/>
      <c r="F345" s="22"/>
      <c r="G345" s="22"/>
    </row>
    <row r="346" spans="1:7" x14ac:dyDescent="0.3">
      <c r="A346" s="51"/>
      <c r="B346" s="22"/>
      <c r="C346" s="31"/>
      <c r="D346" s="31"/>
      <c r="E346" s="31"/>
      <c r="F346" s="22"/>
      <c r="G346" s="22"/>
    </row>
    <row r="347" spans="1:7" x14ac:dyDescent="0.3">
      <c r="A347" s="51"/>
      <c r="B347" s="22"/>
      <c r="C347" s="31"/>
      <c r="D347" s="31"/>
      <c r="E347" s="31"/>
      <c r="F347" s="22"/>
      <c r="G347" s="22"/>
    </row>
    <row r="348" spans="1:7" x14ac:dyDescent="0.3">
      <c r="A348" s="51"/>
      <c r="B348" s="22"/>
      <c r="C348" s="31"/>
      <c r="D348" s="31"/>
      <c r="E348" s="31"/>
      <c r="F348" s="22"/>
      <c r="G348" s="22"/>
    </row>
    <row r="349" spans="1:7" x14ac:dyDescent="0.3">
      <c r="A349" s="51"/>
      <c r="B349" s="22"/>
      <c r="C349" s="31"/>
      <c r="D349" s="31"/>
      <c r="E349" s="31"/>
      <c r="F349" s="22"/>
      <c r="G349" s="22"/>
    </row>
    <row r="350" spans="1:7" x14ac:dyDescent="0.3">
      <c r="A350" s="51"/>
      <c r="B350" s="22"/>
      <c r="C350" s="31"/>
      <c r="D350" s="31"/>
      <c r="E350" s="31"/>
      <c r="F350" s="22"/>
      <c r="G350" s="22"/>
    </row>
    <row r="351" spans="1:7" x14ac:dyDescent="0.3">
      <c r="A351" s="51"/>
      <c r="B351" s="22"/>
      <c r="C351" s="31"/>
      <c r="D351" s="31"/>
      <c r="E351" s="31"/>
      <c r="F351" s="22"/>
      <c r="G351" s="22"/>
    </row>
    <row r="352" spans="1:7" x14ac:dyDescent="0.3">
      <c r="A352" s="51"/>
      <c r="B352" s="22"/>
      <c r="C352" s="31"/>
      <c r="D352" s="31"/>
      <c r="E352" s="31"/>
      <c r="F352" s="22"/>
      <c r="G352" s="22"/>
    </row>
    <row r="353" spans="1:7" x14ac:dyDescent="0.3">
      <c r="A353" s="51"/>
      <c r="B353" s="22"/>
      <c r="C353" s="31"/>
      <c r="D353" s="31"/>
      <c r="E353" s="31"/>
      <c r="F353" s="22"/>
      <c r="G353" s="22"/>
    </row>
    <row r="354" spans="1:7" x14ac:dyDescent="0.3">
      <c r="A354" s="51"/>
      <c r="B354" s="22"/>
      <c r="C354" s="31"/>
      <c r="D354" s="31"/>
      <c r="E354" s="31"/>
      <c r="F354" s="22"/>
      <c r="G354" s="22"/>
    </row>
    <row r="355" spans="1:7" x14ac:dyDescent="0.3">
      <c r="A355" s="51"/>
      <c r="B355" s="22"/>
      <c r="C355" s="31"/>
      <c r="D355" s="31"/>
      <c r="E355" s="31"/>
      <c r="F355" s="22"/>
      <c r="G355" s="22"/>
    </row>
    <row r="356" spans="1:7" x14ac:dyDescent="0.3">
      <c r="A356" s="51"/>
      <c r="B356" s="22"/>
      <c r="C356" s="31"/>
      <c r="D356" s="31"/>
      <c r="E356" s="31"/>
      <c r="F356" s="22"/>
      <c r="G356" s="22"/>
    </row>
    <row r="357" spans="1:7" x14ac:dyDescent="0.3">
      <c r="A357" s="51"/>
      <c r="B357" s="22"/>
      <c r="C357" s="31"/>
      <c r="D357" s="31"/>
      <c r="E357" s="31"/>
      <c r="F357" s="22"/>
      <c r="G357" s="22"/>
    </row>
    <row r="358" spans="1:7" x14ac:dyDescent="0.3">
      <c r="A358" s="51"/>
      <c r="B358" s="22"/>
      <c r="C358" s="31"/>
      <c r="D358" s="31"/>
      <c r="E358" s="31"/>
      <c r="F358" s="22"/>
      <c r="G358" s="22"/>
    </row>
    <row r="359" spans="1:7" x14ac:dyDescent="0.3">
      <c r="A359" s="51"/>
      <c r="B359" s="22"/>
      <c r="C359" s="31"/>
      <c r="D359" s="31"/>
      <c r="E359" s="31"/>
      <c r="F359" s="22"/>
      <c r="G359" s="22"/>
    </row>
    <row r="360" spans="1:7" x14ac:dyDescent="0.3">
      <c r="A360" s="51"/>
      <c r="B360" s="22"/>
      <c r="C360" s="31"/>
      <c r="D360" s="31"/>
      <c r="E360" s="31"/>
      <c r="F360" s="22"/>
      <c r="G360" s="22"/>
    </row>
    <row r="361" spans="1:7" x14ac:dyDescent="0.3">
      <c r="A361" s="51"/>
      <c r="B361" s="22"/>
      <c r="C361" s="31"/>
      <c r="D361" s="31"/>
      <c r="E361" s="31"/>
      <c r="F361" s="22"/>
      <c r="G361" s="22"/>
    </row>
    <row r="362" spans="1:7" x14ac:dyDescent="0.3">
      <c r="A362" s="51"/>
      <c r="B362" s="22"/>
      <c r="C362" s="31"/>
      <c r="D362" s="31"/>
      <c r="E362" s="31"/>
      <c r="F362" s="22"/>
      <c r="G362" s="22"/>
    </row>
    <row r="363" spans="1:7" x14ac:dyDescent="0.3">
      <c r="A363" s="51"/>
      <c r="B363" s="22"/>
      <c r="C363" s="31"/>
      <c r="D363" s="31"/>
      <c r="E363" s="31"/>
      <c r="F363" s="22"/>
      <c r="G363" s="22"/>
    </row>
    <row r="364" spans="1:7" x14ac:dyDescent="0.3">
      <c r="A364" s="51"/>
      <c r="B364" s="22"/>
      <c r="C364" s="31"/>
      <c r="D364" s="31"/>
      <c r="E364" s="31"/>
      <c r="F364" s="22"/>
      <c r="G364" s="22"/>
    </row>
    <row r="365" spans="1:7" x14ac:dyDescent="0.3">
      <c r="A365" s="51"/>
      <c r="B365" s="22"/>
      <c r="C365" s="31"/>
      <c r="D365" s="31"/>
      <c r="E365" s="31"/>
      <c r="F365" s="22"/>
      <c r="G365" s="22"/>
    </row>
    <row r="366" spans="1:7" x14ac:dyDescent="0.3">
      <c r="A366" s="51"/>
      <c r="B366" s="22"/>
      <c r="C366" s="31"/>
      <c r="D366" s="31"/>
      <c r="E366" s="31"/>
      <c r="F366" s="22"/>
      <c r="G366" s="22"/>
    </row>
    <row r="367" spans="1:7" x14ac:dyDescent="0.3">
      <c r="A367" s="51"/>
      <c r="B367" s="22"/>
      <c r="C367" s="31"/>
      <c r="D367" s="31"/>
      <c r="E367" s="31"/>
      <c r="F367" s="22"/>
      <c r="G367" s="22"/>
    </row>
    <row r="368" spans="1:7" x14ac:dyDescent="0.3">
      <c r="A368" s="51"/>
      <c r="B368" s="22"/>
      <c r="C368" s="31"/>
      <c r="D368" s="31"/>
      <c r="E368" s="31"/>
      <c r="F368" s="22"/>
      <c r="G368" s="22"/>
    </row>
    <row r="369" spans="1:7" x14ac:dyDescent="0.3">
      <c r="A369" s="51"/>
      <c r="B369" s="22"/>
      <c r="C369" s="31"/>
      <c r="D369" s="31"/>
      <c r="E369" s="31"/>
      <c r="F369" s="22"/>
      <c r="G369" s="22"/>
    </row>
    <row r="370" spans="1:7" x14ac:dyDescent="0.3">
      <c r="A370" s="51"/>
      <c r="B370" s="22"/>
      <c r="C370" s="31"/>
      <c r="D370" s="31"/>
      <c r="E370" s="31"/>
      <c r="F370" s="22"/>
      <c r="G370" s="22"/>
    </row>
    <row r="371" spans="1:7" x14ac:dyDescent="0.3">
      <c r="A371" s="51"/>
      <c r="B371" s="22"/>
      <c r="C371" s="31"/>
      <c r="D371" s="31"/>
      <c r="E371" s="31"/>
      <c r="F371" s="22"/>
      <c r="G371" s="22"/>
    </row>
    <row r="372" spans="1:7" x14ac:dyDescent="0.3">
      <c r="A372" s="51"/>
      <c r="B372" s="22"/>
      <c r="C372" s="31"/>
      <c r="D372" s="31"/>
      <c r="E372" s="31"/>
      <c r="F372" s="22"/>
      <c r="G372" s="22"/>
    </row>
    <row r="373" spans="1:7" x14ac:dyDescent="0.3">
      <c r="A373" s="51"/>
      <c r="B373" s="22"/>
      <c r="C373" s="31"/>
      <c r="D373" s="31"/>
      <c r="E373" s="31"/>
      <c r="F373" s="22"/>
      <c r="G373" s="22"/>
    </row>
    <row r="374" spans="1:7" x14ac:dyDescent="0.3">
      <c r="A374" s="51"/>
      <c r="B374" s="22"/>
      <c r="C374" s="31"/>
      <c r="D374" s="31"/>
      <c r="E374" s="31"/>
      <c r="F374" s="22"/>
      <c r="G374" s="22"/>
    </row>
    <row r="375" spans="1:7" x14ac:dyDescent="0.3">
      <c r="A375" s="51"/>
      <c r="B375" s="22"/>
      <c r="C375" s="31"/>
      <c r="D375" s="31"/>
      <c r="E375" s="31"/>
      <c r="F375" s="22"/>
      <c r="G375" s="22"/>
    </row>
    <row r="376" spans="1:7" x14ac:dyDescent="0.3">
      <c r="A376" s="51"/>
      <c r="B376" s="22"/>
      <c r="C376" s="31"/>
      <c r="D376" s="31"/>
      <c r="E376" s="31"/>
      <c r="F376" s="22"/>
      <c r="G376" s="22"/>
    </row>
    <row r="377" spans="1:7" x14ac:dyDescent="0.3">
      <c r="A377" s="51"/>
      <c r="B377" s="22"/>
      <c r="C377" s="31"/>
      <c r="D377" s="31"/>
      <c r="E377" s="31"/>
      <c r="F377" s="22"/>
      <c r="G377" s="22"/>
    </row>
    <row r="378" spans="1:7" x14ac:dyDescent="0.3">
      <c r="A378" s="51"/>
      <c r="B378" s="22"/>
      <c r="C378" s="31"/>
      <c r="D378" s="31"/>
      <c r="E378" s="31"/>
      <c r="F378" s="22"/>
      <c r="G378" s="22"/>
    </row>
    <row r="379" spans="1:7" x14ac:dyDescent="0.3">
      <c r="A379" s="51"/>
      <c r="B379" s="22"/>
      <c r="C379" s="31"/>
      <c r="D379" s="31"/>
      <c r="E379" s="31"/>
      <c r="F379" s="22"/>
      <c r="G379" s="22"/>
    </row>
    <row r="380" spans="1:7" x14ac:dyDescent="0.3">
      <c r="A380" s="51"/>
      <c r="B380" s="22"/>
      <c r="C380" s="31"/>
      <c r="D380" s="31"/>
      <c r="E380" s="31"/>
      <c r="F380" s="22"/>
      <c r="G380" s="22"/>
    </row>
    <row r="381" spans="1:7" x14ac:dyDescent="0.3">
      <c r="A381" s="51"/>
      <c r="B381" s="22"/>
      <c r="C381" s="31"/>
      <c r="D381" s="31"/>
      <c r="E381" s="31"/>
      <c r="F381" s="22"/>
      <c r="G381" s="22"/>
    </row>
    <row r="382" spans="1:7" x14ac:dyDescent="0.3">
      <c r="A382" s="51"/>
      <c r="B382" s="22"/>
      <c r="C382" s="31"/>
      <c r="D382" s="31"/>
      <c r="E382" s="31"/>
      <c r="F382" s="22"/>
      <c r="G382" s="22"/>
    </row>
    <row r="383" spans="1:7" x14ac:dyDescent="0.3">
      <c r="A383" s="51"/>
      <c r="B383" s="22"/>
      <c r="C383" s="31"/>
      <c r="D383" s="31"/>
      <c r="E383" s="31"/>
      <c r="F383" s="22"/>
      <c r="G383" s="22"/>
    </row>
    <row r="384" spans="1:7" x14ac:dyDescent="0.3">
      <c r="A384" s="51"/>
      <c r="B384" s="22"/>
      <c r="C384" s="31"/>
      <c r="D384" s="31"/>
      <c r="E384" s="31"/>
      <c r="F384" s="22"/>
      <c r="G384" s="22"/>
    </row>
    <row r="385" spans="1:7" x14ac:dyDescent="0.3">
      <c r="A385" s="51"/>
      <c r="B385" s="22"/>
      <c r="C385" s="31"/>
      <c r="D385" s="31"/>
      <c r="E385" s="31"/>
      <c r="F385" s="22"/>
      <c r="G385" s="22"/>
    </row>
    <row r="386" spans="1:7" x14ac:dyDescent="0.3">
      <c r="A386" s="51"/>
      <c r="B386" s="22"/>
      <c r="C386" s="31"/>
      <c r="D386" s="31"/>
      <c r="E386" s="31"/>
      <c r="F386" s="22"/>
      <c r="G386" s="22"/>
    </row>
    <row r="387" spans="1:7" x14ac:dyDescent="0.3">
      <c r="A387" s="51"/>
      <c r="B387" s="22"/>
      <c r="C387" s="31"/>
      <c r="D387" s="31"/>
      <c r="E387" s="31"/>
      <c r="F387" s="22"/>
      <c r="G387" s="22"/>
    </row>
    <row r="388" spans="1:7" x14ac:dyDescent="0.3">
      <c r="A388" s="51"/>
      <c r="B388" s="22"/>
      <c r="C388" s="31"/>
      <c r="D388" s="31"/>
      <c r="E388" s="31"/>
      <c r="F388" s="22"/>
      <c r="G388" s="22"/>
    </row>
    <row r="389" spans="1:7" x14ac:dyDescent="0.3">
      <c r="A389" s="51"/>
      <c r="B389" s="22"/>
      <c r="C389" s="31"/>
      <c r="D389" s="31"/>
      <c r="E389" s="31"/>
      <c r="F389" s="22"/>
      <c r="G389" s="22"/>
    </row>
    <row r="390" spans="1:7" x14ac:dyDescent="0.3">
      <c r="A390" s="51"/>
      <c r="B390" s="22"/>
      <c r="C390" s="31"/>
      <c r="D390" s="31"/>
      <c r="E390" s="31"/>
      <c r="F390" s="22"/>
      <c r="G390" s="22"/>
    </row>
    <row r="391" spans="1:7" x14ac:dyDescent="0.3">
      <c r="A391" s="51"/>
      <c r="B391" s="22"/>
      <c r="C391" s="31"/>
      <c r="D391" s="31"/>
      <c r="E391" s="31"/>
      <c r="F391" s="22"/>
      <c r="G391" s="22"/>
    </row>
    <row r="392" spans="1:7" x14ac:dyDescent="0.3">
      <c r="A392" s="51"/>
      <c r="B392" s="22"/>
      <c r="C392" s="31"/>
      <c r="D392" s="31"/>
      <c r="E392" s="31"/>
      <c r="F392" s="22"/>
      <c r="G392" s="22"/>
    </row>
    <row r="393" spans="1:7" x14ac:dyDescent="0.3">
      <c r="A393" s="51"/>
      <c r="B393" s="22"/>
      <c r="C393" s="31"/>
      <c r="D393" s="31"/>
      <c r="E393" s="31"/>
      <c r="F393" s="22"/>
      <c r="G393" s="22"/>
    </row>
    <row r="394" spans="1:7" x14ac:dyDescent="0.3">
      <c r="A394" s="51"/>
      <c r="B394" s="22"/>
      <c r="C394" s="31"/>
      <c r="D394" s="31"/>
      <c r="E394" s="31"/>
      <c r="F394" s="22"/>
      <c r="G394" s="22"/>
    </row>
    <row r="395" spans="1:7" x14ac:dyDescent="0.3">
      <c r="A395" s="51"/>
      <c r="B395" s="22"/>
      <c r="C395" s="31"/>
      <c r="D395" s="31"/>
      <c r="E395" s="31"/>
      <c r="F395" s="22"/>
      <c r="G395" s="22"/>
    </row>
    <row r="396" spans="1:7" x14ac:dyDescent="0.3">
      <c r="A396" s="51"/>
      <c r="B396" s="22"/>
      <c r="C396" s="31"/>
      <c r="D396" s="31"/>
      <c r="E396" s="31"/>
      <c r="F396" s="22"/>
      <c r="G396" s="22"/>
    </row>
    <row r="397" spans="1:7" x14ac:dyDescent="0.3">
      <c r="A397" s="51"/>
      <c r="B397" s="22"/>
      <c r="C397" s="31"/>
      <c r="D397" s="31"/>
      <c r="E397" s="31"/>
      <c r="F397" s="22"/>
      <c r="G397" s="22"/>
    </row>
    <row r="398" spans="1:7" x14ac:dyDescent="0.3">
      <c r="A398" s="51"/>
      <c r="B398" s="22"/>
      <c r="C398" s="31"/>
      <c r="D398" s="31"/>
      <c r="E398" s="31"/>
      <c r="F398" s="22"/>
      <c r="G398" s="22"/>
    </row>
    <row r="399" spans="1:7" x14ac:dyDescent="0.3">
      <c r="A399" s="51"/>
      <c r="B399" s="22"/>
      <c r="C399" s="31"/>
      <c r="D399" s="31"/>
      <c r="E399" s="31"/>
      <c r="F399" s="22"/>
      <c r="G399" s="22"/>
    </row>
    <row r="400" spans="1:7" x14ac:dyDescent="0.3">
      <c r="A400" s="51"/>
      <c r="B400" s="22"/>
      <c r="C400" s="31"/>
      <c r="D400" s="31"/>
      <c r="E400" s="31"/>
      <c r="F400" s="22"/>
      <c r="G400" s="22"/>
    </row>
    <row r="401" spans="1:7" x14ac:dyDescent="0.3">
      <c r="A401" s="51"/>
      <c r="B401" s="22"/>
      <c r="C401" s="31"/>
      <c r="D401" s="31"/>
      <c r="E401" s="31"/>
      <c r="F401" s="22"/>
      <c r="G401" s="22"/>
    </row>
    <row r="402" spans="1:7" x14ac:dyDescent="0.3">
      <c r="A402" s="51"/>
      <c r="B402" s="22"/>
      <c r="C402" s="31"/>
      <c r="D402" s="31"/>
      <c r="E402" s="31"/>
      <c r="F402" s="22"/>
      <c r="G402" s="22"/>
    </row>
    <row r="403" spans="1:7" x14ac:dyDescent="0.3">
      <c r="A403" s="51"/>
      <c r="B403" s="22"/>
      <c r="C403" s="31"/>
      <c r="D403" s="31"/>
      <c r="E403" s="31"/>
      <c r="F403" s="22"/>
      <c r="G403" s="22"/>
    </row>
    <row r="404" spans="1:7" x14ac:dyDescent="0.3">
      <c r="A404" s="51"/>
      <c r="B404" s="22"/>
      <c r="C404" s="31"/>
      <c r="D404" s="31"/>
      <c r="E404" s="31"/>
      <c r="F404" s="22"/>
      <c r="G404" s="22"/>
    </row>
    <row r="405" spans="1:7" x14ac:dyDescent="0.3">
      <c r="A405" s="51"/>
      <c r="B405" s="22"/>
      <c r="C405" s="31"/>
      <c r="D405" s="31"/>
      <c r="E405" s="31"/>
      <c r="F405" s="22"/>
      <c r="G405" s="22"/>
    </row>
    <row r="406" spans="1:7" x14ac:dyDescent="0.3">
      <c r="A406" s="51"/>
      <c r="B406" s="22"/>
      <c r="C406" s="31"/>
      <c r="D406" s="31"/>
      <c r="E406" s="31"/>
      <c r="F406" s="22"/>
      <c r="G406" s="22"/>
    </row>
    <row r="407" spans="1:7" x14ac:dyDescent="0.3">
      <c r="A407" s="51"/>
      <c r="B407" s="22"/>
      <c r="C407" s="31"/>
      <c r="D407" s="31"/>
      <c r="E407" s="31"/>
      <c r="F407" s="22"/>
      <c r="G407" s="22"/>
    </row>
    <row r="408" spans="1:7" x14ac:dyDescent="0.3">
      <c r="A408" s="51"/>
      <c r="B408" s="22"/>
      <c r="C408" s="31"/>
      <c r="D408" s="31"/>
      <c r="E408" s="31"/>
      <c r="F408" s="22"/>
      <c r="G408" s="22"/>
    </row>
    <row r="409" spans="1:7" x14ac:dyDescent="0.3">
      <c r="A409" s="51"/>
      <c r="B409" s="22"/>
      <c r="C409" s="31"/>
      <c r="D409" s="31"/>
      <c r="E409" s="31"/>
      <c r="F409" s="22"/>
      <c r="G409" s="22"/>
    </row>
    <row r="410" spans="1:7" x14ac:dyDescent="0.3">
      <c r="A410" s="51"/>
      <c r="B410" s="22"/>
      <c r="C410" s="31"/>
      <c r="D410" s="31"/>
      <c r="E410" s="31"/>
      <c r="F410" s="22"/>
      <c r="G410" s="22"/>
    </row>
    <row r="411" spans="1:7" x14ac:dyDescent="0.3">
      <c r="A411" s="51"/>
      <c r="B411" s="22"/>
      <c r="C411" s="31"/>
      <c r="D411" s="31"/>
      <c r="E411" s="31"/>
      <c r="F411" s="22"/>
      <c r="G411" s="22"/>
    </row>
    <row r="412" spans="1:7" x14ac:dyDescent="0.3">
      <c r="A412" s="51"/>
      <c r="B412" s="22"/>
      <c r="C412" s="31"/>
      <c r="D412" s="31"/>
      <c r="E412" s="31"/>
      <c r="F412" s="22"/>
      <c r="G412" s="22"/>
    </row>
    <row r="413" spans="1:7" x14ac:dyDescent="0.3">
      <c r="A413" s="51"/>
      <c r="B413" s="22"/>
      <c r="C413" s="31"/>
      <c r="D413" s="31"/>
      <c r="E413" s="31"/>
      <c r="F413" s="22"/>
      <c r="G413" s="22"/>
    </row>
    <row r="414" spans="1:7" x14ac:dyDescent="0.3">
      <c r="A414" s="51"/>
      <c r="B414" s="22"/>
      <c r="C414" s="31"/>
      <c r="D414" s="31"/>
      <c r="E414" s="31"/>
      <c r="F414" s="22"/>
      <c r="G414" s="22"/>
    </row>
    <row r="415" spans="1:7" x14ac:dyDescent="0.3">
      <c r="A415" s="51"/>
      <c r="B415" s="22"/>
      <c r="C415" s="31"/>
      <c r="D415" s="31"/>
      <c r="E415" s="31"/>
      <c r="F415" s="22"/>
      <c r="G415" s="22"/>
    </row>
    <row r="416" spans="1:7" x14ac:dyDescent="0.3">
      <c r="A416" s="51"/>
      <c r="B416" s="22"/>
      <c r="C416" s="31"/>
      <c r="D416" s="31"/>
      <c r="E416" s="31"/>
      <c r="F416" s="22"/>
      <c r="G416" s="22"/>
    </row>
    <row r="417" spans="1:7" x14ac:dyDescent="0.3">
      <c r="A417" s="51"/>
      <c r="B417" s="22"/>
      <c r="C417" s="31"/>
      <c r="D417" s="31"/>
      <c r="E417" s="31"/>
      <c r="F417" s="22"/>
      <c r="G417" s="22"/>
    </row>
    <row r="418" spans="1:7" x14ac:dyDescent="0.3">
      <c r="A418" s="51"/>
      <c r="B418" s="22"/>
      <c r="C418" s="31"/>
      <c r="D418" s="31"/>
      <c r="E418" s="31"/>
      <c r="F418" s="22"/>
      <c r="G418" s="22"/>
    </row>
    <row r="419" spans="1:7" x14ac:dyDescent="0.3">
      <c r="A419" s="51"/>
      <c r="B419" s="22"/>
      <c r="C419" s="31"/>
      <c r="D419" s="31"/>
      <c r="E419" s="31"/>
      <c r="F419" s="22"/>
      <c r="G419" s="22"/>
    </row>
    <row r="420" spans="1:7" x14ac:dyDescent="0.3">
      <c r="A420" s="51"/>
      <c r="B420" s="22"/>
      <c r="C420" s="31"/>
      <c r="D420" s="31"/>
      <c r="E420" s="31"/>
      <c r="F420" s="22"/>
      <c r="G420" s="22"/>
    </row>
    <row r="421" spans="1:7" x14ac:dyDescent="0.3">
      <c r="A421" s="51"/>
      <c r="B421" s="22"/>
      <c r="C421" s="31"/>
      <c r="D421" s="31"/>
      <c r="E421" s="31"/>
      <c r="F421" s="22"/>
      <c r="G421" s="22"/>
    </row>
    <row r="422" spans="1:7" x14ac:dyDescent="0.3">
      <c r="A422" s="51"/>
      <c r="B422" s="22"/>
      <c r="C422" s="31"/>
      <c r="D422" s="31"/>
      <c r="E422" s="31"/>
      <c r="F422" s="22"/>
      <c r="G422" s="22"/>
    </row>
    <row r="423" spans="1:7" x14ac:dyDescent="0.3">
      <c r="A423" s="51"/>
      <c r="B423" s="22"/>
      <c r="C423" s="31"/>
      <c r="D423" s="31"/>
      <c r="E423" s="31"/>
      <c r="F423" s="22"/>
      <c r="G423" s="22"/>
    </row>
    <row r="424" spans="1:7" x14ac:dyDescent="0.3">
      <c r="A424" s="51"/>
      <c r="B424" s="22"/>
      <c r="C424" s="31"/>
      <c r="D424" s="31"/>
      <c r="E424" s="31"/>
      <c r="F424" s="22"/>
      <c r="G424" s="22"/>
    </row>
    <row r="425" spans="1:7" x14ac:dyDescent="0.3">
      <c r="A425" s="51"/>
      <c r="B425" s="22"/>
      <c r="C425" s="31"/>
      <c r="D425" s="31"/>
      <c r="E425" s="31"/>
      <c r="F425" s="22"/>
      <c r="G425" s="22"/>
    </row>
    <row r="426" spans="1:7" x14ac:dyDescent="0.3">
      <c r="A426" s="51"/>
      <c r="B426" s="22"/>
      <c r="C426" s="31"/>
      <c r="D426" s="31"/>
      <c r="E426" s="31"/>
      <c r="F426" s="22"/>
      <c r="G426" s="22"/>
    </row>
    <row r="427" spans="1:7" x14ac:dyDescent="0.3">
      <c r="A427" s="51"/>
      <c r="B427" s="22"/>
      <c r="C427" s="31"/>
      <c r="D427" s="31"/>
      <c r="E427" s="31"/>
      <c r="F427" s="22"/>
      <c r="G427" s="22"/>
    </row>
    <row r="428" spans="1:7" x14ac:dyDescent="0.3">
      <c r="A428" s="51"/>
      <c r="B428" s="22"/>
      <c r="C428" s="31"/>
      <c r="D428" s="31"/>
      <c r="E428" s="31"/>
      <c r="F428" s="22"/>
      <c r="G428" s="22"/>
    </row>
    <row r="429" spans="1:7" x14ac:dyDescent="0.3">
      <c r="A429" s="51"/>
      <c r="B429" s="22"/>
      <c r="C429" s="31"/>
      <c r="D429" s="31"/>
      <c r="E429" s="31"/>
      <c r="F429" s="22"/>
      <c r="G429" s="22"/>
    </row>
    <row r="430" spans="1:7" x14ac:dyDescent="0.3">
      <c r="A430" s="51"/>
      <c r="B430" s="22"/>
      <c r="C430" s="31"/>
      <c r="D430" s="31"/>
      <c r="E430" s="31"/>
      <c r="F430" s="22"/>
      <c r="G430" s="22"/>
    </row>
    <row r="431" spans="1:7" x14ac:dyDescent="0.3">
      <c r="A431" s="51"/>
      <c r="B431" s="22"/>
      <c r="C431" s="31"/>
      <c r="D431" s="31"/>
      <c r="E431" s="31"/>
      <c r="F431" s="22"/>
      <c r="G431" s="22"/>
    </row>
    <row r="432" spans="1:7" x14ac:dyDescent="0.3">
      <c r="A432" s="51"/>
      <c r="B432" s="22"/>
      <c r="C432" s="31"/>
      <c r="D432" s="31"/>
      <c r="E432" s="31"/>
      <c r="F432" s="22"/>
      <c r="G432" s="22"/>
    </row>
    <row r="433" spans="1:7" x14ac:dyDescent="0.3">
      <c r="A433" s="51"/>
      <c r="B433" s="22"/>
      <c r="C433" s="31"/>
      <c r="D433" s="31"/>
      <c r="E433" s="31"/>
      <c r="F433" s="22"/>
      <c r="G433" s="22"/>
    </row>
    <row r="434" spans="1:7" x14ac:dyDescent="0.3">
      <c r="A434" s="51"/>
      <c r="B434" s="22"/>
      <c r="C434" s="31"/>
      <c r="D434" s="31"/>
      <c r="E434" s="31"/>
      <c r="F434" s="22"/>
      <c r="G434" s="22"/>
    </row>
    <row r="435" spans="1:7" x14ac:dyDescent="0.3">
      <c r="A435" s="51"/>
      <c r="B435" s="22"/>
      <c r="C435" s="31"/>
      <c r="D435" s="31"/>
      <c r="E435" s="31"/>
      <c r="F435" s="22"/>
      <c r="G435" s="22"/>
    </row>
    <row r="436" spans="1:7" x14ac:dyDescent="0.3">
      <c r="A436" s="51"/>
      <c r="B436" s="22"/>
      <c r="C436" s="31"/>
      <c r="D436" s="31"/>
      <c r="E436" s="31"/>
      <c r="F436" s="22"/>
      <c r="G436" s="22"/>
    </row>
    <row r="437" spans="1:7" x14ac:dyDescent="0.3">
      <c r="A437" s="51"/>
      <c r="B437" s="22"/>
      <c r="C437" s="31"/>
      <c r="D437" s="31"/>
      <c r="E437" s="31"/>
      <c r="F437" s="22"/>
      <c r="G437" s="22"/>
    </row>
    <row r="438" spans="1:7" x14ac:dyDescent="0.3">
      <c r="A438" s="51"/>
      <c r="B438" s="22"/>
      <c r="C438" s="31"/>
      <c r="D438" s="31"/>
      <c r="E438" s="31"/>
      <c r="F438" s="22"/>
      <c r="G438" s="22"/>
    </row>
    <row r="439" spans="1:7" x14ac:dyDescent="0.3">
      <c r="A439" s="51"/>
      <c r="B439" s="22"/>
      <c r="C439" s="31"/>
      <c r="D439" s="31"/>
      <c r="E439" s="31"/>
      <c r="F439" s="22"/>
      <c r="G439" s="22"/>
    </row>
    <row r="440" spans="1:7" x14ac:dyDescent="0.3">
      <c r="A440" s="51"/>
      <c r="B440" s="22"/>
      <c r="C440" s="31"/>
      <c r="D440" s="31"/>
      <c r="E440" s="31"/>
      <c r="F440" s="22"/>
      <c r="G440" s="22"/>
    </row>
    <row r="441" spans="1:7" x14ac:dyDescent="0.3">
      <c r="A441" s="51"/>
      <c r="B441" s="22"/>
      <c r="C441" s="31"/>
      <c r="D441" s="31"/>
      <c r="E441" s="31"/>
      <c r="F441" s="22"/>
      <c r="G441" s="22"/>
    </row>
    <row r="442" spans="1:7" x14ac:dyDescent="0.3">
      <c r="A442" s="51"/>
      <c r="B442" s="22"/>
      <c r="C442" s="31"/>
      <c r="D442" s="31"/>
      <c r="E442" s="31"/>
      <c r="F442" s="22"/>
      <c r="G442" s="22"/>
    </row>
    <row r="443" spans="1:7" x14ac:dyDescent="0.3">
      <c r="A443" s="51"/>
      <c r="B443" s="22"/>
      <c r="C443" s="31"/>
      <c r="D443" s="31"/>
      <c r="E443" s="31"/>
      <c r="F443" s="22"/>
      <c r="G443" s="22"/>
    </row>
    <row r="444" spans="1:7" x14ac:dyDescent="0.3">
      <c r="A444" s="51"/>
      <c r="B444" s="22"/>
      <c r="C444" s="31"/>
      <c r="D444" s="31"/>
      <c r="E444" s="31"/>
      <c r="F444" s="22"/>
      <c r="G444" s="22"/>
    </row>
    <row r="445" spans="1:7" x14ac:dyDescent="0.3">
      <c r="A445" s="51"/>
      <c r="B445" s="22"/>
      <c r="C445" s="31"/>
      <c r="D445" s="31"/>
      <c r="E445" s="31"/>
      <c r="F445" s="22"/>
      <c r="G445" s="22"/>
    </row>
    <row r="446" spans="1:7" x14ac:dyDescent="0.3">
      <c r="A446" s="51"/>
      <c r="B446" s="22"/>
      <c r="C446" s="31"/>
      <c r="D446" s="31"/>
      <c r="E446" s="31"/>
      <c r="F446" s="22"/>
      <c r="G446" s="22"/>
    </row>
    <row r="447" spans="1:7" x14ac:dyDescent="0.3">
      <c r="A447" s="51"/>
      <c r="B447" s="22"/>
      <c r="C447" s="31"/>
      <c r="D447" s="31"/>
      <c r="E447" s="31"/>
      <c r="F447" s="22"/>
      <c r="G447" s="22"/>
    </row>
    <row r="448" spans="1:7" x14ac:dyDescent="0.3">
      <c r="A448" s="51"/>
      <c r="B448" s="22"/>
      <c r="C448" s="31"/>
      <c r="D448" s="31"/>
      <c r="E448" s="31"/>
      <c r="F448" s="22"/>
      <c r="G448" s="22"/>
    </row>
    <row r="449" spans="1:7" x14ac:dyDescent="0.3">
      <c r="A449" s="51"/>
      <c r="B449" s="22"/>
      <c r="C449" s="31"/>
      <c r="D449" s="31"/>
      <c r="E449" s="31"/>
      <c r="F449" s="22"/>
      <c r="G449" s="22"/>
    </row>
    <row r="450" spans="1:7" x14ac:dyDescent="0.3">
      <c r="A450" s="51"/>
      <c r="B450" s="22"/>
      <c r="C450" s="31"/>
      <c r="D450" s="31"/>
      <c r="E450" s="31"/>
      <c r="F450" s="22"/>
      <c r="G450" s="22"/>
    </row>
    <row r="451" spans="1:7" x14ac:dyDescent="0.3">
      <c r="A451" s="51"/>
      <c r="B451" s="22"/>
      <c r="C451" s="31"/>
      <c r="D451" s="31"/>
      <c r="E451" s="31"/>
      <c r="F451" s="22"/>
      <c r="G451" s="22"/>
    </row>
    <row r="452" spans="1:7" x14ac:dyDescent="0.3">
      <c r="A452" s="51"/>
      <c r="B452" s="22"/>
      <c r="C452" s="31"/>
      <c r="D452" s="31"/>
      <c r="E452" s="31"/>
      <c r="F452" s="22"/>
      <c r="G452" s="22"/>
    </row>
    <row r="453" spans="1:7" x14ac:dyDescent="0.3">
      <c r="A453" s="51"/>
      <c r="B453" s="22"/>
      <c r="C453" s="31"/>
      <c r="D453" s="31"/>
      <c r="E453" s="31"/>
      <c r="F453" s="22"/>
      <c r="G453" s="22"/>
    </row>
    <row r="454" spans="1:7" x14ac:dyDescent="0.3">
      <c r="A454" s="51"/>
      <c r="B454" s="22"/>
      <c r="C454" s="31"/>
      <c r="D454" s="31"/>
      <c r="E454" s="31"/>
      <c r="F454" s="22"/>
      <c r="G454" s="22"/>
    </row>
    <row r="455" spans="1:7" x14ac:dyDescent="0.3">
      <c r="A455" s="51"/>
      <c r="B455" s="22"/>
      <c r="C455" s="31"/>
      <c r="D455" s="31"/>
      <c r="E455" s="31"/>
      <c r="F455" s="22"/>
      <c r="G455" s="22"/>
    </row>
    <row r="456" spans="1:7" x14ac:dyDescent="0.3">
      <c r="A456" s="51"/>
      <c r="B456" s="22"/>
      <c r="C456" s="31"/>
      <c r="D456" s="31"/>
      <c r="E456" s="31"/>
      <c r="F456" s="22"/>
      <c r="G456" s="22"/>
    </row>
    <row r="457" spans="1:7" x14ac:dyDescent="0.3">
      <c r="A457" s="51"/>
      <c r="B457" s="22"/>
      <c r="C457" s="31"/>
      <c r="D457" s="31"/>
      <c r="E457" s="31"/>
      <c r="F457" s="22"/>
      <c r="G457" s="22"/>
    </row>
    <row r="458" spans="1:7" x14ac:dyDescent="0.3">
      <c r="A458" s="51"/>
      <c r="B458" s="22"/>
      <c r="C458" s="31"/>
      <c r="D458" s="31"/>
      <c r="E458" s="31"/>
      <c r="F458" s="22"/>
      <c r="G458" s="22"/>
    </row>
    <row r="459" spans="1:7" x14ac:dyDescent="0.3">
      <c r="A459" s="51"/>
      <c r="B459" s="22"/>
      <c r="C459" s="31"/>
      <c r="D459" s="31"/>
      <c r="E459" s="31"/>
      <c r="F459" s="22"/>
      <c r="G459" s="22"/>
    </row>
    <row r="460" spans="1:7" x14ac:dyDescent="0.3">
      <c r="A460" s="51"/>
      <c r="B460" s="22"/>
      <c r="C460" s="31"/>
      <c r="D460" s="31"/>
      <c r="E460" s="31"/>
      <c r="F460" s="22"/>
      <c r="G460" s="22"/>
    </row>
    <row r="461" spans="1:7" x14ac:dyDescent="0.3">
      <c r="A461" s="51"/>
      <c r="B461" s="22"/>
      <c r="C461" s="31"/>
      <c r="D461" s="31"/>
      <c r="E461" s="31"/>
      <c r="F461" s="22"/>
      <c r="G461" s="22"/>
    </row>
    <row r="462" spans="1:7" x14ac:dyDescent="0.3">
      <c r="A462" s="51"/>
      <c r="B462" s="22"/>
      <c r="C462" s="31"/>
      <c r="D462" s="31"/>
      <c r="E462" s="31"/>
      <c r="F462" s="22"/>
      <c r="G462" s="22"/>
    </row>
    <row r="463" spans="1:7" x14ac:dyDescent="0.3">
      <c r="A463" s="51"/>
      <c r="B463" s="22"/>
      <c r="C463" s="31"/>
      <c r="D463" s="31"/>
      <c r="E463" s="31"/>
      <c r="F463" s="22"/>
      <c r="G463" s="22"/>
    </row>
    <row r="464" spans="1:7" x14ac:dyDescent="0.3">
      <c r="A464" s="51"/>
      <c r="B464" s="22"/>
      <c r="C464" s="31"/>
      <c r="D464" s="31"/>
      <c r="E464" s="31"/>
      <c r="F464" s="22"/>
      <c r="G464" s="22"/>
    </row>
    <row r="465" spans="1:7" x14ac:dyDescent="0.3">
      <c r="A465" s="51"/>
      <c r="B465" s="22"/>
      <c r="C465" s="31"/>
      <c r="D465" s="31"/>
      <c r="E465" s="31"/>
      <c r="F465" s="22"/>
      <c r="G465" s="22"/>
    </row>
    <row r="466" spans="1:7" x14ac:dyDescent="0.3">
      <c r="A466" s="51"/>
      <c r="B466" s="22"/>
      <c r="C466" s="31"/>
      <c r="D466" s="31"/>
      <c r="E466" s="31"/>
      <c r="F466" s="22"/>
      <c r="G466" s="22"/>
    </row>
    <row r="467" spans="1:7" x14ac:dyDescent="0.3">
      <c r="A467" s="51"/>
      <c r="B467" s="22"/>
      <c r="C467" s="31"/>
      <c r="D467" s="31"/>
      <c r="E467" s="31"/>
      <c r="F467" s="22"/>
      <c r="G467" s="22"/>
    </row>
    <row r="468" spans="1:7" x14ac:dyDescent="0.3">
      <c r="A468" s="51"/>
      <c r="B468" s="22"/>
      <c r="C468" s="31"/>
      <c r="D468" s="31"/>
      <c r="E468" s="31"/>
      <c r="F468" s="22"/>
      <c r="G468" s="22"/>
    </row>
    <row r="469" spans="1:7" x14ac:dyDescent="0.3">
      <c r="A469" s="51"/>
      <c r="B469" s="22"/>
      <c r="C469" s="31"/>
      <c r="D469" s="31"/>
      <c r="E469" s="31"/>
      <c r="F469" s="22"/>
      <c r="G469" s="22"/>
    </row>
    <row r="470" spans="1:7" x14ac:dyDescent="0.3">
      <c r="A470" s="51"/>
      <c r="B470" s="22"/>
      <c r="C470" s="31"/>
      <c r="D470" s="31"/>
      <c r="E470" s="31"/>
      <c r="F470" s="22"/>
      <c r="G470" s="22"/>
    </row>
    <row r="471" spans="1:7" x14ac:dyDescent="0.3">
      <c r="A471" s="51"/>
      <c r="B471" s="22"/>
      <c r="C471" s="31"/>
      <c r="D471" s="31"/>
      <c r="E471" s="31"/>
      <c r="F471" s="22"/>
      <c r="G471" s="22"/>
    </row>
    <row r="472" spans="1:7" x14ac:dyDescent="0.3">
      <c r="A472" s="51"/>
      <c r="B472" s="22"/>
      <c r="C472" s="31"/>
      <c r="D472" s="31"/>
      <c r="E472" s="31"/>
      <c r="F472" s="22"/>
      <c r="G472" s="22"/>
    </row>
    <row r="473" spans="1:7" x14ac:dyDescent="0.3">
      <c r="A473" s="51"/>
      <c r="B473" s="22"/>
      <c r="C473" s="31"/>
      <c r="D473" s="31"/>
      <c r="E473" s="31"/>
      <c r="F473" s="22"/>
      <c r="G473" s="22"/>
    </row>
    <row r="474" spans="1:7" x14ac:dyDescent="0.3">
      <c r="A474" s="51"/>
      <c r="B474" s="22"/>
      <c r="C474" s="31"/>
      <c r="D474" s="31"/>
      <c r="E474" s="31"/>
      <c r="F474" s="22"/>
      <c r="G474" s="22"/>
    </row>
    <row r="475" spans="1:7" x14ac:dyDescent="0.3">
      <c r="A475" s="51"/>
      <c r="B475" s="22"/>
      <c r="C475" s="31"/>
      <c r="D475" s="31"/>
      <c r="E475" s="31"/>
      <c r="F475" s="22"/>
      <c r="G475" s="22"/>
    </row>
    <row r="476" spans="1:7" x14ac:dyDescent="0.3">
      <c r="A476" s="51"/>
      <c r="B476" s="22"/>
      <c r="C476" s="31"/>
      <c r="D476" s="31"/>
      <c r="E476" s="31"/>
      <c r="F476" s="22"/>
      <c r="G476" s="22"/>
    </row>
    <row r="477" spans="1:7" x14ac:dyDescent="0.3">
      <c r="A477" s="51"/>
      <c r="B477" s="22"/>
      <c r="C477" s="31"/>
      <c r="D477" s="31"/>
      <c r="E477" s="31"/>
      <c r="F477" s="22"/>
      <c r="G477" s="22"/>
    </row>
    <row r="478" spans="1:7" x14ac:dyDescent="0.3">
      <c r="A478" s="51"/>
      <c r="B478" s="22"/>
      <c r="C478" s="31"/>
      <c r="D478" s="31"/>
      <c r="E478" s="31"/>
      <c r="F478" s="22"/>
      <c r="G478" s="22"/>
    </row>
    <row r="479" spans="1:7" x14ac:dyDescent="0.3">
      <c r="A479" s="51"/>
      <c r="B479" s="22"/>
      <c r="C479" s="31"/>
      <c r="D479" s="31"/>
      <c r="E479" s="31"/>
      <c r="F479" s="22"/>
      <c r="G479" s="22"/>
    </row>
    <row r="480" spans="1:7" x14ac:dyDescent="0.3">
      <c r="A480" s="51"/>
      <c r="B480" s="22"/>
      <c r="C480" s="31"/>
      <c r="D480" s="31"/>
      <c r="E480" s="31"/>
      <c r="F480" s="22"/>
      <c r="G480" s="22"/>
    </row>
    <row r="481" spans="1:7" x14ac:dyDescent="0.3">
      <c r="A481" s="51"/>
      <c r="B481" s="22"/>
      <c r="C481" s="31"/>
      <c r="D481" s="31"/>
      <c r="E481" s="31"/>
      <c r="F481" s="22"/>
      <c r="G481" s="22"/>
    </row>
    <row r="482" spans="1:7" x14ac:dyDescent="0.3">
      <c r="A482" s="51"/>
      <c r="B482" s="22"/>
      <c r="C482" s="31"/>
      <c r="D482" s="31"/>
      <c r="E482" s="31"/>
      <c r="F482" s="22"/>
      <c r="G482" s="22"/>
    </row>
    <row r="483" spans="1:7" x14ac:dyDescent="0.3">
      <c r="A483" s="51"/>
      <c r="B483" s="22"/>
      <c r="C483" s="31"/>
      <c r="D483" s="31"/>
      <c r="E483" s="31"/>
      <c r="F483" s="22"/>
      <c r="G483" s="22"/>
    </row>
    <row r="484" spans="1:7" x14ac:dyDescent="0.3">
      <c r="A484" s="51"/>
      <c r="B484" s="22"/>
      <c r="C484" s="31"/>
      <c r="D484" s="31"/>
      <c r="E484" s="31"/>
      <c r="F484" s="22"/>
      <c r="G484" s="22"/>
    </row>
    <row r="485" spans="1:7" x14ac:dyDescent="0.3">
      <c r="A485" s="51"/>
      <c r="B485" s="22"/>
      <c r="C485" s="31"/>
      <c r="D485" s="31"/>
      <c r="E485" s="31"/>
      <c r="F485" s="22"/>
      <c r="G485" s="22"/>
    </row>
    <row r="486" spans="1:7" x14ac:dyDescent="0.3">
      <c r="A486" s="51"/>
      <c r="B486" s="22"/>
      <c r="C486" s="31"/>
      <c r="D486" s="31"/>
      <c r="E486" s="31"/>
      <c r="F486" s="22"/>
      <c r="G486" s="22"/>
    </row>
    <row r="487" spans="1:7" x14ac:dyDescent="0.3">
      <c r="A487" s="51"/>
      <c r="B487" s="22"/>
      <c r="C487" s="31"/>
      <c r="D487" s="31"/>
      <c r="E487" s="31"/>
      <c r="F487" s="22"/>
      <c r="G487" s="22"/>
    </row>
    <row r="488" spans="1:7" x14ac:dyDescent="0.3">
      <c r="A488" s="51"/>
      <c r="B488" s="22"/>
      <c r="C488" s="31"/>
      <c r="D488" s="31"/>
      <c r="E488" s="31"/>
      <c r="F488" s="22"/>
      <c r="G488" s="22"/>
    </row>
    <row r="489" spans="1:7" x14ac:dyDescent="0.3">
      <c r="A489" s="51"/>
      <c r="B489" s="22"/>
      <c r="C489" s="31"/>
      <c r="D489" s="31"/>
      <c r="E489" s="31"/>
      <c r="F489" s="22"/>
      <c r="G489" s="22"/>
    </row>
    <row r="490" spans="1:7" x14ac:dyDescent="0.3">
      <c r="A490" s="51"/>
      <c r="B490" s="22"/>
      <c r="C490" s="31"/>
      <c r="D490" s="31"/>
      <c r="E490" s="31"/>
      <c r="F490" s="22"/>
      <c r="G490" s="22"/>
    </row>
    <row r="491" spans="1:7" x14ac:dyDescent="0.3">
      <c r="A491" s="51"/>
      <c r="B491" s="22"/>
      <c r="C491" s="31"/>
      <c r="D491" s="31"/>
      <c r="E491" s="31"/>
      <c r="F491" s="22"/>
      <c r="G491" s="22"/>
    </row>
    <row r="492" spans="1:7" x14ac:dyDescent="0.3">
      <c r="A492" s="51"/>
      <c r="B492" s="22"/>
      <c r="C492" s="31"/>
      <c r="D492" s="31"/>
      <c r="E492" s="31"/>
      <c r="F492" s="22"/>
      <c r="G492" s="22"/>
    </row>
    <row r="493" spans="1:7" x14ac:dyDescent="0.3">
      <c r="A493" s="51"/>
      <c r="B493" s="22"/>
      <c r="C493" s="31"/>
      <c r="D493" s="31"/>
      <c r="E493" s="31"/>
      <c r="F493" s="22"/>
      <c r="G493" s="22"/>
    </row>
    <row r="494" spans="1:7" x14ac:dyDescent="0.3">
      <c r="A494" s="51"/>
      <c r="B494" s="22"/>
      <c r="C494" s="31"/>
      <c r="D494" s="31"/>
      <c r="E494" s="31"/>
      <c r="F494" s="22"/>
      <c r="G494" s="22"/>
    </row>
    <row r="495" spans="1:7" x14ac:dyDescent="0.3">
      <c r="A495" s="51"/>
      <c r="B495" s="22"/>
      <c r="C495" s="31"/>
      <c r="D495" s="31"/>
      <c r="E495" s="31"/>
      <c r="F495" s="22"/>
      <c r="G495" s="22"/>
    </row>
    <row r="496" spans="1:7" x14ac:dyDescent="0.3">
      <c r="A496" s="51"/>
      <c r="B496" s="22"/>
      <c r="C496" s="31"/>
      <c r="D496" s="31"/>
      <c r="E496" s="31"/>
      <c r="F496" s="22"/>
      <c r="G496" s="22"/>
    </row>
    <row r="497" spans="1:7" x14ac:dyDescent="0.3">
      <c r="A497" s="59"/>
      <c r="B497" s="59"/>
      <c r="C497" s="59"/>
      <c r="D497" s="59"/>
      <c r="E497" s="59"/>
      <c r="F497" s="59"/>
      <c r="G497" s="59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B41E3-51A4-42FB-847F-C58142979BE7}">
  <sheetPr codeName="Sheet12"/>
  <dimension ref="A1:G497"/>
  <sheetViews>
    <sheetView workbookViewId="0">
      <selection activeCell="G11" sqref="G11"/>
    </sheetView>
  </sheetViews>
  <sheetFormatPr defaultRowHeight="14.4" x14ac:dyDescent="0.3"/>
  <cols>
    <col min="1" max="6" width="20.6640625" style="21" customWidth="1"/>
    <col min="7" max="7" width="37" style="21" customWidth="1"/>
  </cols>
  <sheetData>
    <row r="1" spans="1:7" x14ac:dyDescent="0.3">
      <c r="A1" s="50" t="s">
        <v>0</v>
      </c>
      <c r="B1" s="50" t="s">
        <v>337</v>
      </c>
      <c r="C1" s="50" t="s">
        <v>338</v>
      </c>
      <c r="D1" s="50" t="s">
        <v>115</v>
      </c>
      <c r="E1" s="50" t="s">
        <v>6</v>
      </c>
      <c r="F1" s="50"/>
      <c r="G1" s="50" t="s">
        <v>7</v>
      </c>
    </row>
    <row r="2" spans="1:7" x14ac:dyDescent="0.3">
      <c r="A2" s="68" t="s">
        <v>346</v>
      </c>
      <c r="B2" s="22">
        <f>1000000*2.2</f>
        <v>2200000</v>
      </c>
      <c r="C2" s="52">
        <v>1</v>
      </c>
      <c r="D2" s="52">
        <f>0.08*B2</f>
        <v>176000</v>
      </c>
      <c r="E2" s="52">
        <v>20</v>
      </c>
      <c r="F2" s="22"/>
      <c r="G2" s="82" t="s">
        <v>360</v>
      </c>
    </row>
    <row r="3" spans="1:7" x14ac:dyDescent="0.3">
      <c r="A3" s="51"/>
      <c r="B3" s="22"/>
      <c r="C3" s="22"/>
      <c r="D3" s="22"/>
      <c r="E3" s="22"/>
      <c r="F3" s="22"/>
      <c r="G3" s="22" t="s">
        <v>383</v>
      </c>
    </row>
    <row r="4" spans="1:7" x14ac:dyDescent="0.3">
      <c r="A4" s="68"/>
      <c r="B4" s="22"/>
      <c r="C4" s="31"/>
      <c r="D4" s="52"/>
      <c r="E4" s="52"/>
      <c r="F4" s="22"/>
      <c r="G4" s="22"/>
    </row>
    <row r="5" spans="1:7" x14ac:dyDescent="0.3">
      <c r="A5" s="68"/>
      <c r="B5" s="67"/>
      <c r="C5" s="31"/>
      <c r="D5" s="52"/>
      <c r="E5" s="52"/>
      <c r="F5" s="22"/>
      <c r="G5" s="22"/>
    </row>
    <row r="6" spans="1:7" x14ac:dyDescent="0.3">
      <c r="A6" s="68"/>
      <c r="B6" s="67"/>
      <c r="C6" s="31"/>
      <c r="D6" s="52"/>
      <c r="E6" s="52"/>
      <c r="F6" s="22"/>
      <c r="G6" s="22"/>
    </row>
    <row r="7" spans="1:7" x14ac:dyDescent="0.3">
      <c r="A7" s="51"/>
      <c r="B7" s="67"/>
      <c r="C7" s="52"/>
      <c r="D7" s="52"/>
      <c r="E7" s="52"/>
      <c r="F7" s="22"/>
      <c r="G7" s="22"/>
    </row>
    <row r="8" spans="1:7" x14ac:dyDescent="0.3">
      <c r="A8" s="51"/>
      <c r="B8" s="22"/>
      <c r="C8" s="52"/>
      <c r="D8" s="52"/>
      <c r="E8" s="52"/>
      <c r="F8" s="22"/>
      <c r="G8" s="22"/>
    </row>
    <row r="9" spans="1:7" x14ac:dyDescent="0.3">
      <c r="A9" s="51"/>
      <c r="B9" s="22"/>
      <c r="C9" s="52"/>
      <c r="D9" s="52"/>
      <c r="E9" s="52"/>
      <c r="F9" s="22"/>
      <c r="G9" s="22"/>
    </row>
    <row r="10" spans="1:7" x14ac:dyDescent="0.3">
      <c r="A10" s="51"/>
      <c r="B10" s="22"/>
      <c r="C10" s="52"/>
      <c r="D10" s="52"/>
      <c r="E10" s="52"/>
      <c r="F10" s="22"/>
      <c r="G10" s="22"/>
    </row>
    <row r="11" spans="1:7" x14ac:dyDescent="0.3">
      <c r="A11" s="51"/>
      <c r="B11" s="22"/>
      <c r="C11" s="52"/>
      <c r="D11" s="52"/>
      <c r="E11" s="52"/>
      <c r="F11" s="22"/>
      <c r="G11" s="22"/>
    </row>
    <row r="12" spans="1:7" x14ac:dyDescent="0.3">
      <c r="A12" s="51"/>
      <c r="B12" s="22"/>
      <c r="C12" s="52"/>
      <c r="D12" s="52"/>
      <c r="E12" s="52"/>
      <c r="F12" s="22"/>
      <c r="G12" s="22"/>
    </row>
    <row r="13" spans="1:7" x14ac:dyDescent="0.3">
      <c r="A13" s="51"/>
      <c r="B13" s="22"/>
      <c r="C13" s="31"/>
      <c r="D13" s="31"/>
      <c r="E13" s="52"/>
      <c r="F13" s="22"/>
      <c r="G13" s="22"/>
    </row>
    <row r="14" spans="1:7" x14ac:dyDescent="0.3">
      <c r="A14" s="51"/>
      <c r="B14" s="22"/>
      <c r="C14" s="31"/>
      <c r="D14" s="31"/>
      <c r="E14" s="31"/>
      <c r="F14" s="22"/>
      <c r="G14" s="22"/>
    </row>
    <row r="15" spans="1:7" x14ac:dyDescent="0.3">
      <c r="A15" s="51"/>
      <c r="B15" s="22"/>
      <c r="C15" s="31"/>
      <c r="D15" s="31"/>
      <c r="E15" s="31"/>
      <c r="F15" s="22"/>
      <c r="G15" s="22"/>
    </row>
    <row r="16" spans="1:7" x14ac:dyDescent="0.3">
      <c r="A16" s="51"/>
      <c r="B16" s="22"/>
      <c r="C16" s="31"/>
      <c r="D16" s="31"/>
      <c r="E16" s="31"/>
      <c r="F16" s="22"/>
      <c r="G16" s="22"/>
    </row>
    <row r="17" spans="1:7" x14ac:dyDescent="0.3">
      <c r="A17" s="51"/>
      <c r="B17" s="22"/>
      <c r="C17" s="31"/>
      <c r="D17" s="31"/>
      <c r="E17" s="31"/>
      <c r="F17" s="22"/>
      <c r="G17" s="22"/>
    </row>
    <row r="18" spans="1:7" x14ac:dyDescent="0.3">
      <c r="A18" s="51"/>
      <c r="B18" s="22"/>
      <c r="C18" s="31"/>
      <c r="D18" s="31"/>
      <c r="E18" s="31"/>
      <c r="F18" s="22"/>
      <c r="G18" s="22"/>
    </row>
    <row r="19" spans="1:7" x14ac:dyDescent="0.3">
      <c r="A19" s="51"/>
      <c r="B19" s="22"/>
      <c r="C19" s="31"/>
      <c r="D19" s="31"/>
      <c r="E19" s="31"/>
      <c r="F19" s="22"/>
      <c r="G19" s="22"/>
    </row>
    <row r="20" spans="1:7" x14ac:dyDescent="0.3">
      <c r="A20" s="51"/>
      <c r="B20" s="22"/>
      <c r="C20" s="31"/>
      <c r="D20" s="31"/>
      <c r="E20" s="31"/>
      <c r="F20" s="22"/>
      <c r="G20" s="22"/>
    </row>
    <row r="21" spans="1:7" x14ac:dyDescent="0.3">
      <c r="A21" s="51"/>
      <c r="B21" s="22"/>
      <c r="C21" s="31"/>
      <c r="D21" s="31"/>
      <c r="E21" s="31"/>
      <c r="F21" s="22"/>
      <c r="G21" s="22"/>
    </row>
    <row r="22" spans="1:7" x14ac:dyDescent="0.3">
      <c r="A22" s="51"/>
      <c r="B22" s="22"/>
      <c r="C22" s="31"/>
      <c r="D22" s="31"/>
      <c r="E22" s="31"/>
      <c r="F22" s="22"/>
      <c r="G22" s="22"/>
    </row>
    <row r="23" spans="1:7" x14ac:dyDescent="0.3">
      <c r="A23" s="51"/>
      <c r="B23" s="22"/>
      <c r="C23" s="31"/>
      <c r="D23" s="31"/>
      <c r="E23" s="31"/>
      <c r="F23" s="22"/>
      <c r="G23" s="22"/>
    </row>
    <row r="24" spans="1:7" x14ac:dyDescent="0.3">
      <c r="A24" s="51"/>
      <c r="B24" s="22"/>
      <c r="C24" s="31"/>
      <c r="D24" s="31"/>
      <c r="E24" s="31"/>
      <c r="F24" s="22"/>
      <c r="G24" s="22"/>
    </row>
    <row r="25" spans="1:7" x14ac:dyDescent="0.3">
      <c r="A25" s="51"/>
      <c r="B25" s="22"/>
      <c r="C25" s="31"/>
      <c r="D25" s="31"/>
      <c r="E25" s="31"/>
      <c r="F25" s="22"/>
      <c r="G25" s="22"/>
    </row>
    <row r="26" spans="1:7" x14ac:dyDescent="0.3">
      <c r="A26" s="51"/>
      <c r="B26" s="22"/>
      <c r="C26" s="31"/>
      <c r="D26" s="31"/>
      <c r="E26" s="31"/>
      <c r="F26" s="22"/>
      <c r="G26" s="22"/>
    </row>
    <row r="27" spans="1:7" x14ac:dyDescent="0.3">
      <c r="A27" s="51"/>
      <c r="B27" s="22"/>
      <c r="C27" s="31"/>
      <c r="D27" s="31"/>
      <c r="E27" s="31"/>
      <c r="F27" s="22"/>
      <c r="G27" s="22"/>
    </row>
    <row r="28" spans="1:7" x14ac:dyDescent="0.3">
      <c r="A28" s="51"/>
      <c r="B28" s="22"/>
      <c r="C28" s="31"/>
      <c r="D28" s="31"/>
      <c r="E28" s="31"/>
      <c r="F28" s="22"/>
      <c r="G28" s="22"/>
    </row>
    <row r="29" spans="1:7" x14ac:dyDescent="0.3">
      <c r="A29" s="51"/>
      <c r="B29" s="22"/>
      <c r="C29" s="31"/>
      <c r="D29" s="31"/>
      <c r="E29" s="31"/>
      <c r="F29" s="22"/>
      <c r="G29" s="22"/>
    </row>
    <row r="30" spans="1:7" x14ac:dyDescent="0.3">
      <c r="A30" s="51"/>
      <c r="B30" s="22"/>
      <c r="C30" s="31"/>
      <c r="D30" s="31"/>
      <c r="E30" s="31"/>
      <c r="F30" s="22"/>
      <c r="G30" s="22"/>
    </row>
    <row r="31" spans="1:7" x14ac:dyDescent="0.3">
      <c r="A31" s="51"/>
      <c r="B31" s="22"/>
      <c r="C31" s="31"/>
      <c r="D31" s="31"/>
      <c r="E31" s="31"/>
      <c r="F31" s="22"/>
      <c r="G31" s="22"/>
    </row>
    <row r="32" spans="1:7" x14ac:dyDescent="0.3">
      <c r="A32" s="51"/>
      <c r="B32" s="22"/>
      <c r="C32" s="31"/>
      <c r="D32" s="31"/>
      <c r="E32" s="31"/>
      <c r="F32" s="22"/>
      <c r="G32" s="22"/>
    </row>
    <row r="33" spans="1:7" x14ac:dyDescent="0.3">
      <c r="A33" s="51"/>
      <c r="B33" s="22"/>
      <c r="C33" s="31"/>
      <c r="D33" s="31"/>
      <c r="E33" s="31"/>
      <c r="F33" s="22"/>
      <c r="G33" s="22"/>
    </row>
    <row r="34" spans="1:7" x14ac:dyDescent="0.3">
      <c r="A34" s="51"/>
      <c r="B34" s="22"/>
      <c r="C34" s="31"/>
      <c r="D34" s="31"/>
      <c r="E34" s="31"/>
      <c r="F34" s="22"/>
      <c r="G34" s="22"/>
    </row>
    <row r="35" spans="1:7" x14ac:dyDescent="0.3">
      <c r="A35" s="51"/>
      <c r="B35" s="22"/>
      <c r="C35" s="31"/>
      <c r="D35" s="31"/>
      <c r="E35" s="31"/>
      <c r="F35" s="22"/>
      <c r="G35" s="22"/>
    </row>
    <row r="36" spans="1:7" x14ac:dyDescent="0.3">
      <c r="A36" s="51"/>
      <c r="B36" s="22"/>
      <c r="C36" s="31"/>
      <c r="D36" s="31"/>
      <c r="E36" s="31"/>
      <c r="F36" s="22"/>
      <c r="G36" s="22"/>
    </row>
    <row r="37" spans="1:7" x14ac:dyDescent="0.3">
      <c r="A37" s="51"/>
      <c r="B37" s="22"/>
      <c r="C37" s="31"/>
      <c r="D37" s="31"/>
      <c r="E37" s="31"/>
      <c r="F37" s="22"/>
      <c r="G37" s="22"/>
    </row>
    <row r="38" spans="1:7" x14ac:dyDescent="0.3">
      <c r="A38" s="51"/>
      <c r="B38" s="22"/>
      <c r="C38" s="31"/>
      <c r="D38" s="31"/>
      <c r="E38" s="31"/>
      <c r="F38" s="22"/>
      <c r="G38" s="22"/>
    </row>
    <row r="39" spans="1:7" x14ac:dyDescent="0.3">
      <c r="A39" s="51"/>
      <c r="B39" s="22"/>
      <c r="C39" s="31"/>
      <c r="D39" s="31"/>
      <c r="E39" s="31"/>
      <c r="F39" s="22"/>
      <c r="G39" s="22"/>
    </row>
    <row r="40" spans="1:7" x14ac:dyDescent="0.3">
      <c r="A40" s="51"/>
      <c r="B40" s="22"/>
      <c r="C40" s="31"/>
      <c r="D40" s="31"/>
      <c r="E40" s="31"/>
      <c r="F40" s="22"/>
      <c r="G40" s="22"/>
    </row>
    <row r="41" spans="1:7" x14ac:dyDescent="0.3">
      <c r="A41" s="51"/>
      <c r="B41" s="22"/>
      <c r="C41" s="31"/>
      <c r="D41" s="31"/>
      <c r="E41" s="31"/>
      <c r="F41" s="22"/>
      <c r="G41" s="22"/>
    </row>
    <row r="42" spans="1:7" x14ac:dyDescent="0.3">
      <c r="A42" s="51"/>
      <c r="B42" s="22"/>
      <c r="C42" s="31"/>
      <c r="D42" s="31"/>
      <c r="E42" s="31"/>
      <c r="F42" s="22"/>
      <c r="G42" s="22"/>
    </row>
    <row r="43" spans="1:7" x14ac:dyDescent="0.3">
      <c r="A43" s="51"/>
      <c r="B43" s="22"/>
      <c r="C43" s="31"/>
      <c r="D43" s="31"/>
      <c r="E43" s="31"/>
      <c r="F43" s="22"/>
      <c r="G43" s="22"/>
    </row>
    <row r="44" spans="1:7" x14ac:dyDescent="0.3">
      <c r="A44" s="51"/>
      <c r="B44" s="22"/>
      <c r="C44" s="31"/>
      <c r="D44" s="31"/>
      <c r="E44" s="31"/>
      <c r="F44" s="22"/>
      <c r="G44" s="22"/>
    </row>
    <row r="45" spans="1:7" x14ac:dyDescent="0.3">
      <c r="A45" s="51"/>
      <c r="B45" s="22"/>
      <c r="C45" s="31"/>
      <c r="D45" s="31"/>
      <c r="E45" s="31"/>
      <c r="F45" s="22"/>
      <c r="G45" s="22"/>
    </row>
    <row r="46" spans="1:7" x14ac:dyDescent="0.3">
      <c r="A46" s="51"/>
      <c r="B46" s="22"/>
      <c r="C46" s="31"/>
      <c r="D46" s="31"/>
      <c r="E46" s="31"/>
      <c r="F46" s="22"/>
      <c r="G46" s="22"/>
    </row>
    <row r="47" spans="1:7" x14ac:dyDescent="0.3">
      <c r="A47" s="51"/>
      <c r="B47" s="22"/>
      <c r="C47" s="31"/>
      <c r="D47" s="31"/>
      <c r="E47" s="31"/>
      <c r="F47" s="22"/>
      <c r="G47" s="22"/>
    </row>
    <row r="48" spans="1:7" x14ac:dyDescent="0.3">
      <c r="A48" s="51"/>
      <c r="B48" s="22"/>
      <c r="C48" s="31"/>
      <c r="D48" s="31"/>
      <c r="E48" s="31"/>
      <c r="F48" s="22"/>
      <c r="G48" s="22"/>
    </row>
    <row r="49" spans="1:7" x14ac:dyDescent="0.3">
      <c r="A49" s="51"/>
      <c r="B49" s="22"/>
      <c r="C49" s="31"/>
      <c r="D49" s="31"/>
      <c r="E49" s="31"/>
      <c r="F49" s="22"/>
      <c r="G49" s="22"/>
    </row>
    <row r="50" spans="1:7" x14ac:dyDescent="0.3">
      <c r="A50" s="51"/>
      <c r="B50" s="22"/>
      <c r="C50" s="31"/>
      <c r="D50" s="31"/>
      <c r="E50" s="31"/>
      <c r="F50" s="22"/>
      <c r="G50" s="22"/>
    </row>
    <row r="51" spans="1:7" x14ac:dyDescent="0.3">
      <c r="A51" s="51"/>
      <c r="B51" s="22"/>
      <c r="C51" s="31"/>
      <c r="D51" s="31"/>
      <c r="E51" s="31"/>
      <c r="F51" s="22"/>
      <c r="G51" s="22"/>
    </row>
    <row r="52" spans="1:7" x14ac:dyDescent="0.3">
      <c r="A52" s="51"/>
      <c r="B52" s="22"/>
      <c r="C52" s="31"/>
      <c r="D52" s="31"/>
      <c r="E52" s="31"/>
      <c r="F52" s="22"/>
      <c r="G52" s="22"/>
    </row>
    <row r="53" spans="1:7" x14ac:dyDescent="0.3">
      <c r="A53" s="51"/>
      <c r="B53" s="22"/>
      <c r="C53" s="31"/>
      <c r="D53" s="31"/>
      <c r="E53" s="31"/>
      <c r="F53" s="22"/>
      <c r="G53" s="22"/>
    </row>
    <row r="54" spans="1:7" x14ac:dyDescent="0.3">
      <c r="A54" s="51"/>
      <c r="B54" s="22"/>
      <c r="C54" s="31"/>
      <c r="D54" s="31"/>
      <c r="E54" s="31"/>
      <c r="F54" s="22"/>
      <c r="G54" s="22"/>
    </row>
    <row r="55" spans="1:7" x14ac:dyDescent="0.3">
      <c r="A55" s="51"/>
      <c r="B55" s="22"/>
      <c r="C55" s="31"/>
      <c r="D55" s="31"/>
      <c r="E55" s="31"/>
      <c r="F55" s="22"/>
      <c r="G55" s="22"/>
    </row>
    <row r="56" spans="1:7" x14ac:dyDescent="0.3">
      <c r="A56" s="51"/>
      <c r="B56" s="22"/>
      <c r="C56" s="31"/>
      <c r="D56" s="31"/>
      <c r="E56" s="31"/>
      <c r="F56" s="22"/>
      <c r="G56" s="22"/>
    </row>
    <row r="57" spans="1:7" x14ac:dyDescent="0.3">
      <c r="A57" s="51"/>
      <c r="B57" s="22"/>
      <c r="C57" s="31"/>
      <c r="D57" s="31"/>
      <c r="E57" s="31"/>
      <c r="F57" s="22"/>
      <c r="G57" s="22"/>
    </row>
    <row r="58" spans="1:7" x14ac:dyDescent="0.3">
      <c r="A58" s="51"/>
      <c r="B58" s="22"/>
      <c r="C58" s="31"/>
      <c r="D58" s="31"/>
      <c r="E58" s="31"/>
      <c r="F58" s="22"/>
      <c r="G58" s="22"/>
    </row>
    <row r="59" spans="1:7" x14ac:dyDescent="0.3">
      <c r="A59" s="51"/>
      <c r="B59" s="22"/>
      <c r="C59" s="31"/>
      <c r="D59" s="31"/>
      <c r="E59" s="31"/>
      <c r="F59" s="22"/>
      <c r="G59" s="22"/>
    </row>
    <row r="60" spans="1:7" x14ac:dyDescent="0.3">
      <c r="A60" s="51"/>
      <c r="B60" s="22"/>
      <c r="C60" s="31"/>
      <c r="D60" s="31"/>
      <c r="E60" s="31"/>
      <c r="F60" s="22"/>
      <c r="G60" s="22"/>
    </row>
    <row r="61" spans="1:7" x14ac:dyDescent="0.3">
      <c r="A61" s="51"/>
      <c r="B61" s="22"/>
      <c r="C61" s="31"/>
      <c r="D61" s="31"/>
      <c r="E61" s="31"/>
      <c r="F61" s="22"/>
      <c r="G61" s="22"/>
    </row>
    <row r="62" spans="1:7" x14ac:dyDescent="0.3">
      <c r="A62" s="51"/>
      <c r="B62" s="22"/>
      <c r="C62" s="31"/>
      <c r="D62" s="31"/>
      <c r="E62" s="31"/>
      <c r="F62" s="22"/>
      <c r="G62" s="22"/>
    </row>
    <row r="63" spans="1:7" x14ac:dyDescent="0.3">
      <c r="A63" s="51"/>
      <c r="B63" s="22"/>
      <c r="C63" s="31"/>
      <c r="D63" s="31"/>
      <c r="E63" s="31"/>
      <c r="F63" s="22"/>
      <c r="G63" s="22"/>
    </row>
    <row r="64" spans="1:7" x14ac:dyDescent="0.3">
      <c r="A64" s="51"/>
      <c r="B64" s="22"/>
      <c r="C64" s="31"/>
      <c r="D64" s="31"/>
      <c r="E64" s="31"/>
      <c r="F64" s="22"/>
      <c r="G64" s="22"/>
    </row>
    <row r="65" spans="1:7" x14ac:dyDescent="0.3">
      <c r="A65" s="51"/>
      <c r="B65" s="22"/>
      <c r="C65" s="31"/>
      <c r="D65" s="31"/>
      <c r="E65" s="31"/>
      <c r="F65" s="22"/>
      <c r="G65" s="22"/>
    </row>
    <row r="66" spans="1:7" x14ac:dyDescent="0.3">
      <c r="A66" s="51"/>
      <c r="B66" s="22"/>
      <c r="C66" s="31"/>
      <c r="D66" s="31"/>
      <c r="E66" s="31"/>
      <c r="F66" s="22"/>
      <c r="G66" s="22"/>
    </row>
    <row r="67" spans="1:7" x14ac:dyDescent="0.3">
      <c r="A67" s="51"/>
      <c r="B67" s="22"/>
      <c r="C67" s="31"/>
      <c r="D67" s="31"/>
      <c r="E67" s="31"/>
      <c r="F67" s="22"/>
      <c r="G67" s="22"/>
    </row>
    <row r="68" spans="1:7" x14ac:dyDescent="0.3">
      <c r="A68" s="51"/>
      <c r="B68" s="22"/>
      <c r="C68" s="31"/>
      <c r="D68" s="31"/>
      <c r="E68" s="31"/>
      <c r="F68" s="22"/>
      <c r="G68" s="22"/>
    </row>
    <row r="69" spans="1:7" x14ac:dyDescent="0.3">
      <c r="A69" s="51"/>
      <c r="B69" s="22"/>
      <c r="C69" s="31"/>
      <c r="D69" s="31"/>
      <c r="E69" s="31"/>
      <c r="F69" s="22"/>
      <c r="G69" s="22"/>
    </row>
    <row r="70" spans="1:7" x14ac:dyDescent="0.3">
      <c r="A70" s="51"/>
      <c r="B70" s="22"/>
      <c r="C70" s="31"/>
      <c r="D70" s="31"/>
      <c r="E70" s="31"/>
      <c r="F70" s="22"/>
      <c r="G70" s="22"/>
    </row>
    <row r="71" spans="1:7" x14ac:dyDescent="0.3">
      <c r="A71" s="51"/>
      <c r="B71" s="22"/>
      <c r="C71" s="31"/>
      <c r="D71" s="31"/>
      <c r="E71" s="31"/>
      <c r="F71" s="22"/>
      <c r="G71" s="22"/>
    </row>
    <row r="72" spans="1:7" x14ac:dyDescent="0.3">
      <c r="A72" s="51"/>
      <c r="B72" s="22"/>
      <c r="C72" s="31"/>
      <c r="D72" s="31"/>
      <c r="E72" s="31"/>
      <c r="F72" s="22"/>
      <c r="G72" s="22"/>
    </row>
    <row r="73" spans="1:7" x14ac:dyDescent="0.3">
      <c r="A73" s="51"/>
      <c r="B73" s="22"/>
      <c r="C73" s="31"/>
      <c r="D73" s="31"/>
      <c r="E73" s="31"/>
      <c r="F73" s="22"/>
      <c r="G73" s="22"/>
    </row>
    <row r="74" spans="1:7" x14ac:dyDescent="0.3">
      <c r="A74" s="51"/>
      <c r="B74" s="22"/>
      <c r="C74" s="31"/>
      <c r="D74" s="31"/>
      <c r="E74" s="31"/>
      <c r="F74" s="22"/>
      <c r="G74" s="22"/>
    </row>
    <row r="75" spans="1:7" x14ac:dyDescent="0.3">
      <c r="A75" s="51"/>
      <c r="B75" s="22"/>
      <c r="C75" s="31"/>
      <c r="D75" s="31"/>
      <c r="E75" s="31"/>
      <c r="F75" s="22"/>
      <c r="G75" s="22"/>
    </row>
    <row r="76" spans="1:7" x14ac:dyDescent="0.3">
      <c r="A76" s="51"/>
      <c r="B76" s="22"/>
      <c r="C76" s="31"/>
      <c r="D76" s="31"/>
      <c r="E76" s="31"/>
      <c r="F76" s="22"/>
      <c r="G76" s="22"/>
    </row>
    <row r="77" spans="1:7" x14ac:dyDescent="0.3">
      <c r="A77" s="51"/>
      <c r="B77" s="22"/>
      <c r="C77" s="31"/>
      <c r="D77" s="31"/>
      <c r="E77" s="31"/>
      <c r="F77" s="22"/>
      <c r="G77" s="22"/>
    </row>
    <row r="78" spans="1:7" x14ac:dyDescent="0.3">
      <c r="A78" s="51"/>
      <c r="B78" s="22"/>
      <c r="C78" s="31"/>
      <c r="D78" s="31"/>
      <c r="E78" s="31"/>
      <c r="F78" s="22"/>
      <c r="G78" s="22"/>
    </row>
    <row r="79" spans="1:7" x14ac:dyDescent="0.3">
      <c r="A79" s="51"/>
      <c r="B79" s="22"/>
      <c r="C79" s="31"/>
      <c r="D79" s="31"/>
      <c r="E79" s="31"/>
      <c r="F79" s="22"/>
      <c r="G79" s="22"/>
    </row>
    <row r="80" spans="1:7" x14ac:dyDescent="0.3">
      <c r="A80" s="51"/>
      <c r="B80" s="22"/>
      <c r="C80" s="31"/>
      <c r="D80" s="31"/>
      <c r="E80" s="31"/>
      <c r="F80" s="22"/>
      <c r="G80" s="22"/>
    </row>
    <row r="81" spans="1:7" x14ac:dyDescent="0.3">
      <c r="A81" s="51"/>
      <c r="B81" s="22"/>
      <c r="C81" s="31"/>
      <c r="D81" s="31"/>
      <c r="E81" s="31"/>
      <c r="F81" s="22"/>
      <c r="G81" s="22"/>
    </row>
    <row r="82" spans="1:7" x14ac:dyDescent="0.3">
      <c r="A82" s="51"/>
      <c r="B82" s="22"/>
      <c r="C82" s="31"/>
      <c r="D82" s="31"/>
      <c r="E82" s="31"/>
      <c r="F82" s="22"/>
      <c r="G82" s="22"/>
    </row>
    <row r="83" spans="1:7" x14ac:dyDescent="0.3">
      <c r="A83" s="51"/>
      <c r="B83" s="22"/>
      <c r="C83" s="31"/>
      <c r="D83" s="31"/>
      <c r="E83" s="31"/>
      <c r="F83" s="22"/>
      <c r="G83" s="22"/>
    </row>
    <row r="84" spans="1:7" x14ac:dyDescent="0.3">
      <c r="A84" s="51"/>
      <c r="B84" s="22"/>
      <c r="C84" s="31"/>
      <c r="D84" s="31"/>
      <c r="E84" s="31"/>
      <c r="F84" s="22"/>
      <c r="G84" s="22"/>
    </row>
    <row r="85" spans="1:7" x14ac:dyDescent="0.3">
      <c r="A85" s="51"/>
      <c r="B85" s="22"/>
      <c r="C85" s="31"/>
      <c r="D85" s="31"/>
      <c r="E85" s="31"/>
      <c r="F85" s="22"/>
      <c r="G85" s="22"/>
    </row>
    <row r="86" spans="1:7" x14ac:dyDescent="0.3">
      <c r="A86" s="51"/>
      <c r="B86" s="22"/>
      <c r="C86" s="31"/>
      <c r="D86" s="31"/>
      <c r="E86" s="31"/>
      <c r="F86" s="22"/>
      <c r="G86" s="22"/>
    </row>
    <row r="87" spans="1:7" x14ac:dyDescent="0.3">
      <c r="A87" s="51"/>
      <c r="B87" s="22"/>
      <c r="C87" s="31"/>
      <c r="D87" s="31"/>
      <c r="E87" s="31"/>
      <c r="F87" s="22"/>
      <c r="G87" s="22"/>
    </row>
    <row r="88" spans="1:7" x14ac:dyDescent="0.3">
      <c r="A88" s="51"/>
      <c r="B88" s="22"/>
      <c r="C88" s="31"/>
      <c r="D88" s="31"/>
      <c r="E88" s="31"/>
      <c r="F88" s="22"/>
      <c r="G88" s="22"/>
    </row>
    <row r="89" spans="1:7" x14ac:dyDescent="0.3">
      <c r="A89" s="51"/>
      <c r="B89" s="22"/>
      <c r="C89" s="31"/>
      <c r="D89" s="31"/>
      <c r="E89" s="31"/>
      <c r="F89" s="22"/>
      <c r="G89" s="22"/>
    </row>
    <row r="90" spans="1:7" x14ac:dyDescent="0.3">
      <c r="A90" s="51"/>
      <c r="B90" s="22"/>
      <c r="C90" s="31"/>
      <c r="D90" s="31"/>
      <c r="E90" s="31"/>
      <c r="F90" s="22"/>
      <c r="G90" s="22"/>
    </row>
    <row r="91" spans="1:7" x14ac:dyDescent="0.3">
      <c r="A91" s="51"/>
      <c r="B91" s="22"/>
      <c r="C91" s="31"/>
      <c r="D91" s="31"/>
      <c r="E91" s="31"/>
      <c r="F91" s="22"/>
      <c r="G91" s="22"/>
    </row>
    <row r="92" spans="1:7" x14ac:dyDescent="0.3">
      <c r="A92" s="51"/>
      <c r="B92" s="22"/>
      <c r="C92" s="31"/>
      <c r="D92" s="31"/>
      <c r="E92" s="31"/>
      <c r="F92" s="22"/>
      <c r="G92" s="22"/>
    </row>
    <row r="93" spans="1:7" x14ac:dyDescent="0.3">
      <c r="A93" s="51"/>
      <c r="B93" s="22"/>
      <c r="C93" s="31"/>
      <c r="D93" s="31"/>
      <c r="E93" s="31"/>
      <c r="F93" s="22"/>
      <c r="G93" s="22"/>
    </row>
    <row r="94" spans="1:7" x14ac:dyDescent="0.3">
      <c r="A94" s="51"/>
      <c r="B94" s="22"/>
      <c r="C94" s="31"/>
      <c r="D94" s="31"/>
      <c r="E94" s="31"/>
      <c r="F94" s="22"/>
      <c r="G94" s="22"/>
    </row>
    <row r="95" spans="1:7" x14ac:dyDescent="0.3">
      <c r="A95" s="51"/>
      <c r="B95" s="22"/>
      <c r="C95" s="31"/>
      <c r="D95" s="31"/>
      <c r="E95" s="31"/>
      <c r="F95" s="22"/>
      <c r="G95" s="22"/>
    </row>
    <row r="96" spans="1:7" x14ac:dyDescent="0.3">
      <c r="A96" s="51"/>
      <c r="B96" s="22"/>
      <c r="C96" s="31"/>
      <c r="D96" s="31"/>
      <c r="E96" s="31"/>
      <c r="F96" s="22"/>
      <c r="G96" s="22"/>
    </row>
    <row r="97" spans="1:7" x14ac:dyDescent="0.3">
      <c r="A97" s="51"/>
      <c r="B97" s="22"/>
      <c r="C97" s="31"/>
      <c r="D97" s="31"/>
      <c r="E97" s="31"/>
      <c r="F97" s="22"/>
      <c r="G97" s="22"/>
    </row>
    <row r="98" spans="1:7" x14ac:dyDescent="0.3">
      <c r="A98" s="51"/>
      <c r="B98" s="22"/>
      <c r="C98" s="31"/>
      <c r="D98" s="31"/>
      <c r="E98" s="31"/>
      <c r="F98" s="22"/>
      <c r="G98" s="22"/>
    </row>
    <row r="99" spans="1:7" x14ac:dyDescent="0.3">
      <c r="A99" s="51"/>
      <c r="B99" s="22"/>
      <c r="C99" s="31"/>
      <c r="D99" s="31"/>
      <c r="E99" s="31"/>
      <c r="F99" s="22"/>
      <c r="G99" s="22"/>
    </row>
    <row r="100" spans="1:7" x14ac:dyDescent="0.3">
      <c r="A100" s="51"/>
      <c r="B100" s="22"/>
      <c r="C100" s="31"/>
      <c r="D100" s="31"/>
      <c r="E100" s="31"/>
      <c r="F100" s="22"/>
      <c r="G100" s="22"/>
    </row>
    <row r="101" spans="1:7" x14ac:dyDescent="0.3">
      <c r="A101" s="51"/>
      <c r="B101" s="22"/>
      <c r="C101" s="31"/>
      <c r="D101" s="31"/>
      <c r="E101" s="31"/>
      <c r="F101" s="22"/>
      <c r="G101" s="22"/>
    </row>
    <row r="102" spans="1:7" x14ac:dyDescent="0.3">
      <c r="A102" s="51"/>
      <c r="B102" s="22"/>
      <c r="C102" s="31"/>
      <c r="D102" s="31"/>
      <c r="E102" s="31"/>
      <c r="F102" s="22"/>
      <c r="G102" s="22"/>
    </row>
    <row r="103" spans="1:7" x14ac:dyDescent="0.3">
      <c r="A103" s="51"/>
      <c r="B103" s="22"/>
      <c r="C103" s="31"/>
      <c r="D103" s="31"/>
      <c r="E103" s="31"/>
      <c r="F103" s="22"/>
      <c r="G103" s="22"/>
    </row>
    <row r="104" spans="1:7" x14ac:dyDescent="0.3">
      <c r="A104" s="51"/>
      <c r="B104" s="22"/>
      <c r="C104" s="31"/>
      <c r="D104" s="31"/>
      <c r="E104" s="31"/>
      <c r="F104" s="22"/>
      <c r="G104" s="22"/>
    </row>
    <row r="105" spans="1:7" x14ac:dyDescent="0.3">
      <c r="A105" s="51"/>
      <c r="B105" s="22"/>
      <c r="C105" s="31"/>
      <c r="D105" s="31"/>
      <c r="E105" s="31"/>
      <c r="F105" s="22"/>
      <c r="G105" s="22"/>
    </row>
    <row r="106" spans="1:7" x14ac:dyDescent="0.3">
      <c r="A106" s="51"/>
      <c r="B106" s="22"/>
      <c r="C106" s="31"/>
      <c r="D106" s="31"/>
      <c r="E106" s="31"/>
      <c r="F106" s="22"/>
      <c r="G106" s="22"/>
    </row>
    <row r="107" spans="1:7" x14ac:dyDescent="0.3">
      <c r="A107" s="51"/>
      <c r="B107" s="22"/>
      <c r="C107" s="31"/>
      <c r="D107" s="31"/>
      <c r="E107" s="31"/>
      <c r="F107" s="22"/>
      <c r="G107" s="22"/>
    </row>
    <row r="108" spans="1:7" x14ac:dyDescent="0.3">
      <c r="A108" s="51"/>
      <c r="B108" s="22"/>
      <c r="C108" s="31"/>
      <c r="D108" s="31"/>
      <c r="E108" s="31"/>
      <c r="F108" s="22"/>
      <c r="G108" s="22"/>
    </row>
    <row r="109" spans="1:7" x14ac:dyDescent="0.3">
      <c r="A109" s="51"/>
      <c r="B109" s="22"/>
      <c r="C109" s="31"/>
      <c r="D109" s="31"/>
      <c r="E109" s="31"/>
      <c r="F109" s="22"/>
      <c r="G109" s="22"/>
    </row>
    <row r="110" spans="1:7" x14ac:dyDescent="0.3">
      <c r="A110" s="51"/>
      <c r="B110" s="22"/>
      <c r="C110" s="31"/>
      <c r="D110" s="31"/>
      <c r="E110" s="31"/>
      <c r="F110" s="22"/>
      <c r="G110" s="22"/>
    </row>
    <row r="111" spans="1:7" x14ac:dyDescent="0.3">
      <c r="A111" s="51"/>
      <c r="B111" s="22"/>
      <c r="C111" s="31"/>
      <c r="D111" s="31"/>
      <c r="E111" s="31"/>
      <c r="F111" s="22"/>
      <c r="G111" s="22"/>
    </row>
    <row r="112" spans="1:7" x14ac:dyDescent="0.3">
      <c r="A112" s="51"/>
      <c r="B112" s="22"/>
      <c r="C112" s="31"/>
      <c r="D112" s="31"/>
      <c r="E112" s="31"/>
      <c r="F112" s="22"/>
      <c r="G112" s="22"/>
    </row>
    <row r="113" spans="1:7" x14ac:dyDescent="0.3">
      <c r="A113" s="51"/>
      <c r="B113" s="22"/>
      <c r="C113" s="31"/>
      <c r="D113" s="31"/>
      <c r="E113" s="31"/>
      <c r="F113" s="22"/>
      <c r="G113" s="22"/>
    </row>
    <row r="114" spans="1:7" x14ac:dyDescent="0.3">
      <c r="A114" s="51"/>
      <c r="B114" s="22"/>
      <c r="C114" s="31"/>
      <c r="D114" s="31"/>
      <c r="E114" s="31"/>
      <c r="F114" s="22"/>
      <c r="G114" s="22"/>
    </row>
    <row r="115" spans="1:7" x14ac:dyDescent="0.3">
      <c r="A115" s="51"/>
      <c r="B115" s="22"/>
      <c r="C115" s="31"/>
      <c r="D115" s="31"/>
      <c r="E115" s="31"/>
      <c r="F115" s="22"/>
      <c r="G115" s="22"/>
    </row>
    <row r="116" spans="1:7" x14ac:dyDescent="0.3">
      <c r="A116" s="51"/>
      <c r="B116" s="22"/>
      <c r="C116" s="31"/>
      <c r="D116" s="31"/>
      <c r="E116" s="31"/>
      <c r="F116" s="22"/>
      <c r="G116" s="22"/>
    </row>
    <row r="117" spans="1:7" x14ac:dyDescent="0.3">
      <c r="A117" s="51"/>
      <c r="B117" s="22"/>
      <c r="C117" s="31"/>
      <c r="D117" s="31"/>
      <c r="E117" s="31"/>
      <c r="F117" s="22"/>
      <c r="G117" s="22"/>
    </row>
    <row r="118" spans="1:7" x14ac:dyDescent="0.3">
      <c r="A118" s="51"/>
      <c r="B118" s="22"/>
      <c r="C118" s="31"/>
      <c r="D118" s="31"/>
      <c r="E118" s="31"/>
      <c r="F118" s="22"/>
      <c r="G118" s="22"/>
    </row>
    <row r="119" spans="1:7" x14ac:dyDescent="0.3">
      <c r="A119" s="51"/>
      <c r="B119" s="22"/>
      <c r="C119" s="31"/>
      <c r="D119" s="31"/>
      <c r="E119" s="31"/>
      <c r="F119" s="22"/>
      <c r="G119" s="22"/>
    </row>
    <row r="120" spans="1:7" x14ac:dyDescent="0.3">
      <c r="A120" s="51"/>
      <c r="B120" s="22"/>
      <c r="C120" s="31"/>
      <c r="D120" s="31"/>
      <c r="E120" s="31"/>
      <c r="F120" s="22"/>
      <c r="G120" s="22"/>
    </row>
    <row r="121" spans="1:7" x14ac:dyDescent="0.3">
      <c r="A121" s="51"/>
      <c r="B121" s="22"/>
      <c r="C121" s="31"/>
      <c r="D121" s="31"/>
      <c r="E121" s="31"/>
      <c r="F121" s="22"/>
      <c r="G121" s="22"/>
    </row>
    <row r="122" spans="1:7" x14ac:dyDescent="0.3">
      <c r="A122" s="51"/>
      <c r="B122" s="22"/>
      <c r="C122" s="31"/>
      <c r="D122" s="31"/>
      <c r="E122" s="31"/>
      <c r="F122" s="22"/>
      <c r="G122" s="22"/>
    </row>
    <row r="123" spans="1:7" x14ac:dyDescent="0.3">
      <c r="A123" s="51"/>
      <c r="B123" s="22"/>
      <c r="C123" s="31"/>
      <c r="D123" s="31"/>
      <c r="E123" s="31"/>
      <c r="F123" s="22"/>
      <c r="G123" s="22"/>
    </row>
    <row r="124" spans="1:7" x14ac:dyDescent="0.3">
      <c r="A124" s="51"/>
      <c r="B124" s="22"/>
      <c r="C124" s="31"/>
      <c r="D124" s="31"/>
      <c r="E124" s="31"/>
      <c r="F124" s="22"/>
      <c r="G124" s="22"/>
    </row>
    <row r="125" spans="1:7" x14ac:dyDescent="0.3">
      <c r="A125" s="51"/>
      <c r="B125" s="22"/>
      <c r="C125" s="31"/>
      <c r="D125" s="31"/>
      <c r="E125" s="31"/>
      <c r="F125" s="22"/>
      <c r="G125" s="22"/>
    </row>
    <row r="126" spans="1:7" x14ac:dyDescent="0.3">
      <c r="A126" s="51"/>
      <c r="B126" s="22"/>
      <c r="C126" s="31"/>
      <c r="D126" s="31"/>
      <c r="E126" s="31"/>
      <c r="F126" s="22"/>
      <c r="G126" s="22"/>
    </row>
    <row r="127" spans="1:7" x14ac:dyDescent="0.3">
      <c r="A127" s="51"/>
      <c r="B127" s="22"/>
      <c r="C127" s="31"/>
      <c r="D127" s="31"/>
      <c r="E127" s="31"/>
      <c r="F127" s="22"/>
      <c r="G127" s="22"/>
    </row>
    <row r="128" spans="1:7" x14ac:dyDescent="0.3">
      <c r="A128" s="51"/>
      <c r="B128" s="22"/>
      <c r="C128" s="31"/>
      <c r="D128" s="31"/>
      <c r="E128" s="31"/>
      <c r="F128" s="22"/>
      <c r="G128" s="22"/>
    </row>
    <row r="129" spans="1:7" x14ac:dyDescent="0.3">
      <c r="A129" s="51"/>
      <c r="B129" s="22"/>
      <c r="C129" s="31"/>
      <c r="D129" s="31"/>
      <c r="E129" s="31"/>
      <c r="F129" s="22"/>
      <c r="G129" s="22"/>
    </row>
    <row r="130" spans="1:7" x14ac:dyDescent="0.3">
      <c r="A130" s="51"/>
      <c r="B130" s="22"/>
      <c r="C130" s="31"/>
      <c r="D130" s="31"/>
      <c r="E130" s="31"/>
      <c r="F130" s="22"/>
      <c r="G130" s="22"/>
    </row>
    <row r="131" spans="1:7" x14ac:dyDescent="0.3">
      <c r="A131" s="51"/>
      <c r="B131" s="22"/>
      <c r="C131" s="31"/>
      <c r="D131" s="31"/>
      <c r="E131" s="31"/>
      <c r="F131" s="22"/>
      <c r="G131" s="22"/>
    </row>
    <row r="132" spans="1:7" x14ac:dyDescent="0.3">
      <c r="A132" s="51"/>
      <c r="B132" s="22"/>
      <c r="C132" s="31"/>
      <c r="D132" s="31"/>
      <c r="E132" s="31"/>
      <c r="F132" s="22"/>
      <c r="G132" s="22"/>
    </row>
    <row r="133" spans="1:7" x14ac:dyDescent="0.3">
      <c r="A133" s="51"/>
      <c r="B133" s="22"/>
      <c r="C133" s="31"/>
      <c r="D133" s="31"/>
      <c r="E133" s="31"/>
      <c r="F133" s="22"/>
      <c r="G133" s="22"/>
    </row>
    <row r="134" spans="1:7" x14ac:dyDescent="0.3">
      <c r="A134" s="51"/>
      <c r="B134" s="22"/>
      <c r="C134" s="31"/>
      <c r="D134" s="31"/>
      <c r="E134" s="31"/>
      <c r="F134" s="22"/>
      <c r="G134" s="22"/>
    </row>
    <row r="135" spans="1:7" x14ac:dyDescent="0.3">
      <c r="A135" s="51"/>
      <c r="B135" s="22"/>
      <c r="C135" s="31"/>
      <c r="D135" s="31"/>
      <c r="E135" s="31"/>
      <c r="F135" s="22"/>
      <c r="G135" s="22"/>
    </row>
    <row r="136" spans="1:7" x14ac:dyDescent="0.3">
      <c r="A136" s="51"/>
      <c r="B136" s="22"/>
      <c r="C136" s="31"/>
      <c r="D136" s="31"/>
      <c r="E136" s="31"/>
      <c r="F136" s="22"/>
      <c r="G136" s="22"/>
    </row>
    <row r="137" spans="1:7" x14ac:dyDescent="0.3">
      <c r="A137" s="51"/>
      <c r="B137" s="22"/>
      <c r="C137" s="31"/>
      <c r="D137" s="31"/>
      <c r="E137" s="31"/>
      <c r="F137" s="22"/>
      <c r="G137" s="22"/>
    </row>
    <row r="138" spans="1:7" x14ac:dyDescent="0.3">
      <c r="A138" s="51"/>
      <c r="B138" s="22"/>
      <c r="C138" s="31"/>
      <c r="D138" s="31"/>
      <c r="E138" s="31"/>
      <c r="F138" s="22"/>
      <c r="G138" s="22"/>
    </row>
    <row r="139" spans="1:7" x14ac:dyDescent="0.3">
      <c r="A139" s="51"/>
      <c r="B139" s="22"/>
      <c r="C139" s="31"/>
      <c r="D139" s="31"/>
      <c r="E139" s="31"/>
      <c r="F139" s="22"/>
      <c r="G139" s="22"/>
    </row>
    <row r="140" spans="1:7" x14ac:dyDescent="0.3">
      <c r="A140" s="51"/>
      <c r="B140" s="22"/>
      <c r="C140" s="31"/>
      <c r="D140" s="31"/>
      <c r="E140" s="31"/>
      <c r="F140" s="22"/>
      <c r="G140" s="22"/>
    </row>
    <row r="141" spans="1:7" x14ac:dyDescent="0.3">
      <c r="A141" s="51"/>
      <c r="B141" s="22"/>
      <c r="C141" s="31"/>
      <c r="D141" s="31"/>
      <c r="E141" s="31"/>
      <c r="F141" s="22"/>
      <c r="G141" s="22"/>
    </row>
    <row r="142" spans="1:7" x14ac:dyDescent="0.3">
      <c r="A142" s="51"/>
      <c r="B142" s="22"/>
      <c r="C142" s="31"/>
      <c r="D142" s="31"/>
      <c r="E142" s="31"/>
      <c r="F142" s="22"/>
      <c r="G142" s="22"/>
    </row>
    <row r="143" spans="1:7" x14ac:dyDescent="0.3">
      <c r="A143" s="51"/>
      <c r="B143" s="22"/>
      <c r="C143" s="31"/>
      <c r="D143" s="31"/>
      <c r="E143" s="31"/>
      <c r="F143" s="22"/>
      <c r="G143" s="22"/>
    </row>
    <row r="144" spans="1:7" x14ac:dyDescent="0.3">
      <c r="A144" s="51"/>
      <c r="B144" s="22"/>
      <c r="C144" s="31"/>
      <c r="D144" s="31"/>
      <c r="E144" s="31"/>
      <c r="F144" s="22"/>
      <c r="G144" s="22"/>
    </row>
    <row r="145" spans="1:7" x14ac:dyDescent="0.3">
      <c r="A145" s="51"/>
      <c r="B145" s="22"/>
      <c r="C145" s="31"/>
      <c r="D145" s="31"/>
      <c r="E145" s="31"/>
      <c r="F145" s="22"/>
      <c r="G145" s="22"/>
    </row>
    <row r="146" spans="1:7" x14ac:dyDescent="0.3">
      <c r="A146" s="51"/>
      <c r="B146" s="22"/>
      <c r="C146" s="31"/>
      <c r="D146" s="31"/>
      <c r="E146" s="31"/>
      <c r="F146" s="22"/>
      <c r="G146" s="22"/>
    </row>
    <row r="147" spans="1:7" x14ac:dyDescent="0.3">
      <c r="A147" s="51"/>
      <c r="B147" s="22"/>
      <c r="C147" s="31"/>
      <c r="D147" s="31"/>
      <c r="E147" s="31"/>
      <c r="F147" s="22"/>
      <c r="G147" s="22"/>
    </row>
    <row r="148" spans="1:7" x14ac:dyDescent="0.3">
      <c r="A148" s="51"/>
      <c r="B148" s="22"/>
      <c r="C148" s="31"/>
      <c r="D148" s="31"/>
      <c r="E148" s="31"/>
      <c r="F148" s="22"/>
      <c r="G148" s="22"/>
    </row>
    <row r="149" spans="1:7" x14ac:dyDescent="0.3">
      <c r="A149" s="51"/>
      <c r="B149" s="22"/>
      <c r="C149" s="31"/>
      <c r="D149" s="31"/>
      <c r="E149" s="31"/>
      <c r="F149" s="22"/>
      <c r="G149" s="22"/>
    </row>
    <row r="150" spans="1:7" x14ac:dyDescent="0.3">
      <c r="A150" s="51"/>
      <c r="B150" s="22"/>
      <c r="C150" s="31"/>
      <c r="D150" s="31"/>
      <c r="E150" s="31"/>
      <c r="F150" s="22"/>
      <c r="G150" s="22"/>
    </row>
    <row r="151" spans="1:7" x14ac:dyDescent="0.3">
      <c r="A151" s="51"/>
      <c r="B151" s="22"/>
      <c r="C151" s="31"/>
      <c r="D151" s="31"/>
      <c r="E151" s="31"/>
      <c r="F151" s="22"/>
      <c r="G151" s="22"/>
    </row>
    <row r="152" spans="1:7" x14ac:dyDescent="0.3">
      <c r="A152" s="51"/>
      <c r="B152" s="22"/>
      <c r="C152" s="31"/>
      <c r="D152" s="31"/>
      <c r="E152" s="31"/>
      <c r="F152" s="22"/>
      <c r="G152" s="22"/>
    </row>
    <row r="153" spans="1:7" x14ac:dyDescent="0.3">
      <c r="A153" s="51"/>
      <c r="B153" s="22"/>
      <c r="C153" s="31"/>
      <c r="D153" s="31"/>
      <c r="E153" s="31"/>
      <c r="F153" s="22"/>
      <c r="G153" s="22"/>
    </row>
    <row r="154" spans="1:7" x14ac:dyDescent="0.3">
      <c r="A154" s="51"/>
      <c r="B154" s="22"/>
      <c r="C154" s="31"/>
      <c r="D154" s="31"/>
      <c r="E154" s="31"/>
      <c r="F154" s="22"/>
      <c r="G154" s="22"/>
    </row>
    <row r="155" spans="1:7" x14ac:dyDescent="0.3">
      <c r="A155" s="51"/>
      <c r="B155" s="22"/>
      <c r="C155" s="31"/>
      <c r="D155" s="31"/>
      <c r="E155" s="31"/>
      <c r="F155" s="22"/>
      <c r="G155" s="22"/>
    </row>
    <row r="156" spans="1:7" x14ac:dyDescent="0.3">
      <c r="A156" s="51"/>
      <c r="B156" s="22"/>
      <c r="C156" s="31"/>
      <c r="D156" s="31"/>
      <c r="E156" s="31"/>
      <c r="F156" s="22"/>
      <c r="G156" s="22"/>
    </row>
    <row r="157" spans="1:7" x14ac:dyDescent="0.3">
      <c r="A157" s="51"/>
      <c r="B157" s="22"/>
      <c r="C157" s="31"/>
      <c r="D157" s="31"/>
      <c r="E157" s="31"/>
      <c r="F157" s="22"/>
      <c r="G157" s="22"/>
    </row>
    <row r="158" spans="1:7" x14ac:dyDescent="0.3">
      <c r="A158" s="51"/>
      <c r="B158" s="22"/>
      <c r="C158" s="31"/>
      <c r="D158" s="31"/>
      <c r="E158" s="31"/>
      <c r="F158" s="22"/>
      <c r="G158" s="22"/>
    </row>
    <row r="159" spans="1:7" x14ac:dyDescent="0.3">
      <c r="A159" s="51"/>
      <c r="B159" s="22"/>
      <c r="C159" s="31"/>
      <c r="D159" s="31"/>
      <c r="E159" s="31"/>
      <c r="F159" s="22"/>
      <c r="G159" s="22"/>
    </row>
    <row r="160" spans="1:7" x14ac:dyDescent="0.3">
      <c r="A160" s="51"/>
      <c r="B160" s="22"/>
      <c r="C160" s="31"/>
      <c r="D160" s="31"/>
      <c r="E160" s="31"/>
      <c r="F160" s="22"/>
      <c r="G160" s="22"/>
    </row>
    <row r="161" spans="1:7" x14ac:dyDescent="0.3">
      <c r="A161" s="51"/>
      <c r="B161" s="22"/>
      <c r="C161" s="31"/>
      <c r="D161" s="31"/>
      <c r="E161" s="31"/>
      <c r="F161" s="22"/>
      <c r="G161" s="22"/>
    </row>
    <row r="162" spans="1:7" x14ac:dyDescent="0.3">
      <c r="A162" s="51"/>
      <c r="B162" s="22"/>
      <c r="C162" s="31"/>
      <c r="D162" s="31"/>
      <c r="E162" s="31"/>
      <c r="F162" s="22"/>
      <c r="G162" s="22"/>
    </row>
    <row r="163" spans="1:7" x14ac:dyDescent="0.3">
      <c r="A163" s="51"/>
      <c r="B163" s="22"/>
      <c r="C163" s="31"/>
      <c r="D163" s="31"/>
      <c r="E163" s="31"/>
      <c r="F163" s="22"/>
      <c r="G163" s="22"/>
    </row>
    <row r="164" spans="1:7" x14ac:dyDescent="0.3">
      <c r="A164" s="51"/>
      <c r="B164" s="22"/>
      <c r="C164" s="31"/>
      <c r="D164" s="31"/>
      <c r="E164" s="31"/>
      <c r="F164" s="22"/>
      <c r="G164" s="22"/>
    </row>
    <row r="165" spans="1:7" x14ac:dyDescent="0.3">
      <c r="A165" s="51"/>
      <c r="B165" s="22"/>
      <c r="C165" s="31"/>
      <c r="D165" s="31"/>
      <c r="E165" s="31"/>
      <c r="F165" s="22"/>
      <c r="G165" s="22"/>
    </row>
    <row r="166" spans="1:7" x14ac:dyDescent="0.3">
      <c r="A166" s="51"/>
      <c r="B166" s="22"/>
      <c r="C166" s="31"/>
      <c r="D166" s="31"/>
      <c r="E166" s="31"/>
      <c r="F166" s="22"/>
      <c r="G166" s="22"/>
    </row>
    <row r="167" spans="1:7" x14ac:dyDescent="0.3">
      <c r="A167" s="51"/>
      <c r="B167" s="22"/>
      <c r="C167" s="31"/>
      <c r="D167" s="31"/>
      <c r="E167" s="31"/>
      <c r="F167" s="22"/>
      <c r="G167" s="22"/>
    </row>
    <row r="168" spans="1:7" x14ac:dyDescent="0.3">
      <c r="A168" s="51"/>
      <c r="B168" s="22"/>
      <c r="C168" s="31"/>
      <c r="D168" s="31"/>
      <c r="E168" s="31"/>
      <c r="F168" s="22"/>
      <c r="G168" s="22"/>
    </row>
    <row r="169" spans="1:7" x14ac:dyDescent="0.3">
      <c r="A169" s="51"/>
      <c r="B169" s="22"/>
      <c r="C169" s="31"/>
      <c r="D169" s="31"/>
      <c r="E169" s="31"/>
      <c r="F169" s="22"/>
      <c r="G169" s="22"/>
    </row>
    <row r="170" spans="1:7" x14ac:dyDescent="0.3">
      <c r="A170" s="51"/>
      <c r="B170" s="22"/>
      <c r="C170" s="31"/>
      <c r="D170" s="31"/>
      <c r="E170" s="31"/>
      <c r="F170" s="22"/>
      <c r="G170" s="22"/>
    </row>
    <row r="171" spans="1:7" x14ac:dyDescent="0.3">
      <c r="A171" s="51"/>
      <c r="B171" s="22"/>
      <c r="C171" s="31"/>
      <c r="D171" s="31"/>
      <c r="E171" s="31"/>
      <c r="F171" s="22"/>
      <c r="G171" s="22"/>
    </row>
    <row r="172" spans="1:7" x14ac:dyDescent="0.3">
      <c r="A172" s="51"/>
      <c r="B172" s="22"/>
      <c r="C172" s="31"/>
      <c r="D172" s="31"/>
      <c r="E172" s="31"/>
      <c r="F172" s="22"/>
      <c r="G172" s="22"/>
    </row>
    <row r="173" spans="1:7" x14ac:dyDescent="0.3">
      <c r="A173" s="51"/>
      <c r="B173" s="22"/>
      <c r="C173" s="31"/>
      <c r="D173" s="31"/>
      <c r="E173" s="31"/>
      <c r="F173" s="22"/>
      <c r="G173" s="22"/>
    </row>
    <row r="174" spans="1:7" x14ac:dyDescent="0.3">
      <c r="A174" s="51"/>
      <c r="B174" s="22"/>
      <c r="C174" s="31"/>
      <c r="D174" s="31"/>
      <c r="E174" s="31"/>
      <c r="F174" s="22"/>
      <c r="G174" s="22"/>
    </row>
    <row r="175" spans="1:7" x14ac:dyDescent="0.3">
      <c r="A175" s="51"/>
      <c r="B175" s="22"/>
      <c r="C175" s="31"/>
      <c r="D175" s="31"/>
      <c r="E175" s="31"/>
      <c r="F175" s="22"/>
      <c r="G175" s="22"/>
    </row>
    <row r="176" spans="1:7" x14ac:dyDescent="0.3">
      <c r="A176" s="51"/>
      <c r="B176" s="22"/>
      <c r="C176" s="31"/>
      <c r="D176" s="31"/>
      <c r="E176" s="31"/>
      <c r="F176" s="22"/>
      <c r="G176" s="22"/>
    </row>
    <row r="177" spans="1:7" x14ac:dyDescent="0.3">
      <c r="A177" s="51"/>
      <c r="B177" s="22"/>
      <c r="C177" s="31"/>
      <c r="D177" s="31"/>
      <c r="E177" s="31"/>
      <c r="F177" s="22"/>
      <c r="G177" s="22"/>
    </row>
    <row r="178" spans="1:7" x14ac:dyDescent="0.3">
      <c r="A178" s="51"/>
      <c r="B178" s="22"/>
      <c r="C178" s="31"/>
      <c r="D178" s="31"/>
      <c r="E178" s="31"/>
      <c r="F178" s="22"/>
      <c r="G178" s="22"/>
    </row>
    <row r="179" spans="1:7" x14ac:dyDescent="0.3">
      <c r="A179" s="51"/>
      <c r="B179" s="22"/>
      <c r="C179" s="31"/>
      <c r="D179" s="31"/>
      <c r="E179" s="31"/>
      <c r="F179" s="22"/>
      <c r="G179" s="22"/>
    </row>
    <row r="180" spans="1:7" x14ac:dyDescent="0.3">
      <c r="A180" s="51"/>
      <c r="B180" s="22"/>
      <c r="C180" s="31"/>
      <c r="D180" s="31"/>
      <c r="E180" s="31"/>
      <c r="F180" s="22"/>
      <c r="G180" s="22"/>
    </row>
    <row r="181" spans="1:7" x14ac:dyDescent="0.3">
      <c r="A181" s="51"/>
      <c r="B181" s="22"/>
      <c r="C181" s="31"/>
      <c r="D181" s="31"/>
      <c r="E181" s="31"/>
      <c r="F181" s="22"/>
      <c r="G181" s="22"/>
    </row>
    <row r="182" spans="1:7" x14ac:dyDescent="0.3">
      <c r="A182" s="51"/>
      <c r="B182" s="22"/>
      <c r="C182" s="31"/>
      <c r="D182" s="31"/>
      <c r="E182" s="31"/>
      <c r="F182" s="22"/>
      <c r="G182" s="22"/>
    </row>
    <row r="183" spans="1:7" x14ac:dyDescent="0.3">
      <c r="A183" s="51"/>
      <c r="B183" s="22"/>
      <c r="C183" s="31"/>
      <c r="D183" s="31"/>
      <c r="E183" s="31"/>
      <c r="F183" s="22"/>
      <c r="G183" s="22"/>
    </row>
    <row r="184" spans="1:7" x14ac:dyDescent="0.3">
      <c r="A184" s="51"/>
      <c r="B184" s="22"/>
      <c r="C184" s="31"/>
      <c r="D184" s="31"/>
      <c r="E184" s="31"/>
      <c r="F184" s="22"/>
      <c r="G184" s="22"/>
    </row>
    <row r="185" spans="1:7" x14ac:dyDescent="0.3">
      <c r="A185" s="51"/>
      <c r="B185" s="22"/>
      <c r="C185" s="31"/>
      <c r="D185" s="31"/>
      <c r="E185" s="31"/>
      <c r="F185" s="22"/>
      <c r="G185" s="22"/>
    </row>
    <row r="186" spans="1:7" x14ac:dyDescent="0.3">
      <c r="A186" s="51"/>
      <c r="B186" s="22"/>
      <c r="C186" s="31"/>
      <c r="D186" s="31"/>
      <c r="E186" s="31"/>
      <c r="F186" s="22"/>
      <c r="G186" s="22"/>
    </row>
    <row r="187" spans="1:7" x14ac:dyDescent="0.3">
      <c r="A187" s="51"/>
      <c r="B187" s="22"/>
      <c r="C187" s="31"/>
      <c r="D187" s="31"/>
      <c r="E187" s="31"/>
      <c r="F187" s="22"/>
      <c r="G187" s="22"/>
    </row>
    <row r="188" spans="1:7" x14ac:dyDescent="0.3">
      <c r="A188" s="51"/>
      <c r="B188" s="22"/>
      <c r="C188" s="31"/>
      <c r="D188" s="31"/>
      <c r="E188" s="31"/>
      <c r="F188" s="22"/>
      <c r="G188" s="22"/>
    </row>
    <row r="189" spans="1:7" x14ac:dyDescent="0.3">
      <c r="A189" s="51"/>
      <c r="B189" s="22"/>
      <c r="C189" s="31"/>
      <c r="D189" s="31"/>
      <c r="E189" s="31"/>
      <c r="F189" s="22"/>
      <c r="G189" s="22"/>
    </row>
    <row r="190" spans="1:7" x14ac:dyDescent="0.3">
      <c r="A190" s="51"/>
      <c r="B190" s="22"/>
      <c r="C190" s="31"/>
      <c r="D190" s="31"/>
      <c r="E190" s="31"/>
      <c r="F190" s="22"/>
      <c r="G190" s="22"/>
    </row>
    <row r="191" spans="1:7" x14ac:dyDescent="0.3">
      <c r="A191" s="51"/>
      <c r="B191" s="22"/>
      <c r="C191" s="31"/>
      <c r="D191" s="31"/>
      <c r="E191" s="31"/>
      <c r="F191" s="22"/>
      <c r="G191" s="22"/>
    </row>
    <row r="192" spans="1:7" x14ac:dyDescent="0.3">
      <c r="A192" s="51"/>
      <c r="B192" s="22"/>
      <c r="C192" s="31"/>
      <c r="D192" s="31"/>
      <c r="E192" s="31"/>
      <c r="F192" s="22"/>
      <c r="G192" s="22"/>
    </row>
    <row r="193" spans="1:7" x14ac:dyDescent="0.3">
      <c r="A193" s="51"/>
      <c r="B193" s="22"/>
      <c r="C193" s="31"/>
      <c r="D193" s="31"/>
      <c r="E193" s="31"/>
      <c r="F193" s="22"/>
      <c r="G193" s="22"/>
    </row>
    <row r="194" spans="1:7" x14ac:dyDescent="0.3">
      <c r="A194" s="51"/>
      <c r="B194" s="22"/>
      <c r="C194" s="31"/>
      <c r="D194" s="31"/>
      <c r="E194" s="31"/>
      <c r="F194" s="22"/>
      <c r="G194" s="22"/>
    </row>
    <row r="195" spans="1:7" x14ac:dyDescent="0.3">
      <c r="A195" s="51"/>
      <c r="B195" s="22"/>
      <c r="C195" s="31"/>
      <c r="D195" s="31"/>
      <c r="E195" s="31"/>
      <c r="F195" s="22"/>
      <c r="G195" s="22"/>
    </row>
    <row r="196" spans="1:7" x14ac:dyDescent="0.3">
      <c r="A196" s="51"/>
      <c r="B196" s="22"/>
      <c r="C196" s="31"/>
      <c r="D196" s="31"/>
      <c r="E196" s="31"/>
      <c r="F196" s="22"/>
      <c r="G196" s="22"/>
    </row>
    <row r="197" spans="1:7" x14ac:dyDescent="0.3">
      <c r="A197" s="51"/>
      <c r="B197" s="22"/>
      <c r="C197" s="31"/>
      <c r="D197" s="31"/>
      <c r="E197" s="31"/>
      <c r="F197" s="22"/>
      <c r="G197" s="22"/>
    </row>
    <row r="198" spans="1:7" x14ac:dyDescent="0.3">
      <c r="A198" s="51"/>
      <c r="B198" s="22"/>
      <c r="C198" s="31"/>
      <c r="D198" s="31"/>
      <c r="E198" s="31"/>
      <c r="F198" s="22"/>
      <c r="G198" s="22"/>
    </row>
    <row r="199" spans="1:7" x14ac:dyDescent="0.3">
      <c r="A199" s="51"/>
      <c r="B199" s="22"/>
      <c r="C199" s="31"/>
      <c r="D199" s="31"/>
      <c r="E199" s="31"/>
      <c r="F199" s="22"/>
      <c r="G199" s="22"/>
    </row>
    <row r="200" spans="1:7" x14ac:dyDescent="0.3">
      <c r="A200" s="51"/>
      <c r="B200" s="22"/>
      <c r="C200" s="31"/>
      <c r="D200" s="31"/>
      <c r="E200" s="31"/>
      <c r="F200" s="22"/>
      <c r="G200" s="22"/>
    </row>
    <row r="201" spans="1:7" x14ac:dyDescent="0.3">
      <c r="A201" s="51"/>
      <c r="B201" s="22"/>
      <c r="C201" s="31"/>
      <c r="D201" s="31"/>
      <c r="E201" s="31"/>
      <c r="F201" s="22"/>
      <c r="G201" s="22"/>
    </row>
    <row r="202" spans="1:7" x14ac:dyDescent="0.3">
      <c r="A202" s="51"/>
      <c r="B202" s="22"/>
      <c r="C202" s="31"/>
      <c r="D202" s="31"/>
      <c r="E202" s="31"/>
      <c r="F202" s="22"/>
      <c r="G202" s="22"/>
    </row>
    <row r="203" spans="1:7" x14ac:dyDescent="0.3">
      <c r="A203" s="51"/>
      <c r="B203" s="22"/>
      <c r="C203" s="31"/>
      <c r="D203" s="31"/>
      <c r="E203" s="31"/>
      <c r="F203" s="22"/>
      <c r="G203" s="22"/>
    </row>
    <row r="204" spans="1:7" x14ac:dyDescent="0.3">
      <c r="A204" s="51"/>
      <c r="B204" s="22"/>
      <c r="C204" s="31"/>
      <c r="D204" s="31"/>
      <c r="E204" s="31"/>
      <c r="F204" s="22"/>
      <c r="G204" s="22"/>
    </row>
    <row r="205" spans="1:7" x14ac:dyDescent="0.3">
      <c r="A205" s="51"/>
      <c r="B205" s="22"/>
      <c r="C205" s="31"/>
      <c r="D205" s="31"/>
      <c r="E205" s="31"/>
      <c r="F205" s="22"/>
      <c r="G205" s="22"/>
    </row>
    <row r="206" spans="1:7" x14ac:dyDescent="0.3">
      <c r="A206" s="51"/>
      <c r="B206" s="22"/>
      <c r="C206" s="31"/>
      <c r="D206" s="31"/>
      <c r="E206" s="31"/>
      <c r="F206" s="22"/>
      <c r="G206" s="22"/>
    </row>
    <row r="207" spans="1:7" x14ac:dyDescent="0.3">
      <c r="A207" s="51"/>
      <c r="B207" s="22"/>
      <c r="C207" s="31"/>
      <c r="D207" s="31"/>
      <c r="E207" s="31"/>
      <c r="F207" s="22"/>
      <c r="G207" s="22"/>
    </row>
    <row r="208" spans="1:7" x14ac:dyDescent="0.3">
      <c r="A208" s="51"/>
      <c r="B208" s="22"/>
      <c r="C208" s="31"/>
      <c r="D208" s="31"/>
      <c r="E208" s="31"/>
      <c r="F208" s="22"/>
      <c r="G208" s="22"/>
    </row>
    <row r="209" spans="1:7" x14ac:dyDescent="0.3">
      <c r="A209" s="51"/>
      <c r="B209" s="22"/>
      <c r="C209" s="31"/>
      <c r="D209" s="31"/>
      <c r="E209" s="31"/>
      <c r="F209" s="22"/>
      <c r="G209" s="22"/>
    </row>
    <row r="210" spans="1:7" x14ac:dyDescent="0.3">
      <c r="A210" s="51"/>
      <c r="B210" s="22"/>
      <c r="C210" s="31"/>
      <c r="D210" s="31"/>
      <c r="E210" s="31"/>
      <c r="F210" s="22"/>
      <c r="G210" s="22"/>
    </row>
    <row r="211" spans="1:7" x14ac:dyDescent="0.3">
      <c r="A211" s="51"/>
      <c r="B211" s="22"/>
      <c r="C211" s="31"/>
      <c r="D211" s="31"/>
      <c r="E211" s="31"/>
      <c r="F211" s="22"/>
      <c r="G211" s="22"/>
    </row>
    <row r="212" spans="1:7" x14ac:dyDescent="0.3">
      <c r="A212" s="51"/>
      <c r="B212" s="22"/>
      <c r="C212" s="31"/>
      <c r="D212" s="31"/>
      <c r="E212" s="31"/>
      <c r="F212" s="22"/>
      <c r="G212" s="22"/>
    </row>
    <row r="213" spans="1:7" x14ac:dyDescent="0.3">
      <c r="A213" s="51"/>
      <c r="B213" s="22"/>
      <c r="C213" s="31"/>
      <c r="D213" s="31"/>
      <c r="E213" s="31"/>
      <c r="F213" s="22"/>
      <c r="G213" s="22"/>
    </row>
    <row r="214" spans="1:7" x14ac:dyDescent="0.3">
      <c r="A214" s="51"/>
      <c r="B214" s="22"/>
      <c r="C214" s="31"/>
      <c r="D214" s="31"/>
      <c r="E214" s="31"/>
      <c r="F214" s="22"/>
      <c r="G214" s="22"/>
    </row>
    <row r="215" spans="1:7" x14ac:dyDescent="0.3">
      <c r="A215" s="51"/>
      <c r="B215" s="22"/>
      <c r="C215" s="31"/>
      <c r="D215" s="31"/>
      <c r="E215" s="31"/>
      <c r="F215" s="22"/>
      <c r="G215" s="22"/>
    </row>
    <row r="216" spans="1:7" x14ac:dyDescent="0.3">
      <c r="A216" s="51"/>
      <c r="B216" s="22"/>
      <c r="C216" s="31"/>
      <c r="D216" s="31"/>
      <c r="E216" s="31"/>
      <c r="F216" s="22"/>
      <c r="G216" s="22"/>
    </row>
    <row r="217" spans="1:7" x14ac:dyDescent="0.3">
      <c r="A217" s="51"/>
      <c r="B217" s="22"/>
      <c r="C217" s="31"/>
      <c r="D217" s="31"/>
      <c r="E217" s="31"/>
      <c r="F217" s="22"/>
      <c r="G217" s="22"/>
    </row>
    <row r="218" spans="1:7" x14ac:dyDescent="0.3">
      <c r="A218" s="51"/>
      <c r="B218" s="22"/>
      <c r="C218" s="31"/>
      <c r="D218" s="31"/>
      <c r="E218" s="31"/>
      <c r="F218" s="22"/>
      <c r="G218" s="22"/>
    </row>
    <row r="219" spans="1:7" x14ac:dyDescent="0.3">
      <c r="A219" s="51"/>
      <c r="B219" s="22"/>
      <c r="C219" s="31"/>
      <c r="D219" s="31"/>
      <c r="E219" s="31"/>
      <c r="F219" s="22"/>
      <c r="G219" s="22"/>
    </row>
    <row r="220" spans="1:7" x14ac:dyDescent="0.3">
      <c r="A220" s="51"/>
      <c r="B220" s="22"/>
      <c r="C220" s="31"/>
      <c r="D220" s="31"/>
      <c r="E220" s="31"/>
      <c r="F220" s="22"/>
      <c r="G220" s="22"/>
    </row>
    <row r="221" spans="1:7" x14ac:dyDescent="0.3">
      <c r="A221" s="51"/>
      <c r="B221" s="22"/>
      <c r="C221" s="31"/>
      <c r="D221" s="31"/>
      <c r="E221" s="31"/>
      <c r="F221" s="22"/>
      <c r="G221" s="22"/>
    </row>
    <row r="222" spans="1:7" x14ac:dyDescent="0.3">
      <c r="A222" s="51"/>
      <c r="B222" s="22"/>
      <c r="C222" s="31"/>
      <c r="D222" s="31"/>
      <c r="E222" s="31"/>
      <c r="F222" s="22"/>
      <c r="G222" s="22"/>
    </row>
    <row r="223" spans="1:7" x14ac:dyDescent="0.3">
      <c r="A223" s="51"/>
      <c r="B223" s="22"/>
      <c r="C223" s="31"/>
      <c r="D223" s="31"/>
      <c r="E223" s="31"/>
      <c r="F223" s="22"/>
      <c r="G223" s="22"/>
    </row>
    <row r="224" spans="1:7" x14ac:dyDescent="0.3">
      <c r="A224" s="51"/>
      <c r="B224" s="22"/>
      <c r="C224" s="31"/>
      <c r="D224" s="31"/>
      <c r="E224" s="31"/>
      <c r="F224" s="22"/>
      <c r="G224" s="22"/>
    </row>
    <row r="225" spans="1:7" x14ac:dyDescent="0.3">
      <c r="A225" s="51"/>
      <c r="B225" s="22"/>
      <c r="C225" s="31"/>
      <c r="D225" s="31"/>
      <c r="E225" s="31"/>
      <c r="F225" s="22"/>
      <c r="G225" s="22"/>
    </row>
    <row r="226" spans="1:7" x14ac:dyDescent="0.3">
      <c r="A226" s="51"/>
      <c r="B226" s="22"/>
      <c r="C226" s="31"/>
      <c r="D226" s="31"/>
      <c r="E226" s="31"/>
      <c r="F226" s="22"/>
      <c r="G226" s="22"/>
    </row>
    <row r="227" spans="1:7" x14ac:dyDescent="0.3">
      <c r="A227" s="51"/>
      <c r="B227" s="22"/>
      <c r="C227" s="31"/>
      <c r="D227" s="31"/>
      <c r="E227" s="31"/>
      <c r="F227" s="22"/>
      <c r="G227" s="22"/>
    </row>
    <row r="228" spans="1:7" x14ac:dyDescent="0.3">
      <c r="A228" s="51"/>
      <c r="B228" s="22"/>
      <c r="C228" s="31"/>
      <c r="D228" s="31"/>
      <c r="E228" s="31"/>
      <c r="F228" s="22"/>
      <c r="G228" s="22"/>
    </row>
    <row r="229" spans="1:7" x14ac:dyDescent="0.3">
      <c r="A229" s="51"/>
      <c r="B229" s="22"/>
      <c r="C229" s="31"/>
      <c r="D229" s="31"/>
      <c r="E229" s="31"/>
      <c r="F229" s="22"/>
      <c r="G229" s="22"/>
    </row>
    <row r="230" spans="1:7" x14ac:dyDescent="0.3">
      <c r="A230" s="51"/>
      <c r="B230" s="22"/>
      <c r="C230" s="31"/>
      <c r="D230" s="31"/>
      <c r="E230" s="31"/>
      <c r="F230" s="22"/>
      <c r="G230" s="22"/>
    </row>
    <row r="231" spans="1:7" x14ac:dyDescent="0.3">
      <c r="A231" s="51"/>
      <c r="B231" s="22"/>
      <c r="C231" s="31"/>
      <c r="D231" s="31"/>
      <c r="E231" s="31"/>
      <c r="F231" s="22"/>
      <c r="G231" s="22"/>
    </row>
    <row r="232" spans="1:7" x14ac:dyDescent="0.3">
      <c r="A232" s="51"/>
      <c r="B232" s="22"/>
      <c r="C232" s="31"/>
      <c r="D232" s="31"/>
      <c r="E232" s="31"/>
      <c r="F232" s="22"/>
      <c r="G232" s="22"/>
    </row>
    <row r="233" spans="1:7" x14ac:dyDescent="0.3">
      <c r="A233" s="51"/>
      <c r="B233" s="22"/>
      <c r="C233" s="31"/>
      <c r="D233" s="31"/>
      <c r="E233" s="31"/>
      <c r="F233" s="22"/>
      <c r="G233" s="22"/>
    </row>
    <row r="234" spans="1:7" x14ac:dyDescent="0.3">
      <c r="A234" s="51"/>
      <c r="B234" s="22"/>
      <c r="C234" s="31"/>
      <c r="D234" s="31"/>
      <c r="E234" s="31"/>
      <c r="F234" s="22"/>
      <c r="G234" s="22"/>
    </row>
    <row r="235" spans="1:7" x14ac:dyDescent="0.3">
      <c r="A235" s="51"/>
      <c r="B235" s="22"/>
      <c r="C235" s="31"/>
      <c r="D235" s="31"/>
      <c r="E235" s="31"/>
      <c r="F235" s="22"/>
      <c r="G235" s="22"/>
    </row>
    <row r="236" spans="1:7" x14ac:dyDescent="0.3">
      <c r="A236" s="51"/>
      <c r="B236" s="22"/>
      <c r="C236" s="31"/>
      <c r="D236" s="31"/>
      <c r="E236" s="31"/>
      <c r="F236" s="22"/>
      <c r="G236" s="22"/>
    </row>
    <row r="237" spans="1:7" x14ac:dyDescent="0.3">
      <c r="A237" s="51"/>
      <c r="B237" s="22"/>
      <c r="C237" s="31"/>
      <c r="D237" s="31"/>
      <c r="E237" s="31"/>
      <c r="F237" s="22"/>
      <c r="G237" s="22"/>
    </row>
    <row r="238" spans="1:7" x14ac:dyDescent="0.3">
      <c r="A238" s="51"/>
      <c r="B238" s="22"/>
      <c r="C238" s="31"/>
      <c r="D238" s="31"/>
      <c r="E238" s="31"/>
      <c r="F238" s="22"/>
      <c r="G238" s="22"/>
    </row>
    <row r="239" spans="1:7" x14ac:dyDescent="0.3">
      <c r="A239" s="51"/>
      <c r="B239" s="22"/>
      <c r="C239" s="31"/>
      <c r="D239" s="31"/>
      <c r="E239" s="31"/>
      <c r="F239" s="22"/>
      <c r="G239" s="22"/>
    </row>
    <row r="240" spans="1:7" x14ac:dyDescent="0.3">
      <c r="A240" s="51"/>
      <c r="B240" s="22"/>
      <c r="C240" s="31"/>
      <c r="D240" s="31"/>
      <c r="E240" s="31"/>
      <c r="F240" s="22"/>
      <c r="G240" s="22"/>
    </row>
    <row r="241" spans="1:7" x14ac:dyDescent="0.3">
      <c r="A241" s="51"/>
      <c r="B241" s="22"/>
      <c r="C241" s="31"/>
      <c r="D241" s="31"/>
      <c r="E241" s="31"/>
      <c r="F241" s="22"/>
      <c r="G241" s="22"/>
    </row>
    <row r="242" spans="1:7" x14ac:dyDescent="0.3">
      <c r="A242" s="51"/>
      <c r="B242" s="22"/>
      <c r="C242" s="31"/>
      <c r="D242" s="31"/>
      <c r="E242" s="31"/>
      <c r="F242" s="22"/>
      <c r="G242" s="22"/>
    </row>
    <row r="243" spans="1:7" x14ac:dyDescent="0.3">
      <c r="A243" s="51"/>
      <c r="B243" s="22"/>
      <c r="C243" s="31"/>
      <c r="D243" s="31"/>
      <c r="E243" s="31"/>
      <c r="F243" s="22"/>
      <c r="G243" s="22"/>
    </row>
    <row r="244" spans="1:7" x14ac:dyDescent="0.3">
      <c r="A244" s="51"/>
      <c r="B244" s="22"/>
      <c r="C244" s="31"/>
      <c r="D244" s="31"/>
      <c r="E244" s="31"/>
      <c r="F244" s="22"/>
      <c r="G244" s="22"/>
    </row>
    <row r="245" spans="1:7" x14ac:dyDescent="0.3">
      <c r="A245" s="51"/>
      <c r="B245" s="22"/>
      <c r="C245" s="31"/>
      <c r="D245" s="31"/>
      <c r="E245" s="31"/>
      <c r="F245" s="22"/>
      <c r="G245" s="22"/>
    </row>
    <row r="246" spans="1:7" x14ac:dyDescent="0.3">
      <c r="A246" s="51"/>
      <c r="B246" s="22"/>
      <c r="C246" s="31"/>
      <c r="D246" s="31"/>
      <c r="E246" s="31"/>
      <c r="F246" s="22"/>
      <c r="G246" s="22"/>
    </row>
    <row r="247" spans="1:7" x14ac:dyDescent="0.3">
      <c r="A247" s="51"/>
      <c r="B247" s="22"/>
      <c r="C247" s="31"/>
      <c r="D247" s="31"/>
      <c r="E247" s="31"/>
      <c r="F247" s="22"/>
      <c r="G247" s="22"/>
    </row>
    <row r="248" spans="1:7" x14ac:dyDescent="0.3">
      <c r="A248" s="51"/>
      <c r="B248" s="22"/>
      <c r="C248" s="31"/>
      <c r="D248" s="31"/>
      <c r="E248" s="31"/>
      <c r="F248" s="22"/>
      <c r="G248" s="22"/>
    </row>
    <row r="249" spans="1:7" x14ac:dyDescent="0.3">
      <c r="A249" s="51"/>
      <c r="B249" s="22"/>
      <c r="C249" s="31"/>
      <c r="D249" s="31"/>
      <c r="E249" s="31"/>
      <c r="F249" s="22"/>
      <c r="G249" s="22"/>
    </row>
    <row r="250" spans="1:7" x14ac:dyDescent="0.3">
      <c r="A250" s="51"/>
      <c r="B250" s="22"/>
      <c r="C250" s="31"/>
      <c r="D250" s="31"/>
      <c r="E250" s="31"/>
      <c r="F250" s="22"/>
      <c r="G250" s="22"/>
    </row>
    <row r="251" spans="1:7" x14ac:dyDescent="0.3">
      <c r="A251" s="51"/>
      <c r="B251" s="22"/>
      <c r="C251" s="31"/>
      <c r="D251" s="31"/>
      <c r="E251" s="31"/>
      <c r="F251" s="22"/>
      <c r="G251" s="22"/>
    </row>
    <row r="252" spans="1:7" x14ac:dyDescent="0.3">
      <c r="A252" s="51"/>
      <c r="B252" s="22"/>
      <c r="C252" s="31"/>
      <c r="D252" s="31"/>
      <c r="E252" s="31"/>
      <c r="F252" s="22"/>
      <c r="G252" s="22"/>
    </row>
    <row r="253" spans="1:7" x14ac:dyDescent="0.3">
      <c r="A253" s="51"/>
      <c r="B253" s="22"/>
      <c r="C253" s="31"/>
      <c r="D253" s="31"/>
      <c r="E253" s="31"/>
      <c r="F253" s="22"/>
      <c r="G253" s="22"/>
    </row>
    <row r="254" spans="1:7" x14ac:dyDescent="0.3">
      <c r="A254" s="51"/>
      <c r="B254" s="22"/>
      <c r="C254" s="31"/>
      <c r="D254" s="31"/>
      <c r="E254" s="31"/>
      <c r="F254" s="22"/>
      <c r="G254" s="22"/>
    </row>
    <row r="255" spans="1:7" x14ac:dyDescent="0.3">
      <c r="A255" s="51"/>
      <c r="B255" s="22"/>
      <c r="C255" s="31"/>
      <c r="D255" s="31"/>
      <c r="E255" s="31"/>
      <c r="F255" s="22"/>
      <c r="G255" s="22"/>
    </row>
    <row r="256" spans="1:7" x14ac:dyDescent="0.3">
      <c r="A256" s="51"/>
      <c r="B256" s="22"/>
      <c r="C256" s="31"/>
      <c r="D256" s="31"/>
      <c r="E256" s="31"/>
      <c r="F256" s="22"/>
      <c r="G256" s="22"/>
    </row>
    <row r="257" spans="1:7" x14ac:dyDescent="0.3">
      <c r="A257" s="51"/>
      <c r="B257" s="22"/>
      <c r="C257" s="31"/>
      <c r="D257" s="31"/>
      <c r="E257" s="31"/>
      <c r="F257" s="22"/>
      <c r="G257" s="22"/>
    </row>
    <row r="258" spans="1:7" x14ac:dyDescent="0.3">
      <c r="A258" s="51"/>
      <c r="B258" s="22"/>
      <c r="C258" s="31"/>
      <c r="D258" s="31"/>
      <c r="E258" s="31"/>
      <c r="F258" s="22"/>
      <c r="G258" s="22"/>
    </row>
    <row r="259" spans="1:7" x14ac:dyDescent="0.3">
      <c r="A259" s="51"/>
      <c r="B259" s="22"/>
      <c r="C259" s="31"/>
      <c r="D259" s="31"/>
      <c r="E259" s="31"/>
      <c r="F259" s="22"/>
      <c r="G259" s="22"/>
    </row>
    <row r="260" spans="1:7" x14ac:dyDescent="0.3">
      <c r="A260" s="51"/>
      <c r="B260" s="22"/>
      <c r="C260" s="31"/>
      <c r="D260" s="31"/>
      <c r="E260" s="31"/>
      <c r="F260" s="22"/>
      <c r="G260" s="22"/>
    </row>
    <row r="261" spans="1:7" x14ac:dyDescent="0.3">
      <c r="A261" s="51"/>
      <c r="B261" s="22"/>
      <c r="C261" s="31"/>
      <c r="D261" s="31"/>
      <c r="E261" s="31"/>
      <c r="F261" s="22"/>
      <c r="G261" s="22"/>
    </row>
    <row r="262" spans="1:7" x14ac:dyDescent="0.3">
      <c r="A262" s="51"/>
      <c r="B262" s="22"/>
      <c r="C262" s="31"/>
      <c r="D262" s="31"/>
      <c r="E262" s="31"/>
      <c r="F262" s="22"/>
      <c r="G262" s="22"/>
    </row>
    <row r="263" spans="1:7" x14ac:dyDescent="0.3">
      <c r="A263" s="51"/>
      <c r="B263" s="22"/>
      <c r="C263" s="31"/>
      <c r="D263" s="31"/>
      <c r="E263" s="31"/>
      <c r="F263" s="22"/>
      <c r="G263" s="22"/>
    </row>
    <row r="264" spans="1:7" x14ac:dyDescent="0.3">
      <c r="A264" s="51"/>
      <c r="B264" s="22"/>
      <c r="C264" s="31"/>
      <c r="D264" s="31"/>
      <c r="E264" s="31"/>
      <c r="F264" s="22"/>
      <c r="G264" s="22"/>
    </row>
    <row r="265" spans="1:7" x14ac:dyDescent="0.3">
      <c r="A265" s="51"/>
      <c r="B265" s="22"/>
      <c r="C265" s="31"/>
      <c r="D265" s="31"/>
      <c r="E265" s="31"/>
      <c r="F265" s="22"/>
      <c r="G265" s="22"/>
    </row>
    <row r="266" spans="1:7" x14ac:dyDescent="0.3">
      <c r="A266" s="51"/>
      <c r="B266" s="22"/>
      <c r="C266" s="31"/>
      <c r="D266" s="31"/>
      <c r="E266" s="31"/>
      <c r="F266" s="22"/>
      <c r="G266" s="22"/>
    </row>
    <row r="267" spans="1:7" x14ac:dyDescent="0.3">
      <c r="A267" s="51"/>
      <c r="B267" s="22"/>
      <c r="C267" s="31"/>
      <c r="D267" s="31"/>
      <c r="E267" s="31"/>
      <c r="F267" s="22"/>
      <c r="G267" s="22"/>
    </row>
    <row r="268" spans="1:7" x14ac:dyDescent="0.3">
      <c r="A268" s="51"/>
      <c r="B268" s="22"/>
      <c r="C268" s="31"/>
      <c r="D268" s="31"/>
      <c r="E268" s="31"/>
      <c r="F268" s="22"/>
      <c r="G268" s="22"/>
    </row>
    <row r="269" spans="1:7" x14ac:dyDescent="0.3">
      <c r="A269" s="51"/>
      <c r="B269" s="22"/>
      <c r="C269" s="31"/>
      <c r="D269" s="31"/>
      <c r="E269" s="31"/>
      <c r="F269" s="22"/>
      <c r="G269" s="22"/>
    </row>
    <row r="270" spans="1:7" x14ac:dyDescent="0.3">
      <c r="A270" s="51"/>
      <c r="B270" s="22"/>
      <c r="C270" s="31"/>
      <c r="D270" s="31"/>
      <c r="E270" s="31"/>
      <c r="F270" s="22"/>
      <c r="G270" s="22"/>
    </row>
    <row r="271" spans="1:7" x14ac:dyDescent="0.3">
      <c r="A271" s="51"/>
      <c r="B271" s="22"/>
      <c r="C271" s="31"/>
      <c r="D271" s="31"/>
      <c r="E271" s="31"/>
      <c r="F271" s="22"/>
      <c r="G271" s="22"/>
    </row>
    <row r="272" spans="1:7" x14ac:dyDescent="0.3">
      <c r="A272" s="51"/>
      <c r="B272" s="22"/>
      <c r="C272" s="31"/>
      <c r="D272" s="31"/>
      <c r="E272" s="31"/>
      <c r="F272" s="22"/>
      <c r="G272" s="22"/>
    </row>
    <row r="273" spans="1:7" x14ac:dyDescent="0.3">
      <c r="A273" s="51"/>
      <c r="B273" s="22"/>
      <c r="C273" s="31"/>
      <c r="D273" s="31"/>
      <c r="E273" s="31"/>
      <c r="F273" s="22"/>
      <c r="G273" s="22"/>
    </row>
    <row r="274" spans="1:7" x14ac:dyDescent="0.3">
      <c r="A274" s="51"/>
      <c r="B274" s="22"/>
      <c r="C274" s="31"/>
      <c r="D274" s="31"/>
      <c r="E274" s="31"/>
      <c r="F274" s="22"/>
      <c r="G274" s="22"/>
    </row>
    <row r="275" spans="1:7" x14ac:dyDescent="0.3">
      <c r="A275" s="51"/>
      <c r="B275" s="22"/>
      <c r="C275" s="31"/>
      <c r="D275" s="31"/>
      <c r="E275" s="31"/>
      <c r="F275" s="22"/>
      <c r="G275" s="22"/>
    </row>
    <row r="276" spans="1:7" x14ac:dyDescent="0.3">
      <c r="A276" s="51"/>
      <c r="B276" s="22"/>
      <c r="C276" s="31"/>
      <c r="D276" s="31"/>
      <c r="E276" s="31"/>
      <c r="F276" s="22"/>
      <c r="G276" s="22"/>
    </row>
    <row r="277" spans="1:7" x14ac:dyDescent="0.3">
      <c r="A277" s="51"/>
      <c r="B277" s="22"/>
      <c r="C277" s="31"/>
      <c r="D277" s="31"/>
      <c r="E277" s="31"/>
      <c r="F277" s="22"/>
      <c r="G277" s="22"/>
    </row>
    <row r="278" spans="1:7" x14ac:dyDescent="0.3">
      <c r="A278" s="51"/>
      <c r="B278" s="22"/>
      <c r="C278" s="31"/>
      <c r="D278" s="31"/>
      <c r="E278" s="31"/>
      <c r="F278" s="22"/>
      <c r="G278" s="22"/>
    </row>
    <row r="279" spans="1:7" x14ac:dyDescent="0.3">
      <c r="A279" s="51"/>
      <c r="B279" s="22"/>
      <c r="C279" s="31"/>
      <c r="D279" s="31"/>
      <c r="E279" s="31"/>
      <c r="F279" s="22"/>
      <c r="G279" s="22"/>
    </row>
    <row r="280" spans="1:7" x14ac:dyDescent="0.3">
      <c r="A280" s="51"/>
      <c r="B280" s="22"/>
      <c r="C280" s="31"/>
      <c r="D280" s="31"/>
      <c r="E280" s="31"/>
      <c r="F280" s="22"/>
      <c r="G280" s="22"/>
    </row>
    <row r="281" spans="1:7" x14ac:dyDescent="0.3">
      <c r="A281" s="51"/>
      <c r="B281" s="22"/>
      <c r="C281" s="31"/>
      <c r="D281" s="31"/>
      <c r="E281" s="31"/>
      <c r="F281" s="22"/>
      <c r="G281" s="22"/>
    </row>
    <row r="282" spans="1:7" x14ac:dyDescent="0.3">
      <c r="A282" s="51"/>
      <c r="B282" s="22"/>
      <c r="C282" s="31"/>
      <c r="D282" s="31"/>
      <c r="E282" s="31"/>
      <c r="F282" s="22"/>
      <c r="G282" s="22"/>
    </row>
    <row r="283" spans="1:7" x14ac:dyDescent="0.3">
      <c r="A283" s="51"/>
      <c r="B283" s="22"/>
      <c r="C283" s="31"/>
      <c r="D283" s="31"/>
      <c r="E283" s="31"/>
      <c r="F283" s="22"/>
      <c r="G283" s="22"/>
    </row>
    <row r="284" spans="1:7" x14ac:dyDescent="0.3">
      <c r="A284" s="51"/>
      <c r="B284" s="22"/>
      <c r="C284" s="31"/>
      <c r="D284" s="31"/>
      <c r="E284" s="31"/>
      <c r="F284" s="22"/>
      <c r="G284" s="22"/>
    </row>
    <row r="285" spans="1:7" x14ac:dyDescent="0.3">
      <c r="A285" s="51"/>
      <c r="B285" s="22"/>
      <c r="C285" s="31"/>
      <c r="D285" s="31"/>
      <c r="E285" s="31"/>
      <c r="F285" s="22"/>
      <c r="G285" s="22"/>
    </row>
    <row r="286" spans="1:7" x14ac:dyDescent="0.3">
      <c r="A286" s="51"/>
      <c r="B286" s="22"/>
      <c r="C286" s="31"/>
      <c r="D286" s="31"/>
      <c r="E286" s="31"/>
      <c r="F286" s="22"/>
      <c r="G286" s="22"/>
    </row>
    <row r="287" spans="1:7" x14ac:dyDescent="0.3">
      <c r="A287" s="51"/>
      <c r="B287" s="22"/>
      <c r="C287" s="31"/>
      <c r="D287" s="31"/>
      <c r="E287" s="31"/>
      <c r="F287" s="22"/>
      <c r="G287" s="22"/>
    </row>
    <row r="288" spans="1:7" x14ac:dyDescent="0.3">
      <c r="A288" s="51"/>
      <c r="B288" s="22"/>
      <c r="C288" s="31"/>
      <c r="D288" s="31"/>
      <c r="E288" s="31"/>
      <c r="F288" s="22"/>
      <c r="G288" s="22"/>
    </row>
    <row r="289" spans="1:7" x14ac:dyDescent="0.3">
      <c r="A289" s="51"/>
      <c r="B289" s="22"/>
      <c r="C289" s="31"/>
      <c r="D289" s="31"/>
      <c r="E289" s="31"/>
      <c r="F289" s="22"/>
      <c r="G289" s="22"/>
    </row>
    <row r="290" spans="1:7" x14ac:dyDescent="0.3">
      <c r="A290" s="51"/>
      <c r="B290" s="22"/>
      <c r="C290" s="31"/>
      <c r="D290" s="31"/>
      <c r="E290" s="31"/>
      <c r="F290" s="22"/>
      <c r="G290" s="22"/>
    </row>
    <row r="291" spans="1:7" x14ac:dyDescent="0.3">
      <c r="A291" s="51"/>
      <c r="B291" s="22"/>
      <c r="C291" s="31"/>
      <c r="D291" s="31"/>
      <c r="E291" s="31"/>
      <c r="F291" s="22"/>
      <c r="G291" s="22"/>
    </row>
    <row r="292" spans="1:7" x14ac:dyDescent="0.3">
      <c r="A292" s="51"/>
      <c r="B292" s="22"/>
      <c r="C292" s="31"/>
      <c r="D292" s="31"/>
      <c r="E292" s="31"/>
      <c r="F292" s="22"/>
      <c r="G292" s="22"/>
    </row>
    <row r="293" spans="1:7" x14ac:dyDescent="0.3">
      <c r="A293" s="51"/>
      <c r="B293" s="22"/>
      <c r="C293" s="31"/>
      <c r="D293" s="31"/>
      <c r="E293" s="31"/>
      <c r="F293" s="22"/>
      <c r="G293" s="22"/>
    </row>
    <row r="294" spans="1:7" x14ac:dyDescent="0.3">
      <c r="A294" s="51"/>
      <c r="B294" s="22"/>
      <c r="C294" s="31"/>
      <c r="D294" s="31"/>
      <c r="E294" s="31"/>
      <c r="F294" s="22"/>
      <c r="G294" s="22"/>
    </row>
    <row r="295" spans="1:7" x14ac:dyDescent="0.3">
      <c r="A295" s="51"/>
      <c r="B295" s="22"/>
      <c r="C295" s="31"/>
      <c r="D295" s="31"/>
      <c r="E295" s="31"/>
      <c r="F295" s="22"/>
      <c r="G295" s="22"/>
    </row>
    <row r="296" spans="1:7" x14ac:dyDescent="0.3">
      <c r="A296" s="51"/>
      <c r="B296" s="22"/>
      <c r="C296" s="31"/>
      <c r="D296" s="31"/>
      <c r="E296" s="31"/>
      <c r="F296" s="22"/>
      <c r="G296" s="22"/>
    </row>
    <row r="297" spans="1:7" x14ac:dyDescent="0.3">
      <c r="A297" s="51"/>
      <c r="B297" s="22"/>
      <c r="C297" s="31"/>
      <c r="D297" s="31"/>
      <c r="E297" s="31"/>
      <c r="F297" s="22"/>
      <c r="G297" s="22"/>
    </row>
    <row r="298" spans="1:7" x14ac:dyDescent="0.3">
      <c r="A298" s="51"/>
      <c r="B298" s="22"/>
      <c r="C298" s="31"/>
      <c r="D298" s="31"/>
      <c r="E298" s="31"/>
      <c r="F298" s="22"/>
      <c r="G298" s="22"/>
    </row>
    <row r="299" spans="1:7" x14ac:dyDescent="0.3">
      <c r="A299" s="51"/>
      <c r="B299" s="22"/>
      <c r="C299" s="31"/>
      <c r="D299" s="31"/>
      <c r="E299" s="31"/>
      <c r="F299" s="22"/>
      <c r="G299" s="22"/>
    </row>
    <row r="300" spans="1:7" x14ac:dyDescent="0.3">
      <c r="A300" s="51"/>
      <c r="B300" s="22"/>
      <c r="C300" s="31"/>
      <c r="D300" s="31"/>
      <c r="E300" s="31"/>
      <c r="F300" s="22"/>
      <c r="G300" s="22"/>
    </row>
    <row r="301" spans="1:7" x14ac:dyDescent="0.3">
      <c r="A301" s="51"/>
      <c r="B301" s="22"/>
      <c r="C301" s="31"/>
      <c r="D301" s="31"/>
      <c r="E301" s="31"/>
      <c r="F301" s="22"/>
      <c r="G301" s="22"/>
    </row>
    <row r="302" spans="1:7" x14ac:dyDescent="0.3">
      <c r="A302" s="51"/>
      <c r="B302" s="22"/>
      <c r="C302" s="31"/>
      <c r="D302" s="31"/>
      <c r="E302" s="31"/>
      <c r="F302" s="22"/>
      <c r="G302" s="22"/>
    </row>
    <row r="303" spans="1:7" x14ac:dyDescent="0.3">
      <c r="A303" s="51"/>
      <c r="B303" s="22"/>
      <c r="C303" s="31"/>
      <c r="D303" s="31"/>
      <c r="E303" s="31"/>
      <c r="F303" s="22"/>
      <c r="G303" s="22"/>
    </row>
    <row r="304" spans="1:7" x14ac:dyDescent="0.3">
      <c r="A304" s="51"/>
      <c r="B304" s="22"/>
      <c r="C304" s="31"/>
      <c r="D304" s="31"/>
      <c r="E304" s="31"/>
      <c r="F304" s="22"/>
      <c r="G304" s="22"/>
    </row>
    <row r="305" spans="1:7" x14ac:dyDescent="0.3">
      <c r="A305" s="51"/>
      <c r="B305" s="22"/>
      <c r="C305" s="31"/>
      <c r="D305" s="31"/>
      <c r="E305" s="31"/>
      <c r="F305" s="22"/>
      <c r="G305" s="22"/>
    </row>
    <row r="306" spans="1:7" x14ac:dyDescent="0.3">
      <c r="A306" s="51"/>
      <c r="B306" s="22"/>
      <c r="C306" s="31"/>
      <c r="D306" s="31"/>
      <c r="E306" s="31"/>
      <c r="F306" s="22"/>
      <c r="G306" s="22"/>
    </row>
    <row r="307" spans="1:7" x14ac:dyDescent="0.3">
      <c r="A307" s="51"/>
      <c r="B307" s="22"/>
      <c r="C307" s="31"/>
      <c r="D307" s="31"/>
      <c r="E307" s="31"/>
      <c r="F307" s="22"/>
      <c r="G307" s="22"/>
    </row>
    <row r="308" spans="1:7" x14ac:dyDescent="0.3">
      <c r="A308" s="51"/>
      <c r="B308" s="22"/>
      <c r="C308" s="31"/>
      <c r="D308" s="31"/>
      <c r="E308" s="31"/>
      <c r="F308" s="22"/>
      <c r="G308" s="22"/>
    </row>
    <row r="309" spans="1:7" x14ac:dyDescent="0.3">
      <c r="A309" s="51"/>
      <c r="B309" s="22"/>
      <c r="C309" s="31"/>
      <c r="D309" s="31"/>
      <c r="E309" s="31"/>
      <c r="F309" s="22"/>
      <c r="G309" s="22"/>
    </row>
    <row r="310" spans="1:7" x14ac:dyDescent="0.3">
      <c r="A310" s="51"/>
      <c r="B310" s="22"/>
      <c r="C310" s="31"/>
      <c r="D310" s="31"/>
      <c r="E310" s="31"/>
      <c r="F310" s="22"/>
      <c r="G310" s="22"/>
    </row>
    <row r="311" spans="1:7" x14ac:dyDescent="0.3">
      <c r="A311" s="51"/>
      <c r="B311" s="22"/>
      <c r="C311" s="31"/>
      <c r="D311" s="31"/>
      <c r="E311" s="31"/>
      <c r="F311" s="22"/>
      <c r="G311" s="22"/>
    </row>
    <row r="312" spans="1:7" x14ac:dyDescent="0.3">
      <c r="A312" s="51"/>
      <c r="B312" s="22"/>
      <c r="C312" s="31"/>
      <c r="D312" s="31"/>
      <c r="E312" s="31"/>
      <c r="F312" s="22"/>
      <c r="G312" s="22"/>
    </row>
    <row r="313" spans="1:7" x14ac:dyDescent="0.3">
      <c r="A313" s="51"/>
      <c r="B313" s="22"/>
      <c r="C313" s="31"/>
      <c r="D313" s="31"/>
      <c r="E313" s="31"/>
      <c r="F313" s="22"/>
      <c r="G313" s="22"/>
    </row>
    <row r="314" spans="1:7" x14ac:dyDescent="0.3">
      <c r="A314" s="51"/>
      <c r="B314" s="22"/>
      <c r="C314" s="31"/>
      <c r="D314" s="31"/>
      <c r="E314" s="31"/>
      <c r="F314" s="22"/>
      <c r="G314" s="22"/>
    </row>
    <row r="315" spans="1:7" x14ac:dyDescent="0.3">
      <c r="A315" s="51"/>
      <c r="B315" s="22"/>
      <c r="C315" s="31"/>
      <c r="D315" s="31"/>
      <c r="E315" s="31"/>
      <c r="F315" s="22"/>
      <c r="G315" s="22"/>
    </row>
    <row r="316" spans="1:7" x14ac:dyDescent="0.3">
      <c r="A316" s="51"/>
      <c r="B316" s="22"/>
      <c r="C316" s="31"/>
      <c r="D316" s="31"/>
      <c r="E316" s="31"/>
      <c r="F316" s="22"/>
      <c r="G316" s="22"/>
    </row>
    <row r="317" spans="1:7" x14ac:dyDescent="0.3">
      <c r="A317" s="51"/>
      <c r="B317" s="22"/>
      <c r="C317" s="31"/>
      <c r="D317" s="31"/>
      <c r="E317" s="31"/>
      <c r="F317" s="22"/>
      <c r="G317" s="22"/>
    </row>
    <row r="318" spans="1:7" x14ac:dyDescent="0.3">
      <c r="A318" s="51"/>
      <c r="B318" s="22"/>
      <c r="C318" s="31"/>
      <c r="D318" s="31"/>
      <c r="E318" s="31"/>
      <c r="F318" s="22"/>
      <c r="G318" s="22"/>
    </row>
    <row r="319" spans="1:7" x14ac:dyDescent="0.3">
      <c r="A319" s="51"/>
      <c r="B319" s="22"/>
      <c r="C319" s="31"/>
      <c r="D319" s="31"/>
      <c r="E319" s="31"/>
      <c r="F319" s="22"/>
      <c r="G319" s="22"/>
    </row>
    <row r="320" spans="1:7" x14ac:dyDescent="0.3">
      <c r="A320" s="51"/>
      <c r="B320" s="22"/>
      <c r="C320" s="31"/>
      <c r="D320" s="31"/>
      <c r="E320" s="31"/>
      <c r="F320" s="22"/>
      <c r="G320" s="22"/>
    </row>
    <row r="321" spans="1:7" x14ac:dyDescent="0.3">
      <c r="A321" s="51"/>
      <c r="B321" s="22"/>
      <c r="C321" s="31"/>
      <c r="D321" s="31"/>
      <c r="E321" s="31"/>
      <c r="F321" s="22"/>
      <c r="G321" s="22"/>
    </row>
    <row r="322" spans="1:7" x14ac:dyDescent="0.3">
      <c r="A322" s="51"/>
      <c r="B322" s="22"/>
      <c r="C322" s="31"/>
      <c r="D322" s="31"/>
      <c r="E322" s="31"/>
      <c r="F322" s="22"/>
      <c r="G322" s="22"/>
    </row>
    <row r="323" spans="1:7" x14ac:dyDescent="0.3">
      <c r="A323" s="51"/>
      <c r="B323" s="22"/>
      <c r="C323" s="31"/>
      <c r="D323" s="31"/>
      <c r="E323" s="31"/>
      <c r="F323" s="22"/>
      <c r="G323" s="22"/>
    </row>
    <row r="324" spans="1:7" x14ac:dyDescent="0.3">
      <c r="A324" s="51"/>
      <c r="B324" s="22"/>
      <c r="C324" s="31"/>
      <c r="D324" s="31"/>
      <c r="E324" s="31"/>
      <c r="F324" s="22"/>
      <c r="G324" s="22"/>
    </row>
    <row r="325" spans="1:7" x14ac:dyDescent="0.3">
      <c r="A325" s="51"/>
      <c r="B325" s="22"/>
      <c r="C325" s="31"/>
      <c r="D325" s="31"/>
      <c r="E325" s="31"/>
      <c r="F325" s="22"/>
      <c r="G325" s="22"/>
    </row>
    <row r="326" spans="1:7" x14ac:dyDescent="0.3">
      <c r="A326" s="51"/>
      <c r="B326" s="22"/>
      <c r="C326" s="31"/>
      <c r="D326" s="31"/>
      <c r="E326" s="31"/>
      <c r="F326" s="22"/>
      <c r="G326" s="22"/>
    </row>
    <row r="327" spans="1:7" x14ac:dyDescent="0.3">
      <c r="A327" s="51"/>
      <c r="B327" s="22"/>
      <c r="C327" s="31"/>
      <c r="D327" s="31"/>
      <c r="E327" s="31"/>
      <c r="F327" s="22"/>
      <c r="G327" s="22"/>
    </row>
    <row r="328" spans="1:7" x14ac:dyDescent="0.3">
      <c r="A328" s="51"/>
      <c r="B328" s="22"/>
      <c r="C328" s="31"/>
      <c r="D328" s="31"/>
      <c r="E328" s="31"/>
      <c r="F328" s="22"/>
      <c r="G328" s="22"/>
    </row>
    <row r="329" spans="1:7" x14ac:dyDescent="0.3">
      <c r="A329" s="51"/>
      <c r="B329" s="22"/>
      <c r="C329" s="31"/>
      <c r="D329" s="31"/>
      <c r="E329" s="31"/>
      <c r="F329" s="22"/>
      <c r="G329" s="22"/>
    </row>
    <row r="330" spans="1:7" x14ac:dyDescent="0.3">
      <c r="A330" s="51"/>
      <c r="B330" s="22"/>
      <c r="C330" s="31"/>
      <c r="D330" s="31"/>
      <c r="E330" s="31"/>
      <c r="F330" s="22"/>
      <c r="G330" s="22"/>
    </row>
    <row r="331" spans="1:7" x14ac:dyDescent="0.3">
      <c r="A331" s="51"/>
      <c r="B331" s="22"/>
      <c r="C331" s="31"/>
      <c r="D331" s="31"/>
      <c r="E331" s="31"/>
      <c r="F331" s="22"/>
      <c r="G331" s="22"/>
    </row>
    <row r="332" spans="1:7" x14ac:dyDescent="0.3">
      <c r="A332" s="51"/>
      <c r="B332" s="22"/>
      <c r="C332" s="31"/>
      <c r="D332" s="31"/>
      <c r="E332" s="31"/>
      <c r="F332" s="22"/>
      <c r="G332" s="22"/>
    </row>
    <row r="333" spans="1:7" x14ac:dyDescent="0.3">
      <c r="A333" s="51"/>
      <c r="B333" s="22"/>
      <c r="C333" s="31"/>
      <c r="D333" s="31"/>
      <c r="E333" s="31"/>
      <c r="F333" s="22"/>
      <c r="G333" s="22"/>
    </row>
    <row r="334" spans="1:7" x14ac:dyDescent="0.3">
      <c r="A334" s="51"/>
      <c r="B334" s="22"/>
      <c r="C334" s="31"/>
      <c r="D334" s="31"/>
      <c r="E334" s="31"/>
      <c r="F334" s="22"/>
      <c r="G334" s="22"/>
    </row>
    <row r="335" spans="1:7" x14ac:dyDescent="0.3">
      <c r="A335" s="51"/>
      <c r="B335" s="22"/>
      <c r="C335" s="31"/>
      <c r="D335" s="31"/>
      <c r="E335" s="31"/>
      <c r="F335" s="22"/>
      <c r="G335" s="22"/>
    </row>
    <row r="336" spans="1:7" x14ac:dyDescent="0.3">
      <c r="A336" s="51"/>
      <c r="B336" s="22"/>
      <c r="C336" s="31"/>
      <c r="D336" s="31"/>
      <c r="E336" s="31"/>
      <c r="F336" s="22"/>
      <c r="G336" s="22"/>
    </row>
    <row r="337" spans="1:7" x14ac:dyDescent="0.3">
      <c r="A337" s="51"/>
      <c r="B337" s="22"/>
      <c r="C337" s="31"/>
      <c r="D337" s="31"/>
      <c r="E337" s="31"/>
      <c r="F337" s="22"/>
      <c r="G337" s="22"/>
    </row>
    <row r="338" spans="1:7" x14ac:dyDescent="0.3">
      <c r="A338" s="51"/>
      <c r="B338" s="22"/>
      <c r="C338" s="31"/>
      <c r="D338" s="31"/>
      <c r="E338" s="31"/>
      <c r="F338" s="22"/>
      <c r="G338" s="22"/>
    </row>
    <row r="339" spans="1:7" x14ac:dyDescent="0.3">
      <c r="A339" s="51"/>
      <c r="B339" s="22"/>
      <c r="C339" s="31"/>
      <c r="D339" s="31"/>
      <c r="E339" s="31"/>
      <c r="F339" s="22"/>
      <c r="G339" s="22"/>
    </row>
    <row r="340" spans="1:7" x14ac:dyDescent="0.3">
      <c r="A340" s="51"/>
      <c r="B340" s="22"/>
      <c r="C340" s="31"/>
      <c r="D340" s="31"/>
      <c r="E340" s="31"/>
      <c r="F340" s="22"/>
      <c r="G340" s="22"/>
    </row>
    <row r="341" spans="1:7" x14ac:dyDescent="0.3">
      <c r="A341" s="51"/>
      <c r="B341" s="22"/>
      <c r="C341" s="31"/>
      <c r="D341" s="31"/>
      <c r="E341" s="31"/>
      <c r="F341" s="22"/>
      <c r="G341" s="22"/>
    </row>
    <row r="342" spans="1:7" x14ac:dyDescent="0.3">
      <c r="A342" s="51"/>
      <c r="B342" s="22"/>
      <c r="C342" s="31"/>
      <c r="D342" s="31"/>
      <c r="E342" s="31"/>
      <c r="F342" s="22"/>
      <c r="G342" s="22"/>
    </row>
    <row r="343" spans="1:7" x14ac:dyDescent="0.3">
      <c r="A343" s="51"/>
      <c r="B343" s="22"/>
      <c r="C343" s="31"/>
      <c r="D343" s="31"/>
      <c r="E343" s="31"/>
      <c r="F343" s="22"/>
      <c r="G343" s="22"/>
    </row>
    <row r="344" spans="1:7" x14ac:dyDescent="0.3">
      <c r="A344" s="51"/>
      <c r="B344" s="22"/>
      <c r="C344" s="31"/>
      <c r="D344" s="31"/>
      <c r="E344" s="31"/>
      <c r="F344" s="22"/>
      <c r="G344" s="22"/>
    </row>
    <row r="345" spans="1:7" x14ac:dyDescent="0.3">
      <c r="A345" s="51"/>
      <c r="B345" s="22"/>
      <c r="C345" s="31"/>
      <c r="D345" s="31"/>
      <c r="E345" s="31"/>
      <c r="F345" s="22"/>
      <c r="G345" s="22"/>
    </row>
    <row r="346" spans="1:7" x14ac:dyDescent="0.3">
      <c r="A346" s="51"/>
      <c r="B346" s="22"/>
      <c r="C346" s="31"/>
      <c r="D346" s="31"/>
      <c r="E346" s="31"/>
      <c r="F346" s="22"/>
      <c r="G346" s="22"/>
    </row>
    <row r="347" spans="1:7" x14ac:dyDescent="0.3">
      <c r="A347" s="51"/>
      <c r="B347" s="22"/>
      <c r="C347" s="31"/>
      <c r="D347" s="31"/>
      <c r="E347" s="31"/>
      <c r="F347" s="22"/>
      <c r="G347" s="22"/>
    </row>
    <row r="348" spans="1:7" x14ac:dyDescent="0.3">
      <c r="A348" s="51"/>
      <c r="B348" s="22"/>
      <c r="C348" s="31"/>
      <c r="D348" s="31"/>
      <c r="E348" s="31"/>
      <c r="F348" s="22"/>
      <c r="G348" s="22"/>
    </row>
    <row r="349" spans="1:7" x14ac:dyDescent="0.3">
      <c r="A349" s="51"/>
      <c r="B349" s="22"/>
      <c r="C349" s="31"/>
      <c r="D349" s="31"/>
      <c r="E349" s="31"/>
      <c r="F349" s="22"/>
      <c r="G349" s="22"/>
    </row>
    <row r="350" spans="1:7" x14ac:dyDescent="0.3">
      <c r="A350" s="51"/>
      <c r="B350" s="22"/>
      <c r="C350" s="31"/>
      <c r="D350" s="31"/>
      <c r="E350" s="31"/>
      <c r="F350" s="22"/>
      <c r="G350" s="22"/>
    </row>
    <row r="351" spans="1:7" x14ac:dyDescent="0.3">
      <c r="A351" s="51"/>
      <c r="B351" s="22"/>
      <c r="C351" s="31"/>
      <c r="D351" s="31"/>
      <c r="E351" s="31"/>
      <c r="F351" s="22"/>
      <c r="G351" s="22"/>
    </row>
    <row r="352" spans="1:7" x14ac:dyDescent="0.3">
      <c r="A352" s="51"/>
      <c r="B352" s="22"/>
      <c r="C352" s="31"/>
      <c r="D352" s="31"/>
      <c r="E352" s="31"/>
      <c r="F352" s="22"/>
      <c r="G352" s="22"/>
    </row>
    <row r="353" spans="1:7" x14ac:dyDescent="0.3">
      <c r="A353" s="51"/>
      <c r="B353" s="22"/>
      <c r="C353" s="31"/>
      <c r="D353" s="31"/>
      <c r="E353" s="31"/>
      <c r="F353" s="22"/>
      <c r="G353" s="22"/>
    </row>
    <row r="354" spans="1:7" x14ac:dyDescent="0.3">
      <c r="A354" s="51"/>
      <c r="B354" s="22"/>
      <c r="C354" s="31"/>
      <c r="D354" s="31"/>
      <c r="E354" s="31"/>
      <c r="F354" s="22"/>
      <c r="G354" s="22"/>
    </row>
    <row r="355" spans="1:7" x14ac:dyDescent="0.3">
      <c r="A355" s="51"/>
      <c r="B355" s="22"/>
      <c r="C355" s="31"/>
      <c r="D355" s="31"/>
      <c r="E355" s="31"/>
      <c r="F355" s="22"/>
      <c r="G355" s="22"/>
    </row>
    <row r="356" spans="1:7" x14ac:dyDescent="0.3">
      <c r="A356" s="51"/>
      <c r="B356" s="22"/>
      <c r="C356" s="31"/>
      <c r="D356" s="31"/>
      <c r="E356" s="31"/>
      <c r="F356" s="22"/>
      <c r="G356" s="22"/>
    </row>
    <row r="357" spans="1:7" x14ac:dyDescent="0.3">
      <c r="A357" s="51"/>
      <c r="B357" s="22"/>
      <c r="C357" s="31"/>
      <c r="D357" s="31"/>
      <c r="E357" s="31"/>
      <c r="F357" s="22"/>
      <c r="G357" s="22"/>
    </row>
    <row r="358" spans="1:7" x14ac:dyDescent="0.3">
      <c r="A358" s="51"/>
      <c r="B358" s="22"/>
      <c r="C358" s="31"/>
      <c r="D358" s="31"/>
      <c r="E358" s="31"/>
      <c r="F358" s="22"/>
      <c r="G358" s="22"/>
    </row>
    <row r="359" spans="1:7" x14ac:dyDescent="0.3">
      <c r="A359" s="51"/>
      <c r="B359" s="22"/>
      <c r="C359" s="31"/>
      <c r="D359" s="31"/>
      <c r="E359" s="31"/>
      <c r="F359" s="22"/>
      <c r="G359" s="22"/>
    </row>
    <row r="360" spans="1:7" x14ac:dyDescent="0.3">
      <c r="A360" s="51"/>
      <c r="B360" s="22"/>
      <c r="C360" s="31"/>
      <c r="D360" s="31"/>
      <c r="E360" s="31"/>
      <c r="F360" s="22"/>
      <c r="G360" s="22"/>
    </row>
    <row r="361" spans="1:7" x14ac:dyDescent="0.3">
      <c r="A361" s="51"/>
      <c r="B361" s="22"/>
      <c r="C361" s="31"/>
      <c r="D361" s="31"/>
      <c r="E361" s="31"/>
      <c r="F361" s="22"/>
      <c r="G361" s="22"/>
    </row>
    <row r="362" spans="1:7" x14ac:dyDescent="0.3">
      <c r="A362" s="51"/>
      <c r="B362" s="22"/>
      <c r="C362" s="31"/>
      <c r="D362" s="31"/>
      <c r="E362" s="31"/>
      <c r="F362" s="22"/>
      <c r="G362" s="22"/>
    </row>
    <row r="363" spans="1:7" x14ac:dyDescent="0.3">
      <c r="A363" s="51"/>
      <c r="B363" s="22"/>
      <c r="C363" s="31"/>
      <c r="D363" s="31"/>
      <c r="E363" s="31"/>
      <c r="F363" s="22"/>
      <c r="G363" s="22"/>
    </row>
    <row r="364" spans="1:7" x14ac:dyDescent="0.3">
      <c r="A364" s="51"/>
      <c r="B364" s="22"/>
      <c r="C364" s="31"/>
      <c r="D364" s="31"/>
      <c r="E364" s="31"/>
      <c r="F364" s="22"/>
      <c r="G364" s="22"/>
    </row>
    <row r="365" spans="1:7" x14ac:dyDescent="0.3">
      <c r="A365" s="51"/>
      <c r="B365" s="22"/>
      <c r="C365" s="31"/>
      <c r="D365" s="31"/>
      <c r="E365" s="31"/>
      <c r="F365" s="22"/>
      <c r="G365" s="22"/>
    </row>
    <row r="366" spans="1:7" x14ac:dyDescent="0.3">
      <c r="A366" s="51"/>
      <c r="B366" s="22"/>
      <c r="C366" s="31"/>
      <c r="D366" s="31"/>
      <c r="E366" s="31"/>
      <c r="F366" s="22"/>
      <c r="G366" s="22"/>
    </row>
    <row r="367" spans="1:7" x14ac:dyDescent="0.3">
      <c r="A367" s="51"/>
      <c r="B367" s="22"/>
      <c r="C367" s="31"/>
      <c r="D367" s="31"/>
      <c r="E367" s="31"/>
      <c r="F367" s="22"/>
      <c r="G367" s="22"/>
    </row>
    <row r="368" spans="1:7" x14ac:dyDescent="0.3">
      <c r="A368" s="51"/>
      <c r="B368" s="22"/>
      <c r="C368" s="31"/>
      <c r="D368" s="31"/>
      <c r="E368" s="31"/>
      <c r="F368" s="22"/>
      <c r="G368" s="22"/>
    </row>
    <row r="369" spans="1:7" x14ac:dyDescent="0.3">
      <c r="A369" s="51"/>
      <c r="B369" s="22"/>
      <c r="C369" s="31"/>
      <c r="D369" s="31"/>
      <c r="E369" s="31"/>
      <c r="F369" s="22"/>
      <c r="G369" s="22"/>
    </row>
    <row r="370" spans="1:7" x14ac:dyDescent="0.3">
      <c r="A370" s="51"/>
      <c r="B370" s="22"/>
      <c r="C370" s="31"/>
      <c r="D370" s="31"/>
      <c r="E370" s="31"/>
      <c r="F370" s="22"/>
      <c r="G370" s="22"/>
    </row>
    <row r="371" spans="1:7" x14ac:dyDescent="0.3">
      <c r="A371" s="51"/>
      <c r="B371" s="22"/>
      <c r="C371" s="31"/>
      <c r="D371" s="31"/>
      <c r="E371" s="31"/>
      <c r="F371" s="22"/>
      <c r="G371" s="22"/>
    </row>
    <row r="372" spans="1:7" x14ac:dyDescent="0.3">
      <c r="A372" s="51"/>
      <c r="B372" s="22"/>
      <c r="C372" s="31"/>
      <c r="D372" s="31"/>
      <c r="E372" s="31"/>
      <c r="F372" s="22"/>
      <c r="G372" s="22"/>
    </row>
    <row r="373" spans="1:7" x14ac:dyDescent="0.3">
      <c r="A373" s="51"/>
      <c r="B373" s="22"/>
      <c r="C373" s="31"/>
      <c r="D373" s="31"/>
      <c r="E373" s="31"/>
      <c r="F373" s="22"/>
      <c r="G373" s="22"/>
    </row>
    <row r="374" spans="1:7" x14ac:dyDescent="0.3">
      <c r="A374" s="51"/>
      <c r="B374" s="22"/>
      <c r="C374" s="31"/>
      <c r="D374" s="31"/>
      <c r="E374" s="31"/>
      <c r="F374" s="22"/>
      <c r="G374" s="22"/>
    </row>
    <row r="375" spans="1:7" x14ac:dyDescent="0.3">
      <c r="A375" s="51"/>
      <c r="B375" s="22"/>
      <c r="C375" s="31"/>
      <c r="D375" s="31"/>
      <c r="E375" s="31"/>
      <c r="F375" s="22"/>
      <c r="G375" s="22"/>
    </row>
    <row r="376" spans="1:7" x14ac:dyDescent="0.3">
      <c r="A376" s="51"/>
      <c r="B376" s="22"/>
      <c r="C376" s="31"/>
      <c r="D376" s="31"/>
      <c r="E376" s="31"/>
      <c r="F376" s="22"/>
      <c r="G376" s="22"/>
    </row>
    <row r="377" spans="1:7" x14ac:dyDescent="0.3">
      <c r="A377" s="51"/>
      <c r="B377" s="22"/>
      <c r="C377" s="31"/>
      <c r="D377" s="31"/>
      <c r="E377" s="31"/>
      <c r="F377" s="22"/>
      <c r="G377" s="22"/>
    </row>
    <row r="378" spans="1:7" x14ac:dyDescent="0.3">
      <c r="A378" s="51"/>
      <c r="B378" s="22"/>
      <c r="C378" s="31"/>
      <c r="D378" s="31"/>
      <c r="E378" s="31"/>
      <c r="F378" s="22"/>
      <c r="G378" s="22"/>
    </row>
    <row r="379" spans="1:7" x14ac:dyDescent="0.3">
      <c r="A379" s="51"/>
      <c r="B379" s="22"/>
      <c r="C379" s="31"/>
      <c r="D379" s="31"/>
      <c r="E379" s="31"/>
      <c r="F379" s="22"/>
      <c r="G379" s="22"/>
    </row>
    <row r="380" spans="1:7" x14ac:dyDescent="0.3">
      <c r="A380" s="51"/>
      <c r="B380" s="22"/>
      <c r="C380" s="31"/>
      <c r="D380" s="31"/>
      <c r="E380" s="31"/>
      <c r="F380" s="22"/>
      <c r="G380" s="22"/>
    </row>
    <row r="381" spans="1:7" x14ac:dyDescent="0.3">
      <c r="A381" s="51"/>
      <c r="B381" s="22"/>
      <c r="C381" s="31"/>
      <c r="D381" s="31"/>
      <c r="E381" s="31"/>
      <c r="F381" s="22"/>
      <c r="G381" s="22"/>
    </row>
    <row r="382" spans="1:7" x14ac:dyDescent="0.3">
      <c r="A382" s="51"/>
      <c r="B382" s="22"/>
      <c r="C382" s="31"/>
      <c r="D382" s="31"/>
      <c r="E382" s="31"/>
      <c r="F382" s="22"/>
      <c r="G382" s="22"/>
    </row>
    <row r="383" spans="1:7" x14ac:dyDescent="0.3">
      <c r="A383" s="51"/>
      <c r="B383" s="22"/>
      <c r="C383" s="31"/>
      <c r="D383" s="31"/>
      <c r="E383" s="31"/>
      <c r="F383" s="22"/>
      <c r="G383" s="22"/>
    </row>
    <row r="384" spans="1:7" x14ac:dyDescent="0.3">
      <c r="A384" s="51"/>
      <c r="B384" s="22"/>
      <c r="C384" s="31"/>
      <c r="D384" s="31"/>
      <c r="E384" s="31"/>
      <c r="F384" s="22"/>
      <c r="G384" s="22"/>
    </row>
    <row r="385" spans="1:7" x14ac:dyDescent="0.3">
      <c r="A385" s="51"/>
      <c r="B385" s="22"/>
      <c r="C385" s="31"/>
      <c r="D385" s="31"/>
      <c r="E385" s="31"/>
      <c r="F385" s="22"/>
      <c r="G385" s="22"/>
    </row>
    <row r="386" spans="1:7" x14ac:dyDescent="0.3">
      <c r="A386" s="51"/>
      <c r="B386" s="22"/>
      <c r="C386" s="31"/>
      <c r="D386" s="31"/>
      <c r="E386" s="31"/>
      <c r="F386" s="22"/>
      <c r="G386" s="22"/>
    </row>
    <row r="387" spans="1:7" x14ac:dyDescent="0.3">
      <c r="A387" s="51"/>
      <c r="B387" s="22"/>
      <c r="C387" s="31"/>
      <c r="D387" s="31"/>
      <c r="E387" s="31"/>
      <c r="F387" s="22"/>
      <c r="G387" s="22"/>
    </row>
    <row r="388" spans="1:7" x14ac:dyDescent="0.3">
      <c r="A388" s="51"/>
      <c r="B388" s="22"/>
      <c r="C388" s="31"/>
      <c r="D388" s="31"/>
      <c r="E388" s="31"/>
      <c r="F388" s="22"/>
      <c r="G388" s="22"/>
    </row>
    <row r="389" spans="1:7" x14ac:dyDescent="0.3">
      <c r="A389" s="51"/>
      <c r="B389" s="22"/>
      <c r="C389" s="31"/>
      <c r="D389" s="31"/>
      <c r="E389" s="31"/>
      <c r="F389" s="22"/>
      <c r="G389" s="22"/>
    </row>
    <row r="390" spans="1:7" x14ac:dyDescent="0.3">
      <c r="A390" s="51"/>
      <c r="B390" s="22"/>
      <c r="C390" s="31"/>
      <c r="D390" s="31"/>
      <c r="E390" s="31"/>
      <c r="F390" s="22"/>
      <c r="G390" s="22"/>
    </row>
    <row r="391" spans="1:7" x14ac:dyDescent="0.3">
      <c r="A391" s="51"/>
      <c r="B391" s="22"/>
      <c r="C391" s="31"/>
      <c r="D391" s="31"/>
      <c r="E391" s="31"/>
      <c r="F391" s="22"/>
      <c r="G391" s="22"/>
    </row>
    <row r="392" spans="1:7" x14ac:dyDescent="0.3">
      <c r="A392" s="51"/>
      <c r="B392" s="22"/>
      <c r="C392" s="31"/>
      <c r="D392" s="31"/>
      <c r="E392" s="31"/>
      <c r="F392" s="22"/>
      <c r="G392" s="22"/>
    </row>
    <row r="393" spans="1:7" x14ac:dyDescent="0.3">
      <c r="A393" s="51"/>
      <c r="B393" s="22"/>
      <c r="C393" s="31"/>
      <c r="D393" s="31"/>
      <c r="E393" s="31"/>
      <c r="F393" s="22"/>
      <c r="G393" s="22"/>
    </row>
    <row r="394" spans="1:7" x14ac:dyDescent="0.3">
      <c r="A394" s="51"/>
      <c r="B394" s="22"/>
      <c r="C394" s="31"/>
      <c r="D394" s="31"/>
      <c r="E394" s="31"/>
      <c r="F394" s="22"/>
      <c r="G394" s="22"/>
    </row>
    <row r="395" spans="1:7" x14ac:dyDescent="0.3">
      <c r="A395" s="51"/>
      <c r="B395" s="22"/>
      <c r="C395" s="31"/>
      <c r="D395" s="31"/>
      <c r="E395" s="31"/>
      <c r="F395" s="22"/>
      <c r="G395" s="22"/>
    </row>
    <row r="396" spans="1:7" x14ac:dyDescent="0.3">
      <c r="A396" s="51"/>
      <c r="B396" s="22"/>
      <c r="C396" s="31"/>
      <c r="D396" s="31"/>
      <c r="E396" s="31"/>
      <c r="F396" s="22"/>
      <c r="G396" s="22"/>
    </row>
    <row r="397" spans="1:7" x14ac:dyDescent="0.3">
      <c r="A397" s="51"/>
      <c r="B397" s="22"/>
      <c r="C397" s="31"/>
      <c r="D397" s="31"/>
      <c r="E397" s="31"/>
      <c r="F397" s="22"/>
      <c r="G397" s="22"/>
    </row>
    <row r="398" spans="1:7" x14ac:dyDescent="0.3">
      <c r="A398" s="51"/>
      <c r="B398" s="22"/>
      <c r="C398" s="31"/>
      <c r="D398" s="31"/>
      <c r="E398" s="31"/>
      <c r="F398" s="22"/>
      <c r="G398" s="22"/>
    </row>
    <row r="399" spans="1:7" x14ac:dyDescent="0.3">
      <c r="A399" s="51"/>
      <c r="B399" s="22"/>
      <c r="C399" s="31"/>
      <c r="D399" s="31"/>
      <c r="E399" s="31"/>
      <c r="F399" s="22"/>
      <c r="G399" s="22"/>
    </row>
    <row r="400" spans="1:7" x14ac:dyDescent="0.3">
      <c r="A400" s="51"/>
      <c r="B400" s="22"/>
      <c r="C400" s="31"/>
      <c r="D400" s="31"/>
      <c r="E400" s="31"/>
      <c r="F400" s="22"/>
      <c r="G400" s="22"/>
    </row>
    <row r="401" spans="1:7" x14ac:dyDescent="0.3">
      <c r="A401" s="51"/>
      <c r="B401" s="22"/>
      <c r="C401" s="31"/>
      <c r="D401" s="31"/>
      <c r="E401" s="31"/>
      <c r="F401" s="22"/>
      <c r="G401" s="22"/>
    </row>
    <row r="402" spans="1:7" x14ac:dyDescent="0.3">
      <c r="A402" s="51"/>
      <c r="B402" s="22"/>
      <c r="C402" s="31"/>
      <c r="D402" s="31"/>
      <c r="E402" s="31"/>
      <c r="F402" s="22"/>
      <c r="G402" s="22"/>
    </row>
    <row r="403" spans="1:7" x14ac:dyDescent="0.3">
      <c r="A403" s="51"/>
      <c r="B403" s="22"/>
      <c r="C403" s="31"/>
      <c r="D403" s="31"/>
      <c r="E403" s="31"/>
      <c r="F403" s="22"/>
      <c r="G403" s="22"/>
    </row>
    <row r="404" spans="1:7" x14ac:dyDescent="0.3">
      <c r="A404" s="51"/>
      <c r="B404" s="22"/>
      <c r="C404" s="31"/>
      <c r="D404" s="31"/>
      <c r="E404" s="31"/>
      <c r="F404" s="22"/>
      <c r="G404" s="22"/>
    </row>
    <row r="405" spans="1:7" x14ac:dyDescent="0.3">
      <c r="A405" s="51"/>
      <c r="B405" s="22"/>
      <c r="C405" s="31"/>
      <c r="D405" s="31"/>
      <c r="E405" s="31"/>
      <c r="F405" s="22"/>
      <c r="G405" s="22"/>
    </row>
    <row r="406" spans="1:7" x14ac:dyDescent="0.3">
      <c r="A406" s="51"/>
      <c r="B406" s="22"/>
      <c r="C406" s="31"/>
      <c r="D406" s="31"/>
      <c r="E406" s="31"/>
      <c r="F406" s="22"/>
      <c r="G406" s="22"/>
    </row>
    <row r="407" spans="1:7" x14ac:dyDescent="0.3">
      <c r="A407" s="51"/>
      <c r="B407" s="22"/>
      <c r="C407" s="31"/>
      <c r="D407" s="31"/>
      <c r="E407" s="31"/>
      <c r="F407" s="22"/>
      <c r="G407" s="22"/>
    </row>
    <row r="408" spans="1:7" x14ac:dyDescent="0.3">
      <c r="A408" s="51"/>
      <c r="B408" s="22"/>
      <c r="C408" s="31"/>
      <c r="D408" s="31"/>
      <c r="E408" s="31"/>
      <c r="F408" s="22"/>
      <c r="G408" s="22"/>
    </row>
    <row r="409" spans="1:7" x14ac:dyDescent="0.3">
      <c r="A409" s="51"/>
      <c r="B409" s="22"/>
      <c r="C409" s="31"/>
      <c r="D409" s="31"/>
      <c r="E409" s="31"/>
      <c r="F409" s="22"/>
      <c r="G409" s="22"/>
    </row>
    <row r="410" spans="1:7" x14ac:dyDescent="0.3">
      <c r="A410" s="51"/>
      <c r="B410" s="22"/>
      <c r="C410" s="31"/>
      <c r="D410" s="31"/>
      <c r="E410" s="31"/>
      <c r="F410" s="22"/>
      <c r="G410" s="22"/>
    </row>
    <row r="411" spans="1:7" x14ac:dyDescent="0.3">
      <c r="A411" s="51"/>
      <c r="B411" s="22"/>
      <c r="C411" s="31"/>
      <c r="D411" s="31"/>
      <c r="E411" s="31"/>
      <c r="F411" s="22"/>
      <c r="G411" s="22"/>
    </row>
    <row r="412" spans="1:7" x14ac:dyDescent="0.3">
      <c r="A412" s="51"/>
      <c r="B412" s="22"/>
      <c r="C412" s="31"/>
      <c r="D412" s="31"/>
      <c r="E412" s="31"/>
      <c r="F412" s="22"/>
      <c r="G412" s="22"/>
    </row>
    <row r="413" spans="1:7" x14ac:dyDescent="0.3">
      <c r="A413" s="51"/>
      <c r="B413" s="22"/>
      <c r="C413" s="31"/>
      <c r="D413" s="31"/>
      <c r="E413" s="31"/>
      <c r="F413" s="22"/>
      <c r="G413" s="22"/>
    </row>
    <row r="414" spans="1:7" x14ac:dyDescent="0.3">
      <c r="A414" s="51"/>
      <c r="B414" s="22"/>
      <c r="C414" s="31"/>
      <c r="D414" s="31"/>
      <c r="E414" s="31"/>
      <c r="F414" s="22"/>
      <c r="G414" s="22"/>
    </row>
    <row r="415" spans="1:7" x14ac:dyDescent="0.3">
      <c r="A415" s="51"/>
      <c r="B415" s="22"/>
      <c r="C415" s="31"/>
      <c r="D415" s="31"/>
      <c r="E415" s="31"/>
      <c r="F415" s="22"/>
      <c r="G415" s="22"/>
    </row>
    <row r="416" spans="1:7" x14ac:dyDescent="0.3">
      <c r="A416" s="51"/>
      <c r="B416" s="22"/>
      <c r="C416" s="31"/>
      <c r="D416" s="31"/>
      <c r="E416" s="31"/>
      <c r="F416" s="22"/>
      <c r="G416" s="22"/>
    </row>
    <row r="417" spans="1:7" x14ac:dyDescent="0.3">
      <c r="A417" s="51"/>
      <c r="B417" s="22"/>
      <c r="C417" s="31"/>
      <c r="D417" s="31"/>
      <c r="E417" s="31"/>
      <c r="F417" s="22"/>
      <c r="G417" s="22"/>
    </row>
    <row r="418" spans="1:7" x14ac:dyDescent="0.3">
      <c r="A418" s="51"/>
      <c r="B418" s="22"/>
      <c r="C418" s="31"/>
      <c r="D418" s="31"/>
      <c r="E418" s="31"/>
      <c r="F418" s="22"/>
      <c r="G418" s="22"/>
    </row>
    <row r="419" spans="1:7" x14ac:dyDescent="0.3">
      <c r="A419" s="51"/>
      <c r="B419" s="22"/>
      <c r="C419" s="31"/>
      <c r="D419" s="31"/>
      <c r="E419" s="31"/>
      <c r="F419" s="22"/>
      <c r="G419" s="22"/>
    </row>
    <row r="420" spans="1:7" x14ac:dyDescent="0.3">
      <c r="A420" s="51"/>
      <c r="B420" s="22"/>
      <c r="C420" s="31"/>
      <c r="D420" s="31"/>
      <c r="E420" s="31"/>
      <c r="F420" s="22"/>
      <c r="G420" s="22"/>
    </row>
    <row r="421" spans="1:7" x14ac:dyDescent="0.3">
      <c r="A421" s="51"/>
      <c r="B421" s="22"/>
      <c r="C421" s="31"/>
      <c r="D421" s="31"/>
      <c r="E421" s="31"/>
      <c r="F421" s="22"/>
      <c r="G421" s="22"/>
    </row>
    <row r="422" spans="1:7" x14ac:dyDescent="0.3">
      <c r="A422" s="51"/>
      <c r="B422" s="22"/>
      <c r="C422" s="31"/>
      <c r="D422" s="31"/>
      <c r="E422" s="31"/>
      <c r="F422" s="22"/>
      <c r="G422" s="22"/>
    </row>
    <row r="423" spans="1:7" x14ac:dyDescent="0.3">
      <c r="A423" s="51"/>
      <c r="B423" s="22"/>
      <c r="C423" s="31"/>
      <c r="D423" s="31"/>
      <c r="E423" s="31"/>
      <c r="F423" s="22"/>
      <c r="G423" s="22"/>
    </row>
    <row r="424" spans="1:7" x14ac:dyDescent="0.3">
      <c r="A424" s="51"/>
      <c r="B424" s="22"/>
      <c r="C424" s="31"/>
      <c r="D424" s="31"/>
      <c r="E424" s="31"/>
      <c r="F424" s="22"/>
      <c r="G424" s="22"/>
    </row>
    <row r="425" spans="1:7" x14ac:dyDescent="0.3">
      <c r="A425" s="51"/>
      <c r="B425" s="22"/>
      <c r="C425" s="31"/>
      <c r="D425" s="31"/>
      <c r="E425" s="31"/>
      <c r="F425" s="22"/>
      <c r="G425" s="22"/>
    </row>
    <row r="426" spans="1:7" x14ac:dyDescent="0.3">
      <c r="A426" s="51"/>
      <c r="B426" s="22"/>
      <c r="C426" s="31"/>
      <c r="D426" s="31"/>
      <c r="E426" s="31"/>
      <c r="F426" s="22"/>
      <c r="G426" s="22"/>
    </row>
    <row r="427" spans="1:7" x14ac:dyDescent="0.3">
      <c r="A427" s="51"/>
      <c r="B427" s="22"/>
      <c r="C427" s="31"/>
      <c r="D427" s="31"/>
      <c r="E427" s="31"/>
      <c r="F427" s="22"/>
      <c r="G427" s="22"/>
    </row>
    <row r="428" spans="1:7" x14ac:dyDescent="0.3">
      <c r="A428" s="51"/>
      <c r="B428" s="22"/>
      <c r="C428" s="31"/>
      <c r="D428" s="31"/>
      <c r="E428" s="31"/>
      <c r="F428" s="22"/>
      <c r="G428" s="22"/>
    </row>
    <row r="429" spans="1:7" x14ac:dyDescent="0.3">
      <c r="A429" s="51"/>
      <c r="B429" s="22"/>
      <c r="C429" s="31"/>
      <c r="D429" s="31"/>
      <c r="E429" s="31"/>
      <c r="F429" s="22"/>
      <c r="G429" s="22"/>
    </row>
    <row r="430" spans="1:7" x14ac:dyDescent="0.3">
      <c r="A430" s="51"/>
      <c r="B430" s="22"/>
      <c r="C430" s="31"/>
      <c r="D430" s="31"/>
      <c r="E430" s="31"/>
      <c r="F430" s="22"/>
      <c r="G430" s="22"/>
    </row>
    <row r="431" spans="1:7" x14ac:dyDescent="0.3">
      <c r="A431" s="51"/>
      <c r="B431" s="22"/>
      <c r="C431" s="31"/>
      <c r="D431" s="31"/>
      <c r="E431" s="31"/>
      <c r="F431" s="22"/>
      <c r="G431" s="22"/>
    </row>
    <row r="432" spans="1:7" x14ac:dyDescent="0.3">
      <c r="A432" s="51"/>
      <c r="B432" s="22"/>
      <c r="C432" s="31"/>
      <c r="D432" s="31"/>
      <c r="E432" s="31"/>
      <c r="F432" s="22"/>
      <c r="G432" s="22"/>
    </row>
    <row r="433" spans="1:7" x14ac:dyDescent="0.3">
      <c r="A433" s="51"/>
      <c r="B433" s="22"/>
      <c r="C433" s="31"/>
      <c r="D433" s="31"/>
      <c r="E433" s="31"/>
      <c r="F433" s="22"/>
      <c r="G433" s="22"/>
    </row>
    <row r="434" spans="1:7" x14ac:dyDescent="0.3">
      <c r="A434" s="51"/>
      <c r="B434" s="22"/>
      <c r="C434" s="31"/>
      <c r="D434" s="31"/>
      <c r="E434" s="31"/>
      <c r="F434" s="22"/>
      <c r="G434" s="22"/>
    </row>
    <row r="435" spans="1:7" x14ac:dyDescent="0.3">
      <c r="A435" s="51"/>
      <c r="B435" s="22"/>
      <c r="C435" s="31"/>
      <c r="D435" s="31"/>
      <c r="E435" s="31"/>
      <c r="F435" s="22"/>
      <c r="G435" s="22"/>
    </row>
    <row r="436" spans="1:7" x14ac:dyDescent="0.3">
      <c r="A436" s="51"/>
      <c r="B436" s="22"/>
      <c r="C436" s="31"/>
      <c r="D436" s="31"/>
      <c r="E436" s="31"/>
      <c r="F436" s="22"/>
      <c r="G436" s="22"/>
    </row>
    <row r="437" spans="1:7" x14ac:dyDescent="0.3">
      <c r="A437" s="51"/>
      <c r="B437" s="22"/>
      <c r="C437" s="31"/>
      <c r="D437" s="31"/>
      <c r="E437" s="31"/>
      <c r="F437" s="22"/>
      <c r="G437" s="22"/>
    </row>
    <row r="438" spans="1:7" x14ac:dyDescent="0.3">
      <c r="A438" s="51"/>
      <c r="B438" s="22"/>
      <c r="C438" s="31"/>
      <c r="D438" s="31"/>
      <c r="E438" s="31"/>
      <c r="F438" s="22"/>
      <c r="G438" s="22"/>
    </row>
    <row r="439" spans="1:7" x14ac:dyDescent="0.3">
      <c r="A439" s="51"/>
      <c r="B439" s="22"/>
      <c r="C439" s="31"/>
      <c r="D439" s="31"/>
      <c r="E439" s="31"/>
      <c r="F439" s="22"/>
      <c r="G439" s="22"/>
    </row>
    <row r="440" spans="1:7" x14ac:dyDescent="0.3">
      <c r="A440" s="51"/>
      <c r="B440" s="22"/>
      <c r="C440" s="31"/>
      <c r="D440" s="31"/>
      <c r="E440" s="31"/>
      <c r="F440" s="22"/>
      <c r="G440" s="22"/>
    </row>
    <row r="441" spans="1:7" x14ac:dyDescent="0.3">
      <c r="A441" s="51"/>
      <c r="B441" s="22"/>
      <c r="C441" s="31"/>
      <c r="D441" s="31"/>
      <c r="E441" s="31"/>
      <c r="F441" s="22"/>
      <c r="G441" s="22"/>
    </row>
    <row r="442" spans="1:7" x14ac:dyDescent="0.3">
      <c r="A442" s="51"/>
      <c r="B442" s="22"/>
      <c r="C442" s="31"/>
      <c r="D442" s="31"/>
      <c r="E442" s="31"/>
      <c r="F442" s="22"/>
      <c r="G442" s="22"/>
    </row>
    <row r="443" spans="1:7" x14ac:dyDescent="0.3">
      <c r="A443" s="51"/>
      <c r="B443" s="22"/>
      <c r="C443" s="31"/>
      <c r="D443" s="31"/>
      <c r="E443" s="31"/>
      <c r="F443" s="22"/>
      <c r="G443" s="22"/>
    </row>
    <row r="444" spans="1:7" x14ac:dyDescent="0.3">
      <c r="A444" s="51"/>
      <c r="B444" s="22"/>
      <c r="C444" s="31"/>
      <c r="D444" s="31"/>
      <c r="E444" s="31"/>
      <c r="F444" s="22"/>
      <c r="G444" s="22"/>
    </row>
    <row r="445" spans="1:7" x14ac:dyDescent="0.3">
      <c r="A445" s="51"/>
      <c r="B445" s="22"/>
      <c r="C445" s="31"/>
      <c r="D445" s="31"/>
      <c r="E445" s="31"/>
      <c r="F445" s="22"/>
      <c r="G445" s="22"/>
    </row>
    <row r="446" spans="1:7" x14ac:dyDescent="0.3">
      <c r="A446" s="51"/>
      <c r="B446" s="22"/>
      <c r="C446" s="31"/>
      <c r="D446" s="31"/>
      <c r="E446" s="31"/>
      <c r="F446" s="22"/>
      <c r="G446" s="22"/>
    </row>
    <row r="447" spans="1:7" x14ac:dyDescent="0.3">
      <c r="A447" s="51"/>
      <c r="B447" s="22"/>
      <c r="C447" s="31"/>
      <c r="D447" s="31"/>
      <c r="E447" s="31"/>
      <c r="F447" s="22"/>
      <c r="G447" s="22"/>
    </row>
    <row r="448" spans="1:7" x14ac:dyDescent="0.3">
      <c r="A448" s="51"/>
      <c r="B448" s="22"/>
      <c r="C448" s="31"/>
      <c r="D448" s="31"/>
      <c r="E448" s="31"/>
      <c r="F448" s="22"/>
      <c r="G448" s="22"/>
    </row>
    <row r="449" spans="1:7" x14ac:dyDescent="0.3">
      <c r="A449" s="51"/>
      <c r="B449" s="22"/>
      <c r="C449" s="31"/>
      <c r="D449" s="31"/>
      <c r="E449" s="31"/>
      <c r="F449" s="22"/>
      <c r="G449" s="22"/>
    </row>
    <row r="450" spans="1:7" x14ac:dyDescent="0.3">
      <c r="A450" s="51"/>
      <c r="B450" s="22"/>
      <c r="C450" s="31"/>
      <c r="D450" s="31"/>
      <c r="E450" s="31"/>
      <c r="F450" s="22"/>
      <c r="G450" s="22"/>
    </row>
    <row r="451" spans="1:7" x14ac:dyDescent="0.3">
      <c r="A451" s="51"/>
      <c r="B451" s="22"/>
      <c r="C451" s="31"/>
      <c r="D451" s="31"/>
      <c r="E451" s="31"/>
      <c r="F451" s="22"/>
      <c r="G451" s="22"/>
    </row>
    <row r="452" spans="1:7" x14ac:dyDescent="0.3">
      <c r="A452" s="51"/>
      <c r="B452" s="22"/>
      <c r="C452" s="31"/>
      <c r="D452" s="31"/>
      <c r="E452" s="31"/>
      <c r="F452" s="22"/>
      <c r="G452" s="22"/>
    </row>
    <row r="453" spans="1:7" x14ac:dyDescent="0.3">
      <c r="A453" s="51"/>
      <c r="B453" s="22"/>
      <c r="C453" s="31"/>
      <c r="D453" s="31"/>
      <c r="E453" s="31"/>
      <c r="F453" s="22"/>
      <c r="G453" s="22"/>
    </row>
    <row r="454" spans="1:7" x14ac:dyDescent="0.3">
      <c r="A454" s="51"/>
      <c r="B454" s="22"/>
      <c r="C454" s="31"/>
      <c r="D454" s="31"/>
      <c r="E454" s="31"/>
      <c r="F454" s="22"/>
      <c r="G454" s="22"/>
    </row>
    <row r="455" spans="1:7" x14ac:dyDescent="0.3">
      <c r="A455" s="51"/>
      <c r="B455" s="22"/>
      <c r="C455" s="31"/>
      <c r="D455" s="31"/>
      <c r="E455" s="31"/>
      <c r="F455" s="22"/>
      <c r="G455" s="22"/>
    </row>
    <row r="456" spans="1:7" x14ac:dyDescent="0.3">
      <c r="A456" s="51"/>
      <c r="B456" s="22"/>
      <c r="C456" s="31"/>
      <c r="D456" s="31"/>
      <c r="E456" s="31"/>
      <c r="F456" s="22"/>
      <c r="G456" s="22"/>
    </row>
    <row r="457" spans="1:7" x14ac:dyDescent="0.3">
      <c r="A457" s="51"/>
      <c r="B457" s="22"/>
      <c r="C457" s="31"/>
      <c r="D457" s="31"/>
      <c r="E457" s="31"/>
      <c r="F457" s="22"/>
      <c r="G457" s="22"/>
    </row>
    <row r="458" spans="1:7" x14ac:dyDescent="0.3">
      <c r="A458" s="51"/>
      <c r="B458" s="22"/>
      <c r="C458" s="31"/>
      <c r="D458" s="31"/>
      <c r="E458" s="31"/>
      <c r="F458" s="22"/>
      <c r="G458" s="22"/>
    </row>
    <row r="459" spans="1:7" x14ac:dyDescent="0.3">
      <c r="A459" s="51"/>
      <c r="B459" s="22"/>
      <c r="C459" s="31"/>
      <c r="D459" s="31"/>
      <c r="E459" s="31"/>
      <c r="F459" s="22"/>
      <c r="G459" s="22"/>
    </row>
    <row r="460" spans="1:7" x14ac:dyDescent="0.3">
      <c r="A460" s="51"/>
      <c r="B460" s="22"/>
      <c r="C460" s="31"/>
      <c r="D460" s="31"/>
      <c r="E460" s="31"/>
      <c r="F460" s="22"/>
      <c r="G460" s="22"/>
    </row>
    <row r="461" spans="1:7" x14ac:dyDescent="0.3">
      <c r="A461" s="51"/>
      <c r="B461" s="22"/>
      <c r="C461" s="31"/>
      <c r="D461" s="31"/>
      <c r="E461" s="31"/>
      <c r="F461" s="22"/>
      <c r="G461" s="22"/>
    </row>
    <row r="462" spans="1:7" x14ac:dyDescent="0.3">
      <c r="A462" s="51"/>
      <c r="B462" s="22"/>
      <c r="C462" s="31"/>
      <c r="D462" s="31"/>
      <c r="E462" s="31"/>
      <c r="F462" s="22"/>
      <c r="G462" s="22"/>
    </row>
    <row r="463" spans="1:7" x14ac:dyDescent="0.3">
      <c r="A463" s="51"/>
      <c r="B463" s="22"/>
      <c r="C463" s="31"/>
      <c r="D463" s="31"/>
      <c r="E463" s="31"/>
      <c r="F463" s="22"/>
      <c r="G463" s="22"/>
    </row>
    <row r="464" spans="1:7" x14ac:dyDescent="0.3">
      <c r="A464" s="51"/>
      <c r="B464" s="22"/>
      <c r="C464" s="31"/>
      <c r="D464" s="31"/>
      <c r="E464" s="31"/>
      <c r="F464" s="22"/>
      <c r="G464" s="22"/>
    </row>
    <row r="465" spans="1:7" x14ac:dyDescent="0.3">
      <c r="A465" s="51"/>
      <c r="B465" s="22"/>
      <c r="C465" s="31"/>
      <c r="D465" s="31"/>
      <c r="E465" s="31"/>
      <c r="F465" s="22"/>
      <c r="G465" s="22"/>
    </row>
    <row r="466" spans="1:7" x14ac:dyDescent="0.3">
      <c r="A466" s="51"/>
      <c r="B466" s="22"/>
      <c r="C466" s="31"/>
      <c r="D466" s="31"/>
      <c r="E466" s="31"/>
      <c r="F466" s="22"/>
      <c r="G466" s="22"/>
    </row>
    <row r="467" spans="1:7" x14ac:dyDescent="0.3">
      <c r="A467" s="51"/>
      <c r="B467" s="22"/>
      <c r="C467" s="31"/>
      <c r="D467" s="31"/>
      <c r="E467" s="31"/>
      <c r="F467" s="22"/>
      <c r="G467" s="22"/>
    </row>
    <row r="468" spans="1:7" x14ac:dyDescent="0.3">
      <c r="A468" s="51"/>
      <c r="B468" s="22"/>
      <c r="C468" s="31"/>
      <c r="D468" s="31"/>
      <c r="E468" s="31"/>
      <c r="F468" s="22"/>
      <c r="G468" s="22"/>
    </row>
    <row r="469" spans="1:7" x14ac:dyDescent="0.3">
      <c r="A469" s="51"/>
      <c r="B469" s="22"/>
      <c r="C469" s="31"/>
      <c r="D469" s="31"/>
      <c r="E469" s="31"/>
      <c r="F469" s="22"/>
      <c r="G469" s="22"/>
    </row>
    <row r="470" spans="1:7" x14ac:dyDescent="0.3">
      <c r="A470" s="51"/>
      <c r="B470" s="22"/>
      <c r="C470" s="31"/>
      <c r="D470" s="31"/>
      <c r="E470" s="31"/>
      <c r="F470" s="22"/>
      <c r="G470" s="22"/>
    </row>
    <row r="471" spans="1:7" x14ac:dyDescent="0.3">
      <c r="A471" s="51"/>
      <c r="B471" s="22"/>
      <c r="C471" s="31"/>
      <c r="D471" s="31"/>
      <c r="E471" s="31"/>
      <c r="F471" s="22"/>
      <c r="G471" s="22"/>
    </row>
    <row r="472" spans="1:7" x14ac:dyDescent="0.3">
      <c r="A472" s="51"/>
      <c r="B472" s="22"/>
      <c r="C472" s="31"/>
      <c r="D472" s="31"/>
      <c r="E472" s="31"/>
      <c r="F472" s="22"/>
      <c r="G472" s="22"/>
    </row>
    <row r="473" spans="1:7" x14ac:dyDescent="0.3">
      <c r="A473" s="51"/>
      <c r="B473" s="22"/>
      <c r="C473" s="31"/>
      <c r="D473" s="31"/>
      <c r="E473" s="31"/>
      <c r="F473" s="22"/>
      <c r="G473" s="22"/>
    </row>
    <row r="474" spans="1:7" x14ac:dyDescent="0.3">
      <c r="A474" s="51"/>
      <c r="B474" s="22"/>
      <c r="C474" s="31"/>
      <c r="D474" s="31"/>
      <c r="E474" s="31"/>
      <c r="F474" s="22"/>
      <c r="G474" s="22"/>
    </row>
    <row r="475" spans="1:7" x14ac:dyDescent="0.3">
      <c r="A475" s="51"/>
      <c r="B475" s="22"/>
      <c r="C475" s="31"/>
      <c r="D475" s="31"/>
      <c r="E475" s="31"/>
      <c r="F475" s="22"/>
      <c r="G475" s="22"/>
    </row>
    <row r="476" spans="1:7" x14ac:dyDescent="0.3">
      <c r="A476" s="51"/>
      <c r="B476" s="22"/>
      <c r="C476" s="31"/>
      <c r="D476" s="31"/>
      <c r="E476" s="31"/>
      <c r="F476" s="22"/>
      <c r="G476" s="22"/>
    </row>
    <row r="477" spans="1:7" x14ac:dyDescent="0.3">
      <c r="A477" s="51"/>
      <c r="B477" s="22"/>
      <c r="C477" s="31"/>
      <c r="D477" s="31"/>
      <c r="E477" s="31"/>
      <c r="F477" s="22"/>
      <c r="G477" s="22"/>
    </row>
    <row r="478" spans="1:7" x14ac:dyDescent="0.3">
      <c r="A478" s="51"/>
      <c r="B478" s="22"/>
      <c r="C478" s="31"/>
      <c r="D478" s="31"/>
      <c r="E478" s="31"/>
      <c r="F478" s="22"/>
      <c r="G478" s="22"/>
    </row>
    <row r="479" spans="1:7" x14ac:dyDescent="0.3">
      <c r="A479" s="51"/>
      <c r="B479" s="22"/>
      <c r="C479" s="31"/>
      <c r="D479" s="31"/>
      <c r="E479" s="31"/>
      <c r="F479" s="22"/>
      <c r="G479" s="22"/>
    </row>
    <row r="480" spans="1:7" x14ac:dyDescent="0.3">
      <c r="A480" s="51"/>
      <c r="B480" s="22"/>
      <c r="C480" s="31"/>
      <c r="D480" s="31"/>
      <c r="E480" s="31"/>
      <c r="F480" s="22"/>
      <c r="G480" s="22"/>
    </row>
    <row r="481" spans="1:7" x14ac:dyDescent="0.3">
      <c r="A481" s="51"/>
      <c r="B481" s="22"/>
      <c r="C481" s="31"/>
      <c r="D481" s="31"/>
      <c r="E481" s="31"/>
      <c r="F481" s="22"/>
      <c r="G481" s="22"/>
    </row>
    <row r="482" spans="1:7" x14ac:dyDescent="0.3">
      <c r="A482" s="51"/>
      <c r="B482" s="22"/>
      <c r="C482" s="31"/>
      <c r="D482" s="31"/>
      <c r="E482" s="31"/>
      <c r="F482" s="22"/>
      <c r="G482" s="22"/>
    </row>
    <row r="483" spans="1:7" x14ac:dyDescent="0.3">
      <c r="A483" s="51"/>
      <c r="B483" s="22"/>
      <c r="C483" s="31"/>
      <c r="D483" s="31"/>
      <c r="E483" s="31"/>
      <c r="F483" s="22"/>
      <c r="G483" s="22"/>
    </row>
    <row r="484" spans="1:7" x14ac:dyDescent="0.3">
      <c r="A484" s="51"/>
      <c r="B484" s="22"/>
      <c r="C484" s="31"/>
      <c r="D484" s="31"/>
      <c r="E484" s="31"/>
      <c r="F484" s="22"/>
      <c r="G484" s="22"/>
    </row>
    <row r="485" spans="1:7" x14ac:dyDescent="0.3">
      <c r="A485" s="51"/>
      <c r="B485" s="22"/>
      <c r="C485" s="31"/>
      <c r="D485" s="31"/>
      <c r="E485" s="31"/>
      <c r="F485" s="22"/>
      <c r="G485" s="22"/>
    </row>
    <row r="486" spans="1:7" x14ac:dyDescent="0.3">
      <c r="A486" s="51"/>
      <c r="B486" s="22"/>
      <c r="C486" s="31"/>
      <c r="D486" s="31"/>
      <c r="E486" s="31"/>
      <c r="F486" s="22"/>
      <c r="G486" s="22"/>
    </row>
    <row r="487" spans="1:7" x14ac:dyDescent="0.3">
      <c r="A487" s="51"/>
      <c r="B487" s="22"/>
      <c r="C487" s="31"/>
      <c r="D487" s="31"/>
      <c r="E487" s="31"/>
      <c r="F487" s="22"/>
      <c r="G487" s="22"/>
    </row>
    <row r="488" spans="1:7" x14ac:dyDescent="0.3">
      <c r="A488" s="51"/>
      <c r="B488" s="22"/>
      <c r="C488" s="31"/>
      <c r="D488" s="31"/>
      <c r="E488" s="31"/>
      <c r="F488" s="22"/>
      <c r="G488" s="22"/>
    </row>
    <row r="489" spans="1:7" x14ac:dyDescent="0.3">
      <c r="A489" s="51"/>
      <c r="B489" s="22"/>
      <c r="C489" s="31"/>
      <c r="D489" s="31"/>
      <c r="E489" s="31"/>
      <c r="F489" s="22"/>
      <c r="G489" s="22"/>
    </row>
    <row r="490" spans="1:7" x14ac:dyDescent="0.3">
      <c r="A490" s="51"/>
      <c r="B490" s="22"/>
      <c r="C490" s="31"/>
      <c r="D490" s="31"/>
      <c r="E490" s="31"/>
      <c r="F490" s="22"/>
      <c r="G490" s="22"/>
    </row>
    <row r="491" spans="1:7" x14ac:dyDescent="0.3">
      <c r="A491" s="51"/>
      <c r="B491" s="22"/>
      <c r="C491" s="31"/>
      <c r="D491" s="31"/>
      <c r="E491" s="31"/>
      <c r="F491" s="22"/>
      <c r="G491" s="22"/>
    </row>
    <row r="492" spans="1:7" x14ac:dyDescent="0.3">
      <c r="A492" s="51"/>
      <c r="B492" s="22"/>
      <c r="C492" s="31"/>
      <c r="D492" s="31"/>
      <c r="E492" s="31"/>
      <c r="F492" s="22"/>
      <c r="G492" s="22"/>
    </row>
    <row r="493" spans="1:7" x14ac:dyDescent="0.3">
      <c r="A493" s="51"/>
      <c r="B493" s="22"/>
      <c r="C493" s="31"/>
      <c r="D493" s="31"/>
      <c r="E493" s="31"/>
      <c r="F493" s="22"/>
      <c r="G493" s="22"/>
    </row>
    <row r="494" spans="1:7" x14ac:dyDescent="0.3">
      <c r="A494" s="51"/>
      <c r="B494" s="22"/>
      <c r="C494" s="31"/>
      <c r="D494" s="31"/>
      <c r="E494" s="31"/>
      <c r="F494" s="22"/>
      <c r="G494" s="22"/>
    </row>
    <row r="495" spans="1:7" x14ac:dyDescent="0.3">
      <c r="A495" s="51"/>
      <c r="B495" s="22"/>
      <c r="C495" s="31"/>
      <c r="D495" s="31"/>
      <c r="E495" s="31"/>
      <c r="F495" s="22"/>
      <c r="G495" s="22"/>
    </row>
    <row r="496" spans="1:7" x14ac:dyDescent="0.3">
      <c r="A496" s="51"/>
      <c r="B496" s="22"/>
      <c r="C496" s="31"/>
      <c r="D496" s="31"/>
      <c r="E496" s="31"/>
      <c r="F496" s="22"/>
      <c r="G496" s="22"/>
    </row>
    <row r="497" spans="1:7" x14ac:dyDescent="0.3">
      <c r="A497" s="59"/>
      <c r="B497" s="59"/>
      <c r="C497" s="59"/>
      <c r="D497" s="59"/>
      <c r="E497" s="59"/>
      <c r="F497" s="59"/>
      <c r="G497" s="59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E1DAF-7B3C-4DFF-BC56-DD7C10525D6B}">
  <sheetPr codeName="Sheet6"/>
  <dimension ref="A1:U13"/>
  <sheetViews>
    <sheetView workbookViewId="0">
      <selection activeCell="G15" sqref="G15"/>
    </sheetView>
  </sheetViews>
  <sheetFormatPr defaultRowHeight="14.4" x14ac:dyDescent="0.3"/>
  <sheetData>
    <row r="1" spans="1:21" x14ac:dyDescent="0.3">
      <c r="A1" s="50" t="s">
        <v>0</v>
      </c>
      <c r="B1" s="50" t="s">
        <v>1</v>
      </c>
      <c r="C1" s="50" t="s">
        <v>2</v>
      </c>
      <c r="D1" s="50" t="s">
        <v>3</v>
      </c>
      <c r="E1" s="50" t="s">
        <v>347</v>
      </c>
      <c r="F1" s="50" t="s">
        <v>6</v>
      </c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</row>
    <row r="2" spans="1:21" x14ac:dyDescent="0.3">
      <c r="A2" s="51" t="s">
        <v>8</v>
      </c>
      <c r="B2" s="22">
        <v>23786.929440423402</v>
      </c>
      <c r="C2" s="52">
        <v>118934.647202117</v>
      </c>
      <c r="D2" s="52">
        <v>11542.930483827433</v>
      </c>
      <c r="E2" s="52">
        <v>0</v>
      </c>
      <c r="F2" s="22">
        <v>20</v>
      </c>
    </row>
    <row r="3" spans="1:21" x14ac:dyDescent="0.3">
      <c r="A3" s="51" t="s">
        <v>9</v>
      </c>
      <c r="B3" s="22">
        <v>23786.929440423402</v>
      </c>
      <c r="C3" s="52">
        <v>118934.647202117</v>
      </c>
      <c r="D3" s="52">
        <v>11542.930483827433</v>
      </c>
      <c r="E3" s="52">
        <v>0</v>
      </c>
      <c r="F3" s="22">
        <v>20</v>
      </c>
    </row>
    <row r="4" spans="1:21" x14ac:dyDescent="0.3">
      <c r="A4" s="51" t="s">
        <v>10</v>
      </c>
      <c r="B4" s="22">
        <v>25863.60806702188</v>
      </c>
      <c r="C4" s="31">
        <v>129318.0403351094</v>
      </c>
      <c r="D4" s="52">
        <v>9422.8884823463195</v>
      </c>
      <c r="E4" s="52">
        <v>588</v>
      </c>
      <c r="F4" s="22">
        <v>20</v>
      </c>
    </row>
    <row r="5" spans="1:21" x14ac:dyDescent="0.3">
      <c r="A5" s="51" t="s">
        <v>11</v>
      </c>
      <c r="B5" s="22">
        <v>25430.917902621975</v>
      </c>
      <c r="C5" s="31">
        <v>127154.58951310988</v>
      </c>
      <c r="D5" s="52">
        <v>9271.4469248063542</v>
      </c>
      <c r="E5" s="52">
        <v>588</v>
      </c>
      <c r="F5" s="22">
        <v>20</v>
      </c>
    </row>
    <row r="6" spans="1:21" x14ac:dyDescent="0.3">
      <c r="A6" s="51" t="s">
        <v>12</v>
      </c>
      <c r="B6" s="22">
        <v>26044.055437703119</v>
      </c>
      <c r="C6" s="31">
        <v>130220.2771885156</v>
      </c>
      <c r="D6" s="52">
        <v>9450.8762039420326</v>
      </c>
      <c r="E6" s="52">
        <v>0</v>
      </c>
      <c r="F6" s="22">
        <v>20</v>
      </c>
    </row>
    <row r="7" spans="1:21" x14ac:dyDescent="0.3">
      <c r="A7" s="51" t="s">
        <v>13</v>
      </c>
      <c r="B7" s="22">
        <v>26044.055437703119</v>
      </c>
      <c r="C7" s="52">
        <v>130220.2771885156</v>
      </c>
      <c r="D7" s="52">
        <v>9450.8762039420326</v>
      </c>
      <c r="E7" s="52">
        <v>0</v>
      </c>
      <c r="F7" s="22">
        <v>20</v>
      </c>
    </row>
    <row r="8" spans="1:21" x14ac:dyDescent="0.3">
      <c r="A8" s="51" t="s">
        <v>14</v>
      </c>
      <c r="B8" s="22">
        <v>26044.055437703119</v>
      </c>
      <c r="C8" s="52">
        <v>130220.2771885156</v>
      </c>
      <c r="D8" s="52">
        <v>9450.8762039420326</v>
      </c>
      <c r="E8" s="52">
        <v>0</v>
      </c>
      <c r="F8" s="22">
        <v>20</v>
      </c>
    </row>
    <row r="9" spans="1:21" x14ac:dyDescent="0.3">
      <c r="A9" s="51" t="s">
        <v>348</v>
      </c>
      <c r="B9" s="22">
        <v>26044.055437703119</v>
      </c>
      <c r="C9" s="52">
        <v>130220.2771885156</v>
      </c>
      <c r="D9" s="52">
        <v>9450.8762039420326</v>
      </c>
      <c r="E9" s="52">
        <v>0</v>
      </c>
      <c r="F9" s="22">
        <v>20</v>
      </c>
    </row>
    <row r="10" spans="1:21" x14ac:dyDescent="0.3">
      <c r="A10" s="51" t="s">
        <v>16</v>
      </c>
      <c r="B10" s="22">
        <v>23139.438605327192</v>
      </c>
      <c r="C10" s="52">
        <v>115697.19302663596</v>
      </c>
      <c r="D10" s="52">
        <v>8098.8035118645175</v>
      </c>
      <c r="E10" s="52">
        <v>0</v>
      </c>
      <c r="F10" s="22">
        <v>20</v>
      </c>
    </row>
    <row r="11" spans="1:21" x14ac:dyDescent="0.3">
      <c r="A11" s="51" t="s">
        <v>17</v>
      </c>
      <c r="B11" s="22">
        <v>30051.259757702268</v>
      </c>
      <c r="C11" s="52">
        <v>150256.29878851134</v>
      </c>
      <c r="D11" s="52">
        <v>10517.940915195795</v>
      </c>
      <c r="E11" s="52">
        <v>0</v>
      </c>
      <c r="F11" s="22">
        <v>20</v>
      </c>
    </row>
    <row r="12" spans="1:21" x14ac:dyDescent="0.3">
      <c r="A12" s="51" t="s">
        <v>18</v>
      </c>
      <c r="B12" s="22">
        <v>20174.727209044562</v>
      </c>
      <c r="C12" s="52">
        <v>100873.63604522281</v>
      </c>
      <c r="D12" s="52">
        <v>7061.1545231655973</v>
      </c>
      <c r="E12" s="52">
        <v>0</v>
      </c>
      <c r="F12" s="22">
        <v>20</v>
      </c>
    </row>
    <row r="13" spans="1:21" x14ac:dyDescent="0.3">
      <c r="A13" s="51" t="s">
        <v>19</v>
      </c>
      <c r="B13" s="22">
        <v>20002.706775131108</v>
      </c>
      <c r="C13" s="31">
        <v>100013.53387565554</v>
      </c>
      <c r="D13" s="31">
        <v>7000.9473712958888</v>
      </c>
      <c r="E13" s="52">
        <v>0</v>
      </c>
      <c r="F13" s="22">
        <v>20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25ED2-2443-4A6F-837F-C83EF8FF7515}">
  <sheetPr codeName="NPV_calc"/>
  <dimension ref="A1:AB84"/>
  <sheetViews>
    <sheetView zoomScale="90" workbookViewId="0">
      <selection activeCell="F36" sqref="F36"/>
    </sheetView>
  </sheetViews>
  <sheetFormatPr defaultRowHeight="14.4" x14ac:dyDescent="0.3"/>
  <cols>
    <col min="1" max="1" width="50.33203125" customWidth="1"/>
    <col min="2" max="2" width="18.109375" customWidth="1"/>
    <col min="3" max="3" width="11.109375" customWidth="1"/>
    <col min="4" max="4" width="12.33203125" bestFit="1" customWidth="1"/>
    <col min="7" max="7" width="24.6640625" customWidth="1"/>
    <col min="8" max="28" width="9.6640625" customWidth="1"/>
  </cols>
  <sheetData>
    <row r="1" spans="1:28" x14ac:dyDescent="0.3">
      <c r="A1" s="17" t="str" cm="1">
        <f t="array" ref="A1:B34">'OLD_Revised Cash Flows'!A1:B34</f>
        <v>ECONOMIC PARAMETERS</v>
      </c>
      <c r="B1" s="17">
        <v>0</v>
      </c>
      <c r="C1" s="17"/>
      <c r="F1" cm="1">
        <f t="array" ref="F1:F12">IFERROR(_xlfn.XMATCH('OLD_Sensitivity Analysis'!C7:C18,SA_Calc!A1:A34),"")</f>
        <v>8</v>
      </c>
    </row>
    <row r="2" spans="1:28" x14ac:dyDescent="0.3">
      <c r="A2" s="18" t="str">
        <v>PARAMETER</v>
      </c>
      <c r="B2" s="18" t="str">
        <v>UNITS</v>
      </c>
      <c r="C2" s="18" t="s">
        <v>160</v>
      </c>
      <c r="F2">
        <v>11</v>
      </c>
    </row>
    <row r="3" spans="1:28" x14ac:dyDescent="0.3">
      <c r="A3" s="18" t="str">
        <v>ECONLIFE  (Economic Life of Project)</v>
      </c>
      <c r="B3" s="18" t="str">
        <v>Period = Year</v>
      </c>
      <c r="C3" s="18">
        <v>20</v>
      </c>
      <c r="F3">
        <v>14</v>
      </c>
    </row>
    <row r="4" spans="1:28" x14ac:dyDescent="0.3">
      <c r="A4" s="18" t="str">
        <v>MARR</v>
      </c>
      <c r="B4" s="18" t="str">
        <v>Percent</v>
      </c>
      <c r="C4" s="18">
        <v>0.08</v>
      </c>
      <c r="F4">
        <v>15</v>
      </c>
    </row>
    <row r="5" spans="1:28" x14ac:dyDescent="0.3">
      <c r="A5" s="18" t="str">
        <v>WORKP  (Working Capital Percentage)</v>
      </c>
      <c r="B5" s="18" t="str">
        <v>Percent/period</v>
      </c>
      <c r="C5" s="18">
        <v>0.05</v>
      </c>
      <c r="F5">
        <v>21</v>
      </c>
    </row>
    <row r="6" spans="1:28" x14ac:dyDescent="0.3">
      <c r="A6" s="18" t="str">
        <v>OPCHG  (Operating Charges, Percent of O&amp;M)</v>
      </c>
      <c r="B6" s="18" t="str">
        <v>Percent/period</v>
      </c>
      <c r="C6" s="18">
        <v>0.25</v>
      </c>
      <c r="F6" t="str">
        <v/>
      </c>
      <c r="G6" s="14" t="s">
        <v>168</v>
      </c>
      <c r="H6" s="14">
        <f>0</f>
        <v>0</v>
      </c>
      <c r="I6" s="15">
        <f t="shared" ref="I6:AB6" si="0">H6+1</f>
        <v>1</v>
      </c>
      <c r="J6" s="15">
        <f t="shared" si="0"/>
        <v>2</v>
      </c>
      <c r="K6" s="15">
        <f t="shared" si="0"/>
        <v>3</v>
      </c>
      <c r="L6" s="15">
        <f t="shared" si="0"/>
        <v>4</v>
      </c>
      <c r="M6" s="15">
        <f t="shared" si="0"/>
        <v>5</v>
      </c>
      <c r="N6" s="15">
        <f t="shared" si="0"/>
        <v>6</v>
      </c>
      <c r="O6" s="15">
        <f t="shared" si="0"/>
        <v>7</v>
      </c>
      <c r="P6" s="15">
        <f t="shared" si="0"/>
        <v>8</v>
      </c>
      <c r="Q6" s="15">
        <f t="shared" si="0"/>
        <v>9</v>
      </c>
      <c r="R6" s="15">
        <f t="shared" si="0"/>
        <v>10</v>
      </c>
      <c r="S6" s="15">
        <f t="shared" si="0"/>
        <v>11</v>
      </c>
      <c r="T6" s="15">
        <f t="shared" si="0"/>
        <v>12</v>
      </c>
      <c r="U6" s="15">
        <f t="shared" si="0"/>
        <v>13</v>
      </c>
      <c r="V6" s="15">
        <f t="shared" si="0"/>
        <v>14</v>
      </c>
      <c r="W6" s="15">
        <f t="shared" si="0"/>
        <v>15</v>
      </c>
      <c r="X6" s="15">
        <f t="shared" si="0"/>
        <v>16</v>
      </c>
      <c r="Y6" s="15">
        <f t="shared" si="0"/>
        <v>17</v>
      </c>
      <c r="Z6" s="15">
        <f t="shared" si="0"/>
        <v>18</v>
      </c>
      <c r="AA6" s="15">
        <f t="shared" si="0"/>
        <v>19</v>
      </c>
      <c r="AB6" s="15">
        <f t="shared" si="0"/>
        <v>20</v>
      </c>
    </row>
    <row r="7" spans="1:28" x14ac:dyDescent="0.3">
      <c r="A7" s="18" t="str">
        <v>PLANTOVH  (Plant Overhead, Percent of O&amp;M)</v>
      </c>
      <c r="B7" s="18" t="str">
        <v>Percent/period</v>
      </c>
      <c r="C7" s="18">
        <v>0.5</v>
      </c>
      <c r="F7" t="str">
        <v/>
      </c>
      <c r="G7" s="4" t="s">
        <v>170</v>
      </c>
      <c r="H7" s="4"/>
      <c r="I7" s="13"/>
      <c r="J7" s="13"/>
      <c r="K7" s="13"/>
      <c r="L7" s="13"/>
      <c r="M7" s="13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</row>
    <row r="8" spans="1:28" x14ac:dyDescent="0.3">
      <c r="A8" s="18" t="str">
        <v>TAXR  (Tax Rate)</v>
      </c>
      <c r="B8" s="18" t="str">
        <v>Percent/period</v>
      </c>
      <c r="C8" s="18">
        <v>0.28100000000000003</v>
      </c>
      <c r="F8" t="str">
        <v/>
      </c>
      <c r="G8" s="5" t="s">
        <v>172</v>
      </c>
      <c r="H8" s="11">
        <v>0</v>
      </c>
      <c r="I8" s="11">
        <f>'OLD_Aspen Cash Flows'!F11+C32</f>
        <v>31458971.959036615</v>
      </c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</row>
    <row r="9" spans="1:28" x14ac:dyDescent="0.3">
      <c r="A9" s="18" t="str">
        <v>SALVAL  (Salvage Value (Percent of Initial Capital Cost))</v>
      </c>
      <c r="B9" s="18" t="str">
        <v>Percent</v>
      </c>
      <c r="C9" s="18">
        <v>0</v>
      </c>
      <c r="F9" t="str">
        <v/>
      </c>
      <c r="G9" s="5" t="s">
        <v>139</v>
      </c>
      <c r="H9" s="11">
        <v>0</v>
      </c>
      <c r="I9" s="11">
        <f>$C$5*I8</f>
        <v>1572948.5979518308</v>
      </c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</row>
    <row r="10" spans="1:28" x14ac:dyDescent="0.3">
      <c r="A10" s="18" t="str">
        <v>Depreciation Method</v>
      </c>
      <c r="B10" s="18" t="str">
        <v>-</v>
      </c>
      <c r="C10" s="18" t="s">
        <v>176</v>
      </c>
      <c r="F10" t="str">
        <v/>
      </c>
      <c r="G10" s="5" t="s">
        <v>177</v>
      </c>
      <c r="H10" s="11">
        <v>0</v>
      </c>
      <c r="I10" s="11">
        <f>SUM(I8:I9)</f>
        <v>33031920.556988444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</row>
    <row r="11" spans="1:28" x14ac:dyDescent="0.3">
      <c r="A11" s="18" t="str">
        <v>ESPROD  (Products Escalation, Accounts for Inflation)</v>
      </c>
      <c r="B11" s="18" t="str">
        <v>Percent/period</v>
      </c>
      <c r="C11" s="18">
        <v>0.03</v>
      </c>
      <c r="F11" t="str">
        <v/>
      </c>
      <c r="G11" s="4" t="s">
        <v>179</v>
      </c>
      <c r="H11" s="13"/>
      <c r="I11" s="13" t="s">
        <v>180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3">
      <c r="A12" s="18" t="str">
        <v>ESRAW  (Raw Material Escalation)</v>
      </c>
      <c r="B12" s="18" t="str">
        <v>Percent/period</v>
      </c>
      <c r="C12" s="18">
        <v>3.5000000000000003E-2</v>
      </c>
      <c r="F12" t="str">
        <v/>
      </c>
      <c r="G12" s="5" t="s">
        <v>182</v>
      </c>
      <c r="H12" s="11">
        <v>0</v>
      </c>
      <c r="I12" s="11">
        <f>J12/2.43</f>
        <v>429308.31107146561</v>
      </c>
      <c r="J12" s="11">
        <f>C33</f>
        <v>1043219.1959036615</v>
      </c>
      <c r="K12" s="11">
        <f>(1+$C$13)*J12</f>
        <v>1074515.7717807714</v>
      </c>
      <c r="L12" s="11">
        <f t="shared" ref="L12:AB12" si="1">(1+$C$13)*K12</f>
        <v>1106751.2449341947</v>
      </c>
      <c r="M12" s="11">
        <f t="shared" si="1"/>
        <v>1139953.7822822207</v>
      </c>
      <c r="N12" s="11">
        <f t="shared" si="1"/>
        <v>1174152.3957506872</v>
      </c>
      <c r="O12" s="11">
        <f t="shared" si="1"/>
        <v>1209376.967623208</v>
      </c>
      <c r="P12" s="11">
        <f t="shared" si="1"/>
        <v>1245658.2766519042</v>
      </c>
      <c r="Q12" s="11">
        <f t="shared" si="1"/>
        <v>1283028.0249514615</v>
      </c>
      <c r="R12" s="11">
        <f t="shared" si="1"/>
        <v>1321518.8657000053</v>
      </c>
      <c r="S12" s="11">
        <f t="shared" si="1"/>
        <v>1361164.4316710054</v>
      </c>
      <c r="T12" s="11">
        <f t="shared" si="1"/>
        <v>1401999.3646211356</v>
      </c>
      <c r="U12" s="11">
        <f t="shared" si="1"/>
        <v>1444059.3455597698</v>
      </c>
      <c r="V12" s="11">
        <f t="shared" si="1"/>
        <v>1487381.1259265628</v>
      </c>
      <c r="W12" s="11">
        <f t="shared" si="1"/>
        <v>1532002.5597043599</v>
      </c>
      <c r="X12" s="11">
        <f t="shared" si="1"/>
        <v>1577962.6364954908</v>
      </c>
      <c r="Y12" s="11">
        <f t="shared" si="1"/>
        <v>1625301.5155903555</v>
      </c>
      <c r="Z12" s="11">
        <f t="shared" si="1"/>
        <v>1674060.5610580663</v>
      </c>
      <c r="AA12" s="11">
        <f t="shared" si="1"/>
        <v>1724282.3778898083</v>
      </c>
      <c r="AB12" s="11">
        <f t="shared" si="1"/>
        <v>1776010.8492265025</v>
      </c>
    </row>
    <row r="13" spans="1:28" x14ac:dyDescent="0.3">
      <c r="A13" s="18" t="str">
        <v>ESLAB  (Operating and Maintenance Labor Escalation)</v>
      </c>
      <c r="B13" s="18" t="str">
        <v>Percent/period</v>
      </c>
      <c r="C13" s="18">
        <v>0.03</v>
      </c>
      <c r="G13" s="5" t="s">
        <v>144</v>
      </c>
      <c r="H13" s="11">
        <v>0</v>
      </c>
      <c r="I13" s="11">
        <f>J13/2.43</f>
        <v>3638692.2574289963</v>
      </c>
      <c r="J13" s="11">
        <f>D34</f>
        <v>8842022.1855524611</v>
      </c>
      <c r="K13" s="11">
        <f>(1+$C$14)*J13</f>
        <v>9107282.8511190359</v>
      </c>
      <c r="L13" s="11">
        <f t="shared" ref="L13:AB13" si="2">(1+$C$14)*K13</f>
        <v>9380501.3366526067</v>
      </c>
      <c r="M13" s="11">
        <f t="shared" si="2"/>
        <v>9661916.3767521847</v>
      </c>
      <c r="N13" s="11">
        <f t="shared" si="2"/>
        <v>9951773.8680547513</v>
      </c>
      <c r="O13" s="11">
        <f t="shared" si="2"/>
        <v>10250327.084096394</v>
      </c>
      <c r="P13" s="11">
        <f t="shared" si="2"/>
        <v>10557836.896619286</v>
      </c>
      <c r="Q13" s="11">
        <f t="shared" si="2"/>
        <v>10874572.003517866</v>
      </c>
      <c r="R13" s="11">
        <f t="shared" si="2"/>
        <v>11200809.163623402</v>
      </c>
      <c r="S13" s="11">
        <f t="shared" si="2"/>
        <v>11536833.438532105</v>
      </c>
      <c r="T13" s="11">
        <f t="shared" si="2"/>
        <v>11882938.441688068</v>
      </c>
      <c r="U13" s="11">
        <f t="shared" si="2"/>
        <v>12239426.59493871</v>
      </c>
      <c r="V13" s="11">
        <f t="shared" si="2"/>
        <v>12606609.392786872</v>
      </c>
      <c r="W13" s="11">
        <f t="shared" si="2"/>
        <v>12984807.674570478</v>
      </c>
      <c r="X13" s="11">
        <f t="shared" si="2"/>
        <v>13374351.904807594</v>
      </c>
      <c r="Y13" s="11">
        <f t="shared" si="2"/>
        <v>13775582.461951822</v>
      </c>
      <c r="Z13" s="11">
        <f t="shared" si="2"/>
        <v>14188849.935810378</v>
      </c>
      <c r="AA13" s="11">
        <f t="shared" si="2"/>
        <v>14614515.43388469</v>
      </c>
      <c r="AB13" s="11">
        <f t="shared" si="2"/>
        <v>15052950.896901231</v>
      </c>
    </row>
    <row r="14" spans="1:28" x14ac:dyDescent="0.3">
      <c r="A14" s="18" t="str">
        <v>ESUT  (Utilities Escalation)</v>
      </c>
      <c r="B14" s="18" t="str">
        <v>Percent/period</v>
      </c>
      <c r="C14" s="18">
        <v>0.03</v>
      </c>
      <c r="G14" s="5" t="s">
        <v>185</v>
      </c>
      <c r="H14" s="11">
        <v>0</v>
      </c>
      <c r="I14" s="11">
        <f>$C$6*I12*0.75</f>
        <v>80495.308325899794</v>
      </c>
      <c r="J14" s="11">
        <f t="shared" ref="J14:AB14" si="3">$C$6*J12*0.75</f>
        <v>195603.59923193653</v>
      </c>
      <c r="K14" s="11">
        <f t="shared" si="3"/>
        <v>201471.70720889466</v>
      </c>
      <c r="L14" s="11">
        <f t="shared" si="3"/>
        <v>207515.85842516151</v>
      </c>
      <c r="M14" s="11">
        <f t="shared" si="3"/>
        <v>213741.33417791637</v>
      </c>
      <c r="N14" s="11">
        <f t="shared" si="3"/>
        <v>220153.57420325384</v>
      </c>
      <c r="O14" s="11">
        <f t="shared" si="3"/>
        <v>226758.18142935151</v>
      </c>
      <c r="P14" s="11">
        <f t="shared" si="3"/>
        <v>233560.92687223206</v>
      </c>
      <c r="Q14" s="11">
        <f t="shared" si="3"/>
        <v>240567.75467839901</v>
      </c>
      <c r="R14" s="11">
        <f t="shared" si="3"/>
        <v>247784.78731875098</v>
      </c>
      <c r="S14" s="11">
        <f t="shared" si="3"/>
        <v>255218.33093831351</v>
      </c>
      <c r="T14" s="11">
        <f t="shared" si="3"/>
        <v>262874.88086646295</v>
      </c>
      <c r="U14" s="11">
        <f t="shared" si="3"/>
        <v>270761.1272924568</v>
      </c>
      <c r="V14" s="11">
        <f t="shared" si="3"/>
        <v>278883.96111123054</v>
      </c>
      <c r="W14" s="11">
        <f t="shared" si="3"/>
        <v>287250.47994456749</v>
      </c>
      <c r="X14" s="11">
        <f t="shared" si="3"/>
        <v>295867.99434290454</v>
      </c>
      <c r="Y14" s="11">
        <f t="shared" si="3"/>
        <v>304744.03417319164</v>
      </c>
      <c r="Z14" s="11">
        <f t="shared" si="3"/>
        <v>313886.35519838741</v>
      </c>
      <c r="AA14" s="11">
        <f t="shared" si="3"/>
        <v>323302.94585433905</v>
      </c>
      <c r="AB14" s="11">
        <f t="shared" si="3"/>
        <v>333002.0342299692</v>
      </c>
    </row>
    <row r="15" spans="1:28" x14ac:dyDescent="0.3">
      <c r="A15" s="18" t="str">
        <v>Electricity Cost</v>
      </c>
      <c r="B15" s="18" t="str">
        <v>USD/kWh</v>
      </c>
      <c r="C15" s="18">
        <v>0.03</v>
      </c>
      <c r="G15" s="5" t="s">
        <v>146</v>
      </c>
      <c r="H15" s="11">
        <v>0</v>
      </c>
      <c r="I15" s="11">
        <f>$C$7*I12*0.75</f>
        <v>160990.61665179959</v>
      </c>
      <c r="J15" s="11">
        <f t="shared" ref="J15:AB15" si="4">$C$7*J12*0.75</f>
        <v>391207.19846387306</v>
      </c>
      <c r="K15" s="11">
        <f t="shared" si="4"/>
        <v>402943.41441778932</v>
      </c>
      <c r="L15" s="11">
        <f t="shared" si="4"/>
        <v>415031.71685032302</v>
      </c>
      <c r="M15" s="11">
        <f t="shared" si="4"/>
        <v>427482.66835583275</v>
      </c>
      <c r="N15" s="11">
        <f t="shared" si="4"/>
        <v>440307.14840650768</v>
      </c>
      <c r="O15" s="11">
        <f t="shared" si="4"/>
        <v>453516.36285870301</v>
      </c>
      <c r="P15" s="11">
        <f t="shared" si="4"/>
        <v>467121.85374446411</v>
      </c>
      <c r="Q15" s="11">
        <f t="shared" si="4"/>
        <v>481135.50935679802</v>
      </c>
      <c r="R15" s="11">
        <f t="shared" si="4"/>
        <v>495569.57463750197</v>
      </c>
      <c r="S15" s="11">
        <f t="shared" si="4"/>
        <v>510436.66187662701</v>
      </c>
      <c r="T15" s="11">
        <f t="shared" si="4"/>
        <v>525749.76173292589</v>
      </c>
      <c r="U15" s="11">
        <f t="shared" si="4"/>
        <v>541522.25458491361</v>
      </c>
      <c r="V15" s="11">
        <f t="shared" si="4"/>
        <v>557767.92222246109</v>
      </c>
      <c r="W15" s="11">
        <f t="shared" si="4"/>
        <v>574500.95988913497</v>
      </c>
      <c r="X15" s="11">
        <f t="shared" si="4"/>
        <v>591735.98868580908</v>
      </c>
      <c r="Y15" s="11">
        <f t="shared" si="4"/>
        <v>609488.06834638328</v>
      </c>
      <c r="Z15" s="11">
        <f t="shared" si="4"/>
        <v>627772.71039677481</v>
      </c>
      <c r="AA15" s="11">
        <f t="shared" si="4"/>
        <v>646605.8917086781</v>
      </c>
      <c r="AB15" s="11">
        <f t="shared" si="4"/>
        <v>666004.0684599384</v>
      </c>
    </row>
    <row r="16" spans="1:28" x14ac:dyDescent="0.3">
      <c r="A16" s="18">
        <v>0</v>
      </c>
      <c r="B16" s="18">
        <v>0</v>
      </c>
      <c r="C16" s="18"/>
      <c r="G16" s="5" t="s">
        <v>188</v>
      </c>
      <c r="H16" s="11">
        <v>0</v>
      </c>
      <c r="I16" s="11">
        <v>2690970</v>
      </c>
      <c r="J16" s="11">
        <v>6551290</v>
      </c>
      <c r="K16" s="11">
        <v>6747830</v>
      </c>
      <c r="L16" s="11">
        <v>6950270</v>
      </c>
      <c r="M16" s="11">
        <v>7158770</v>
      </c>
      <c r="N16" s="11">
        <v>7373540</v>
      </c>
      <c r="O16" s="11">
        <v>7594740</v>
      </c>
      <c r="P16" s="11">
        <v>7822590</v>
      </c>
      <c r="Q16" s="11">
        <v>8057260</v>
      </c>
      <c r="R16" s="11">
        <v>8298980</v>
      </c>
      <c r="S16" s="11">
        <v>8547950</v>
      </c>
      <c r="T16" s="11">
        <v>8804390</v>
      </c>
      <c r="U16" s="11">
        <v>9068520</v>
      </c>
      <c r="V16" s="11">
        <v>9340580</v>
      </c>
      <c r="W16" s="11">
        <v>9620790</v>
      </c>
      <c r="X16" s="11">
        <v>9909420</v>
      </c>
      <c r="Y16" s="11">
        <v>10206700</v>
      </c>
      <c r="Z16" s="11">
        <v>10512900</v>
      </c>
      <c r="AA16" s="11">
        <v>10828300</v>
      </c>
      <c r="AB16" s="11">
        <v>11153100</v>
      </c>
    </row>
    <row r="17" spans="1:28" x14ac:dyDescent="0.3">
      <c r="A17" s="18">
        <v>0</v>
      </c>
      <c r="B17" s="18">
        <v>0</v>
      </c>
      <c r="C17" s="18"/>
      <c r="G17" s="5" t="s">
        <v>189</v>
      </c>
      <c r="H17" s="11">
        <f t="shared" ref="H17:AB17" si="5">SUM(H12:H16)</f>
        <v>0</v>
      </c>
      <c r="I17" s="11">
        <f t="shared" si="5"/>
        <v>7000456.4934781613</v>
      </c>
      <c r="J17" s="11">
        <f t="shared" si="5"/>
        <v>17023342.17915193</v>
      </c>
      <c r="K17" s="11">
        <f t="shared" si="5"/>
        <v>17534043.744526491</v>
      </c>
      <c r="L17" s="11">
        <f t="shared" si="5"/>
        <v>18060070.156862285</v>
      </c>
      <c r="M17" s="11">
        <f t="shared" si="5"/>
        <v>18601864.161568154</v>
      </c>
      <c r="N17" s="11">
        <f t="shared" si="5"/>
        <v>19159926.9864152</v>
      </c>
      <c r="O17" s="11">
        <f t="shared" si="5"/>
        <v>19734718.596007656</v>
      </c>
      <c r="P17" s="11">
        <f t="shared" si="5"/>
        <v>20326767.953887887</v>
      </c>
      <c r="Q17" s="11">
        <f t="shared" si="5"/>
        <v>20936563.292504527</v>
      </c>
      <c r="R17" s="11">
        <f t="shared" si="5"/>
        <v>21564662.39127966</v>
      </c>
      <c r="S17" s="11">
        <f t="shared" si="5"/>
        <v>22211602.863018051</v>
      </c>
      <c r="T17" s="11">
        <f t="shared" si="5"/>
        <v>22877952.448908594</v>
      </c>
      <c r="U17" s="11">
        <f t="shared" si="5"/>
        <v>23564289.322375849</v>
      </c>
      <c r="V17" s="11">
        <f t="shared" si="5"/>
        <v>24271222.402047127</v>
      </c>
      <c r="W17" s="11">
        <f t="shared" si="5"/>
        <v>24999351.674108543</v>
      </c>
      <c r="X17" s="11">
        <f t="shared" si="5"/>
        <v>25749338.524331801</v>
      </c>
      <c r="Y17" s="11">
        <f t="shared" si="5"/>
        <v>26521816.080061752</v>
      </c>
      <c r="Z17" s="11">
        <f t="shared" si="5"/>
        <v>27317469.562463608</v>
      </c>
      <c r="AA17" s="11">
        <f t="shared" si="5"/>
        <v>28137006.649337515</v>
      </c>
      <c r="AB17" s="11">
        <f t="shared" si="5"/>
        <v>28981067.848817639</v>
      </c>
    </row>
    <row r="18" spans="1:28" x14ac:dyDescent="0.3">
      <c r="A18" s="18">
        <v>0</v>
      </c>
      <c r="B18" s="18">
        <v>0</v>
      </c>
      <c r="C18" s="18"/>
      <c r="G18" s="4" t="s">
        <v>190</v>
      </c>
      <c r="H18" s="13"/>
      <c r="I18" s="13" t="s">
        <v>191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</row>
    <row r="19" spans="1:28" x14ac:dyDescent="0.3">
      <c r="A19" s="18" t="str">
        <v>SALES PARAMETERS</v>
      </c>
      <c r="B19" s="18">
        <v>0</v>
      </c>
      <c r="C19" s="18"/>
      <c r="G19" s="5" t="s">
        <v>126</v>
      </c>
      <c r="H19" s="11">
        <v>0</v>
      </c>
      <c r="I19" s="11">
        <f>J19/2.73</f>
        <v>7942308.3021978037</v>
      </c>
      <c r="J19" s="11">
        <f>(1+2*$C$11)*D25</f>
        <v>21682501.665000003</v>
      </c>
      <c r="K19" s="11">
        <f t="shared" ref="K19:AB19" si="6">J19*(1+$C$11)</f>
        <v>22332976.714950003</v>
      </c>
      <c r="L19" s="11">
        <f t="shared" si="6"/>
        <v>23002966.016398504</v>
      </c>
      <c r="M19" s="11">
        <f t="shared" si="6"/>
        <v>23693054.996890459</v>
      </c>
      <c r="N19" s="11">
        <f t="shared" si="6"/>
        <v>24403846.646797173</v>
      </c>
      <c r="O19" s="11">
        <f t="shared" si="6"/>
        <v>25135962.046201088</v>
      </c>
      <c r="P19" s="11">
        <f t="shared" si="6"/>
        <v>25890040.907587122</v>
      </c>
      <c r="Q19" s="11">
        <f t="shared" si="6"/>
        <v>26666742.134814736</v>
      </c>
      <c r="R19" s="11">
        <f t="shared" si="6"/>
        <v>27466744.398859177</v>
      </c>
      <c r="S19" s="11">
        <f t="shared" si="6"/>
        <v>28290746.730824951</v>
      </c>
      <c r="T19" s="11">
        <f t="shared" si="6"/>
        <v>29139469.132749699</v>
      </c>
      <c r="U19" s="11">
        <f t="shared" si="6"/>
        <v>30013653.206732191</v>
      </c>
      <c r="V19" s="11">
        <f t="shared" si="6"/>
        <v>30914062.802934159</v>
      </c>
      <c r="W19" s="11">
        <f t="shared" si="6"/>
        <v>31841484.687022183</v>
      </c>
      <c r="X19" s="11">
        <f t="shared" si="6"/>
        <v>32796729.22763285</v>
      </c>
      <c r="Y19" s="11">
        <f t="shared" si="6"/>
        <v>33780631.104461834</v>
      </c>
      <c r="Z19" s="11">
        <f t="shared" si="6"/>
        <v>34794050.037595689</v>
      </c>
      <c r="AA19" s="11">
        <f t="shared" si="6"/>
        <v>35837871.538723558</v>
      </c>
      <c r="AB19" s="11">
        <f t="shared" si="6"/>
        <v>36913007.684885263</v>
      </c>
    </row>
    <row r="20" spans="1:28" x14ac:dyDescent="0.3">
      <c r="A20" s="18" t="str">
        <v>PARAMETER</v>
      </c>
      <c r="B20" s="18" t="str">
        <v>UNITS</v>
      </c>
      <c r="C20" s="18" t="s">
        <v>160</v>
      </c>
      <c r="G20" s="5" t="s">
        <v>204</v>
      </c>
      <c r="H20" s="11">
        <f t="shared" ref="H20:AB20" si="7">H19-H17</f>
        <v>0</v>
      </c>
      <c r="I20" s="11">
        <f t="shared" si="7"/>
        <v>941851.80871964246</v>
      </c>
      <c r="J20" s="11">
        <f t="shared" si="7"/>
        <v>4659159.4858480729</v>
      </c>
      <c r="K20" s="11">
        <f t="shared" si="7"/>
        <v>4798932.9704235122</v>
      </c>
      <c r="L20" s="11">
        <f t="shared" si="7"/>
        <v>4942895.8595362194</v>
      </c>
      <c r="M20" s="11">
        <f t="shared" si="7"/>
        <v>5091190.8353223056</v>
      </c>
      <c r="N20" s="11">
        <f t="shared" si="7"/>
        <v>5243919.6603819728</v>
      </c>
      <c r="O20" s="11">
        <f t="shared" si="7"/>
        <v>5401243.4501934312</v>
      </c>
      <c r="P20" s="11">
        <f t="shared" si="7"/>
        <v>5563272.9536992349</v>
      </c>
      <c r="Q20" s="11">
        <f t="shared" si="7"/>
        <v>5730178.8423102088</v>
      </c>
      <c r="R20" s="11">
        <f t="shared" si="7"/>
        <v>5902082.0075795166</v>
      </c>
      <c r="S20" s="11">
        <f t="shared" si="7"/>
        <v>6079143.8678069003</v>
      </c>
      <c r="T20" s="11">
        <f t="shared" si="7"/>
        <v>6261516.6838411056</v>
      </c>
      <c r="U20" s="11">
        <f t="shared" si="7"/>
        <v>6449363.8843563423</v>
      </c>
      <c r="V20" s="11">
        <f t="shared" si="7"/>
        <v>6642840.4008870311</v>
      </c>
      <c r="W20" s="11">
        <f t="shared" si="7"/>
        <v>6842133.0129136406</v>
      </c>
      <c r="X20" s="11">
        <f t="shared" si="7"/>
        <v>7047390.7033010498</v>
      </c>
      <c r="Y20" s="11">
        <f t="shared" si="7"/>
        <v>7258815.0244000815</v>
      </c>
      <c r="Z20" s="11">
        <f t="shared" si="7"/>
        <v>7476580.4751320817</v>
      </c>
      <c r="AA20" s="11">
        <f t="shared" si="7"/>
        <v>7700864.889386043</v>
      </c>
      <c r="AB20" s="11">
        <f t="shared" si="7"/>
        <v>7931939.8360676244</v>
      </c>
    </row>
    <row r="21" spans="1:28" x14ac:dyDescent="0.3">
      <c r="A21" s="18" t="str">
        <v xml:space="preserve">Ammonia Cost </v>
      </c>
      <c r="B21" s="18" t="str">
        <v>[USD/tonne]</v>
      </c>
      <c r="C21" s="18">
        <v>1050</v>
      </c>
      <c r="G21" s="4" t="s">
        <v>196</v>
      </c>
      <c r="H21" s="13"/>
      <c r="I21" s="13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</row>
    <row r="22" spans="1:28" x14ac:dyDescent="0.3">
      <c r="A22" s="18" t="str">
        <v xml:space="preserve">Oxygen Cost </v>
      </c>
      <c r="B22" s="18" t="str">
        <v>[USD/tonne]</v>
      </c>
      <c r="C22" s="18">
        <v>75</v>
      </c>
      <c r="G22" s="5" t="s">
        <v>198</v>
      </c>
      <c r="H22" s="11">
        <v>0</v>
      </c>
      <c r="I22" s="11">
        <f t="shared" ref="I22:AB22" si="8">(1-$C$9)*$I$8/$C$3</f>
        <v>1572948.5979518308</v>
      </c>
      <c r="J22" s="11">
        <f t="shared" si="8"/>
        <v>1572948.5979518308</v>
      </c>
      <c r="K22" s="11">
        <f t="shared" si="8"/>
        <v>1572948.5979518308</v>
      </c>
      <c r="L22" s="11">
        <f t="shared" si="8"/>
        <v>1572948.5979518308</v>
      </c>
      <c r="M22" s="11">
        <f t="shared" si="8"/>
        <v>1572948.5979518308</v>
      </c>
      <c r="N22" s="11">
        <f t="shared" si="8"/>
        <v>1572948.5979518308</v>
      </c>
      <c r="O22" s="11">
        <f t="shared" si="8"/>
        <v>1572948.5979518308</v>
      </c>
      <c r="P22" s="11">
        <f t="shared" si="8"/>
        <v>1572948.5979518308</v>
      </c>
      <c r="Q22" s="11">
        <f t="shared" si="8"/>
        <v>1572948.5979518308</v>
      </c>
      <c r="R22" s="11">
        <f t="shared" si="8"/>
        <v>1572948.5979518308</v>
      </c>
      <c r="S22" s="11">
        <f t="shared" si="8"/>
        <v>1572948.5979518308</v>
      </c>
      <c r="T22" s="11">
        <f t="shared" si="8"/>
        <v>1572948.5979518308</v>
      </c>
      <c r="U22" s="11">
        <f t="shared" si="8"/>
        <v>1572948.5979518308</v>
      </c>
      <c r="V22" s="11">
        <f t="shared" si="8"/>
        <v>1572948.5979518308</v>
      </c>
      <c r="W22" s="11">
        <f t="shared" si="8"/>
        <v>1572948.5979518308</v>
      </c>
      <c r="X22" s="11">
        <f t="shared" si="8"/>
        <v>1572948.5979518308</v>
      </c>
      <c r="Y22" s="11">
        <f t="shared" si="8"/>
        <v>1572948.5979518308</v>
      </c>
      <c r="Z22" s="11">
        <f t="shared" si="8"/>
        <v>1572948.5979518308</v>
      </c>
      <c r="AA22" s="11">
        <f t="shared" si="8"/>
        <v>1572948.5979518308</v>
      </c>
      <c r="AB22" s="11">
        <f t="shared" si="8"/>
        <v>1572948.5979518308</v>
      </c>
    </row>
    <row r="23" spans="1:28" x14ac:dyDescent="0.3">
      <c r="A23" s="18" t="str">
        <v>Ammonia Production</v>
      </c>
      <c r="B23" s="18" t="str">
        <v>[tonne/Year]</v>
      </c>
      <c r="C23" s="18">
        <v>19104.3</v>
      </c>
      <c r="G23" s="5" t="s">
        <v>201</v>
      </c>
      <c r="H23" s="11">
        <v>0</v>
      </c>
      <c r="I23" s="11">
        <f t="shared" ref="I23:AB23" si="9">I20-I22</f>
        <v>-631096.78923218837</v>
      </c>
      <c r="J23" s="11">
        <f t="shared" si="9"/>
        <v>3086210.8878962421</v>
      </c>
      <c r="K23" s="11">
        <f t="shared" si="9"/>
        <v>3225984.3724716813</v>
      </c>
      <c r="L23" s="11">
        <f t="shared" si="9"/>
        <v>3369947.2615843886</v>
      </c>
      <c r="M23" s="11">
        <f t="shared" si="9"/>
        <v>3518242.2373704747</v>
      </c>
      <c r="N23" s="11">
        <f t="shared" si="9"/>
        <v>3670971.062430142</v>
      </c>
      <c r="O23" s="11">
        <f t="shared" si="9"/>
        <v>3828294.8522416004</v>
      </c>
      <c r="P23" s="11">
        <f t="shared" si="9"/>
        <v>3990324.355747404</v>
      </c>
      <c r="Q23" s="11">
        <f t="shared" si="9"/>
        <v>4157230.244358378</v>
      </c>
      <c r="R23" s="11">
        <f t="shared" si="9"/>
        <v>4329133.4096276853</v>
      </c>
      <c r="S23" s="11">
        <f t="shared" si="9"/>
        <v>4506195.269855069</v>
      </c>
      <c r="T23" s="11">
        <f t="shared" si="9"/>
        <v>4688568.0858892743</v>
      </c>
      <c r="U23" s="11">
        <f t="shared" si="9"/>
        <v>4876415.286404511</v>
      </c>
      <c r="V23" s="11">
        <f t="shared" si="9"/>
        <v>5069891.8029351998</v>
      </c>
      <c r="W23" s="11">
        <f t="shared" si="9"/>
        <v>5269184.4149618093</v>
      </c>
      <c r="X23" s="11">
        <f t="shared" si="9"/>
        <v>5474442.1053492185</v>
      </c>
      <c r="Y23" s="11">
        <f t="shared" si="9"/>
        <v>5685866.4264482502</v>
      </c>
      <c r="Z23" s="11">
        <f t="shared" si="9"/>
        <v>5903631.8771802504</v>
      </c>
      <c r="AA23" s="11">
        <f t="shared" si="9"/>
        <v>6127916.2914342117</v>
      </c>
      <c r="AB23" s="11">
        <f t="shared" si="9"/>
        <v>6358991.2381157931</v>
      </c>
    </row>
    <row r="24" spans="1:28" x14ac:dyDescent="0.3">
      <c r="A24" s="18" t="str">
        <v>Oxygen Production</v>
      </c>
      <c r="B24" s="18" t="str">
        <v>[tonne/Year]</v>
      </c>
      <c r="C24" s="18">
        <v>5275.67</v>
      </c>
      <c r="G24" s="5" t="s">
        <v>203</v>
      </c>
      <c r="H24" s="11">
        <f>H23*$C$8</f>
        <v>0</v>
      </c>
      <c r="I24" s="11">
        <f t="shared" ref="I24:AB24" si="10">IF(I23&gt;0,I23*$C$8,0)</f>
        <v>0</v>
      </c>
      <c r="J24" s="11">
        <f t="shared" si="10"/>
        <v>867225.25949884416</v>
      </c>
      <c r="K24" s="11">
        <f t="shared" si="10"/>
        <v>906501.60866454255</v>
      </c>
      <c r="L24" s="11">
        <f t="shared" si="10"/>
        <v>946955.18050521333</v>
      </c>
      <c r="M24" s="11">
        <f t="shared" si="10"/>
        <v>988626.06870110345</v>
      </c>
      <c r="N24" s="11">
        <f t="shared" si="10"/>
        <v>1031542.86854287</v>
      </c>
      <c r="O24" s="11">
        <f t="shared" si="10"/>
        <v>1075750.8534798899</v>
      </c>
      <c r="P24" s="11">
        <f t="shared" si="10"/>
        <v>1121281.1439650205</v>
      </c>
      <c r="Q24" s="11">
        <f t="shared" si="10"/>
        <v>1168181.6986647043</v>
      </c>
      <c r="R24" s="11">
        <f t="shared" si="10"/>
        <v>1216486.4881053797</v>
      </c>
      <c r="S24" s="11">
        <f t="shared" si="10"/>
        <v>1266240.8708292744</v>
      </c>
      <c r="T24" s="11">
        <f t="shared" si="10"/>
        <v>1317487.6321348862</v>
      </c>
      <c r="U24" s="11">
        <f t="shared" si="10"/>
        <v>1370272.6954796677</v>
      </c>
      <c r="V24" s="11">
        <f t="shared" si="10"/>
        <v>1424639.5966247914</v>
      </c>
      <c r="W24" s="11">
        <f t="shared" si="10"/>
        <v>1480640.8206042685</v>
      </c>
      <c r="X24" s="11">
        <f t="shared" si="10"/>
        <v>1538318.2316031305</v>
      </c>
      <c r="Y24" s="11">
        <f t="shared" si="10"/>
        <v>1597728.4658319585</v>
      </c>
      <c r="Z24" s="11">
        <f t="shared" si="10"/>
        <v>1658920.5574876505</v>
      </c>
      <c r="AA24" s="11">
        <f t="shared" si="10"/>
        <v>1721944.4778930137</v>
      </c>
      <c r="AB24" s="11">
        <f t="shared" si="10"/>
        <v>1786876.537910538</v>
      </c>
    </row>
    <row r="25" spans="1:28" x14ac:dyDescent="0.3">
      <c r="A25" s="18" t="str">
        <v>Revenue</v>
      </c>
      <c r="B25" s="18" t="str">
        <v>[USD/Year]</v>
      </c>
      <c r="C25">
        <v>20455190.25</v>
      </c>
      <c r="D25" s="18">
        <f>C23*C21+C22*C24</f>
        <v>20455190.25</v>
      </c>
      <c r="G25" s="4" t="s">
        <v>206</v>
      </c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</row>
    <row r="26" spans="1:28" x14ac:dyDescent="0.3">
      <c r="A26" s="18">
        <v>0</v>
      </c>
      <c r="B26" s="18">
        <v>0</v>
      </c>
      <c r="C26" s="18"/>
      <c r="G26" s="5" t="s">
        <v>207</v>
      </c>
      <c r="H26" s="11">
        <v>0</v>
      </c>
      <c r="I26" s="11">
        <f>-I10</f>
        <v>-33031920.556988444</v>
      </c>
      <c r="J26" s="11">
        <f t="shared" ref="J26:AB26" si="11">J20-J24</f>
        <v>3791934.226349229</v>
      </c>
      <c r="K26" s="11">
        <f t="shared" si="11"/>
        <v>3892431.3617589697</v>
      </c>
      <c r="L26" s="11">
        <f t="shared" si="11"/>
        <v>3995940.6790310061</v>
      </c>
      <c r="M26" s="11">
        <f t="shared" si="11"/>
        <v>4102564.7666212022</v>
      </c>
      <c r="N26" s="11">
        <f t="shared" si="11"/>
        <v>4212376.7918391023</v>
      </c>
      <c r="O26" s="11">
        <f t="shared" si="11"/>
        <v>4325492.5967135411</v>
      </c>
      <c r="P26" s="11">
        <f t="shared" si="11"/>
        <v>4441991.8097342141</v>
      </c>
      <c r="Q26" s="11">
        <f t="shared" si="11"/>
        <v>4561997.1436455045</v>
      </c>
      <c r="R26" s="11">
        <f t="shared" si="11"/>
        <v>4685595.5194741366</v>
      </c>
      <c r="S26" s="11">
        <f t="shared" si="11"/>
        <v>4812902.9969776254</v>
      </c>
      <c r="T26" s="11">
        <f t="shared" si="11"/>
        <v>4944029.0517062191</v>
      </c>
      <c r="U26" s="11">
        <f t="shared" si="11"/>
        <v>5079091.1888766745</v>
      </c>
      <c r="V26" s="11">
        <f t="shared" si="11"/>
        <v>5218200.8042622395</v>
      </c>
      <c r="W26" s="11">
        <f t="shared" si="11"/>
        <v>5361492.1923093721</v>
      </c>
      <c r="X26" s="11">
        <f t="shared" si="11"/>
        <v>5509072.4716979191</v>
      </c>
      <c r="Y26" s="11">
        <f t="shared" si="11"/>
        <v>5661086.5585681228</v>
      </c>
      <c r="Z26" s="11">
        <f t="shared" si="11"/>
        <v>5817659.9176444309</v>
      </c>
      <c r="AA26" s="11">
        <f t="shared" si="11"/>
        <v>5978920.4114930294</v>
      </c>
      <c r="AB26" s="11">
        <f t="shared" si="11"/>
        <v>6145063.2981570866</v>
      </c>
    </row>
    <row r="27" spans="1:28" x14ac:dyDescent="0.3">
      <c r="A27" s="18">
        <v>0</v>
      </c>
      <c r="B27" s="18">
        <v>0</v>
      </c>
      <c r="C27" s="18"/>
      <c r="G27" s="5" t="s">
        <v>208</v>
      </c>
      <c r="H27" s="11">
        <v>0</v>
      </c>
      <c r="I27" s="11">
        <f>SUM($I$26:I26)</f>
        <v>-33031920.556988444</v>
      </c>
      <c r="J27" s="11">
        <f>SUM($I$26:J26)</f>
        <v>-29239986.330639213</v>
      </c>
      <c r="K27" s="11">
        <f>SUM($I$26:K26)</f>
        <v>-25347554.968880244</v>
      </c>
      <c r="L27" s="11">
        <f>SUM($I$26:L26)</f>
        <v>-21351614.289849237</v>
      </c>
      <c r="M27" s="11">
        <f>SUM($I$26:M26)</f>
        <v>-17249049.523228034</v>
      </c>
      <c r="N27" s="11">
        <f>SUM($I$26:N26)</f>
        <v>-13036672.731388932</v>
      </c>
      <c r="O27" s="11">
        <f>SUM($I$26:O26)</f>
        <v>-8711180.134675391</v>
      </c>
      <c r="P27" s="11">
        <f>SUM($I$26:P26)</f>
        <v>-4269188.3249411769</v>
      </c>
      <c r="Q27" s="11">
        <f>SUM($I$26:Q26)</f>
        <v>292808.81870432757</v>
      </c>
      <c r="R27" s="11">
        <f>SUM($I$26:R26)</f>
        <v>4978404.3381784642</v>
      </c>
      <c r="S27" s="11">
        <f>SUM($I$26:S26)</f>
        <v>9791307.3351560906</v>
      </c>
      <c r="T27" s="11">
        <f>SUM($I$26:T26)</f>
        <v>14735336.38686231</v>
      </c>
      <c r="U27" s="11">
        <f>SUM($I$26:U26)</f>
        <v>19814427.575738985</v>
      </c>
      <c r="V27" s="11">
        <f>SUM($I$26:V26)</f>
        <v>25032628.380001225</v>
      </c>
      <c r="W27" s="11">
        <f>SUM($I$26:W26)</f>
        <v>30394120.572310597</v>
      </c>
      <c r="X27" s="11">
        <f>SUM($I$26:X26)</f>
        <v>35903193.044008516</v>
      </c>
      <c r="Y27" s="11">
        <f>SUM($I$26:Y26)</f>
        <v>41564279.602576636</v>
      </c>
      <c r="Z27" s="11">
        <f>SUM($I$26:Z26)</f>
        <v>47381939.520221069</v>
      </c>
      <c r="AA27" s="11">
        <f>SUM($I$26:AA26)</f>
        <v>53360859.931714103</v>
      </c>
      <c r="AB27" s="11">
        <f>SUM($I$26:AB26)</f>
        <v>59505923.229871191</v>
      </c>
    </row>
    <row r="28" spans="1:28" x14ac:dyDescent="0.3">
      <c r="A28" s="18">
        <v>0</v>
      </c>
      <c r="B28" s="18">
        <v>0</v>
      </c>
      <c r="C28" s="18"/>
      <c r="G28" s="16" t="s">
        <v>209</v>
      </c>
      <c r="H28" s="2">
        <f>PV($C$4,H6,0,-1)</f>
        <v>1</v>
      </c>
      <c r="I28" s="2">
        <f t="shared" ref="I28:AB28" si="12">PV($C$4,I6,0,-1)</f>
        <v>0.92592592592592582</v>
      </c>
      <c r="J28" s="2">
        <f t="shared" si="12"/>
        <v>0.85733882030178321</v>
      </c>
      <c r="K28" s="2">
        <f t="shared" si="12"/>
        <v>0.79383224102016958</v>
      </c>
      <c r="L28" s="2">
        <f t="shared" si="12"/>
        <v>0.73502985279645328</v>
      </c>
      <c r="M28" s="2">
        <f t="shared" si="12"/>
        <v>0.68058319703375303</v>
      </c>
      <c r="N28" s="2">
        <f t="shared" si="12"/>
        <v>0.63016962688310452</v>
      </c>
      <c r="O28" s="2">
        <f t="shared" si="12"/>
        <v>0.58349039526213387</v>
      </c>
      <c r="P28" s="2">
        <f t="shared" si="12"/>
        <v>0.54026888450197574</v>
      </c>
      <c r="Q28" s="2">
        <f t="shared" si="12"/>
        <v>0.50024896713145905</v>
      </c>
      <c r="R28" s="2">
        <f t="shared" si="12"/>
        <v>0.46319348808468425</v>
      </c>
      <c r="S28" s="2">
        <f t="shared" si="12"/>
        <v>0.42888285933767062</v>
      </c>
      <c r="T28" s="2">
        <f t="shared" si="12"/>
        <v>0.39711375864599124</v>
      </c>
      <c r="U28" s="2">
        <f t="shared" si="12"/>
        <v>0.36769792467221413</v>
      </c>
      <c r="V28" s="2">
        <f t="shared" si="12"/>
        <v>0.34046104136316119</v>
      </c>
      <c r="W28" s="2">
        <f t="shared" si="12"/>
        <v>0.31524170496588994</v>
      </c>
      <c r="X28" s="2">
        <f t="shared" si="12"/>
        <v>0.29189046756100923</v>
      </c>
      <c r="Y28" s="2">
        <f t="shared" si="12"/>
        <v>0.27026895144537894</v>
      </c>
      <c r="Z28" s="2">
        <f t="shared" si="12"/>
        <v>0.25024902911609154</v>
      </c>
      <c r="AA28" s="2">
        <f t="shared" si="12"/>
        <v>0.23171206399638106</v>
      </c>
      <c r="AB28" s="2">
        <f t="shared" si="12"/>
        <v>0.21454820740405653</v>
      </c>
    </row>
    <row r="29" spans="1:28" x14ac:dyDescent="0.3">
      <c r="A29" s="18">
        <v>0</v>
      </c>
      <c r="B29" s="18">
        <v>0</v>
      </c>
      <c r="C29" s="18"/>
      <c r="G29" s="5" t="s">
        <v>210</v>
      </c>
      <c r="H29" s="11">
        <v>0</v>
      </c>
      <c r="I29" s="11">
        <f>I26*H28</f>
        <v>-33031920.556988444</v>
      </c>
      <c r="J29" s="11">
        <f t="shared" ref="J29:AB29" si="13">J26*J28</f>
        <v>3250972.416280203</v>
      </c>
      <c r="K29" s="11">
        <f t="shared" si="13"/>
        <v>3089937.5109223132</v>
      </c>
      <c r="L29" s="11">
        <f t="shared" si="13"/>
        <v>2937135.6890915199</v>
      </c>
      <c r="M29" s="11">
        <f t="shared" si="13"/>
        <v>2792136.6449050908</v>
      </c>
      <c r="N29" s="11">
        <f t="shared" si="13"/>
        <v>2654511.9112042957</v>
      </c>
      <c r="O29" s="11">
        <f t="shared" si="13"/>
        <v>2523883.3849598179</v>
      </c>
      <c r="P29" s="11">
        <f t="shared" si="13"/>
        <v>2399869.9600120164</v>
      </c>
      <c r="Q29" s="11">
        <f t="shared" si="13"/>
        <v>2282134.35916533</v>
      </c>
      <c r="R29" s="11">
        <f t="shared" si="13"/>
        <v>2170337.3324191933</v>
      </c>
      <c r="S29" s="11">
        <f t="shared" si="13"/>
        <v>2064171.5990586083</v>
      </c>
      <c r="T29" s="11">
        <f t="shared" si="13"/>
        <v>1963341.9595780324</v>
      </c>
      <c r="U29" s="11">
        <f t="shared" si="13"/>
        <v>1867571.2893708819</v>
      </c>
      <c r="V29" s="11">
        <f t="shared" si="13"/>
        <v>1776594.0798612074</v>
      </c>
      <c r="W29" s="11">
        <f t="shared" si="13"/>
        <v>1690165.9398649135</v>
      </c>
      <c r="X29" s="11">
        <f t="shared" si="13"/>
        <v>1608045.7395913904</v>
      </c>
      <c r="Y29" s="11">
        <f t="shared" si="13"/>
        <v>1530015.9282257352</v>
      </c>
      <c r="Z29" s="11">
        <f t="shared" si="13"/>
        <v>1455863.7461181199</v>
      </c>
      <c r="AA29" s="11">
        <f t="shared" si="13"/>
        <v>1385387.9890171418</v>
      </c>
      <c r="AB29" s="11">
        <f t="shared" si="13"/>
        <v>1318412.3150040624</v>
      </c>
    </row>
    <row r="30" spans="1:28" x14ac:dyDescent="0.3">
      <c r="A30" s="18" t="str">
        <v>ADDITIONAL EQUIPMENT</v>
      </c>
      <c r="B30" s="18">
        <v>0</v>
      </c>
      <c r="C30" s="18"/>
      <c r="G30" s="5" t="s">
        <v>212</v>
      </c>
      <c r="H30" s="11">
        <v>0</v>
      </c>
      <c r="I30" s="11">
        <f>SUM($I$29:I29)</f>
        <v>-33031920.556988444</v>
      </c>
      <c r="J30" s="11">
        <f>SUM($I$29:J29)</f>
        <v>-29780948.140708242</v>
      </c>
      <c r="K30" s="11">
        <f>SUM($I$29:K29)</f>
        <v>-26691010.629785929</v>
      </c>
      <c r="L30" s="11">
        <f>SUM($I$29:L29)</f>
        <v>-23753874.94069441</v>
      </c>
      <c r="M30" s="11">
        <f>SUM($I$29:M29)</f>
        <v>-20961738.29578932</v>
      </c>
      <c r="N30" s="11">
        <f>SUM($I$29:N29)</f>
        <v>-18307226.384585023</v>
      </c>
      <c r="O30" s="11">
        <f>SUM($I$29:O29)</f>
        <v>-15783342.999625206</v>
      </c>
      <c r="P30" s="11">
        <f>SUM($I$29:P29)</f>
        <v>-13383473.039613189</v>
      </c>
      <c r="Q30" s="11">
        <f>SUM($I$29:Q29)</f>
        <v>-11101338.68044786</v>
      </c>
      <c r="R30" s="11">
        <f>SUM($I$29:R29)</f>
        <v>-8931001.3480286673</v>
      </c>
      <c r="S30" s="11">
        <f>SUM($I$29:S29)</f>
        <v>-6866829.7489700587</v>
      </c>
      <c r="T30" s="11">
        <f>SUM($I$29:T29)</f>
        <v>-4903487.7893920261</v>
      </c>
      <c r="U30" s="11">
        <f>SUM($I$29:U29)</f>
        <v>-3035916.5000211443</v>
      </c>
      <c r="V30" s="11">
        <f>SUM($I$29:V29)</f>
        <v>-1259322.4201599369</v>
      </c>
      <c r="W30" s="11">
        <f>SUM($I$29:W29)</f>
        <v>430843.51970497658</v>
      </c>
      <c r="X30" s="11">
        <f>SUM($I$29:X29)</f>
        <v>2038889.2592963669</v>
      </c>
      <c r="Y30" s="11">
        <f>SUM($I$29:Y29)</f>
        <v>3568905.1875221021</v>
      </c>
      <c r="Z30" s="11">
        <f>SUM($I$29:Z29)</f>
        <v>5024768.9336402221</v>
      </c>
      <c r="AA30" s="11">
        <f>SUM($I$29:AA29)</f>
        <v>6410156.922657364</v>
      </c>
      <c r="AB30" s="11">
        <f>SUM($I$29:AB29)</f>
        <v>7728569.2376614269</v>
      </c>
    </row>
    <row r="31" spans="1:28" x14ac:dyDescent="0.3">
      <c r="A31" s="18" t="str">
        <v>PARAMETER</v>
      </c>
      <c r="B31" s="18" t="str">
        <v>UNITS</v>
      </c>
      <c r="C31" s="18" t="s">
        <v>160</v>
      </c>
      <c r="G31" s="4" t="s">
        <v>213</v>
      </c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</row>
    <row r="32" spans="1:28" x14ac:dyDescent="0.3">
      <c r="A32" s="18" t="str">
        <v>Installed Cost</v>
      </c>
      <c r="B32" s="18" t="str">
        <v>[USD]</v>
      </c>
      <c r="C32" s="18">
        <v>10484771.959036615</v>
      </c>
      <c r="G32" s="5" t="s">
        <v>216</v>
      </c>
      <c r="H32" s="3">
        <f>NPV($C$4,I26:AB26)</f>
        <v>10175378.167808717</v>
      </c>
    </row>
    <row r="33" spans="1:8" x14ac:dyDescent="0.3">
      <c r="A33" s="18" t="str">
        <v>O&amp;M Cost</v>
      </c>
      <c r="B33" s="18" t="str">
        <v>[USD/Year]</v>
      </c>
      <c r="C33" s="18">
        <v>1043219.1959036615</v>
      </c>
      <c r="G33" s="5" t="s">
        <v>218</v>
      </c>
      <c r="H33" s="11">
        <f>H32*PMT($C$4,$C$3,-1)</f>
        <v>1036384.7420021814</v>
      </c>
    </row>
    <row r="34" spans="1:8" x14ac:dyDescent="0.3">
      <c r="A34" s="19" t="str">
        <v>Utilities Cost</v>
      </c>
      <c r="B34" s="19" t="str">
        <v>[USD/Year]</v>
      </c>
      <c r="C34">
        <v>7798802.9896488003</v>
      </c>
      <c r="D34" s="20">
        <f>J84</f>
        <v>8842022.1855524611</v>
      </c>
      <c r="G34" s="5" t="s">
        <v>220</v>
      </c>
      <c r="H34">
        <f>IRR(I26:AB26)</f>
        <v>0.11940003106569086</v>
      </c>
    </row>
    <row r="35" spans="1:8" x14ac:dyDescent="0.3">
      <c r="G35" s="5" t="s">
        <v>221</v>
      </c>
      <c r="H35" s="1">
        <f>H60</f>
        <v>14.267929890983359</v>
      </c>
    </row>
    <row r="36" spans="1:8" x14ac:dyDescent="0.3">
      <c r="H36" s="11"/>
    </row>
    <row r="39" spans="1:8" x14ac:dyDescent="0.3">
      <c r="H39" s="3"/>
    </row>
    <row r="54" spans="7:28" x14ac:dyDescent="0.3">
      <c r="G54" s="4" t="s">
        <v>225</v>
      </c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</row>
    <row r="55" spans="7:28" x14ac:dyDescent="0.3">
      <c r="G55" s="5" t="s">
        <v>228</v>
      </c>
      <c r="H55">
        <v>0</v>
      </c>
      <c r="I55">
        <f>H55+1</f>
        <v>1</v>
      </c>
      <c r="J55">
        <f t="shared" ref="J55:AB55" si="14">I55+1</f>
        <v>2</v>
      </c>
      <c r="K55">
        <f t="shared" si="14"/>
        <v>3</v>
      </c>
      <c r="L55">
        <f t="shared" si="14"/>
        <v>4</v>
      </c>
      <c r="M55">
        <f t="shared" si="14"/>
        <v>5</v>
      </c>
      <c r="N55">
        <f t="shared" si="14"/>
        <v>6</v>
      </c>
      <c r="O55">
        <f t="shared" si="14"/>
        <v>7</v>
      </c>
      <c r="P55">
        <f t="shared" si="14"/>
        <v>8</v>
      </c>
      <c r="Q55">
        <f t="shared" si="14"/>
        <v>9</v>
      </c>
      <c r="R55">
        <f t="shared" si="14"/>
        <v>10</v>
      </c>
      <c r="S55">
        <f t="shared" si="14"/>
        <v>11</v>
      </c>
      <c r="T55">
        <f t="shared" si="14"/>
        <v>12</v>
      </c>
      <c r="U55">
        <f t="shared" si="14"/>
        <v>13</v>
      </c>
      <c r="V55">
        <f t="shared" si="14"/>
        <v>14</v>
      </c>
      <c r="W55">
        <f t="shared" si="14"/>
        <v>15</v>
      </c>
      <c r="X55">
        <f t="shared" si="14"/>
        <v>16</v>
      </c>
      <c r="Y55">
        <f t="shared" si="14"/>
        <v>17</v>
      </c>
      <c r="Z55">
        <f t="shared" si="14"/>
        <v>18</v>
      </c>
      <c r="AA55">
        <f t="shared" si="14"/>
        <v>19</v>
      </c>
      <c r="AB55">
        <f t="shared" si="14"/>
        <v>20</v>
      </c>
    </row>
    <row r="56" spans="7:28" x14ac:dyDescent="0.3">
      <c r="G56" s="5" t="s">
        <v>212</v>
      </c>
      <c r="H56">
        <v>0</v>
      </c>
      <c r="I56" s="11">
        <f>I30</f>
        <v>-33031920.556988444</v>
      </c>
      <c r="J56" s="11">
        <f t="shared" ref="J56:AB56" si="15">J30</f>
        <v>-29780948.140708242</v>
      </c>
      <c r="K56" s="11">
        <f t="shared" si="15"/>
        <v>-26691010.629785929</v>
      </c>
      <c r="L56" s="11">
        <f t="shared" si="15"/>
        <v>-23753874.94069441</v>
      </c>
      <c r="M56" s="11">
        <f t="shared" si="15"/>
        <v>-20961738.29578932</v>
      </c>
      <c r="N56" s="11">
        <f t="shared" si="15"/>
        <v>-18307226.384585023</v>
      </c>
      <c r="O56" s="11">
        <f t="shared" si="15"/>
        <v>-15783342.999625206</v>
      </c>
      <c r="P56" s="11">
        <f t="shared" si="15"/>
        <v>-13383473.039613189</v>
      </c>
      <c r="Q56" s="11">
        <f t="shared" si="15"/>
        <v>-11101338.68044786</v>
      </c>
      <c r="R56" s="11">
        <f t="shared" si="15"/>
        <v>-8931001.3480286673</v>
      </c>
      <c r="S56" s="11">
        <f t="shared" si="15"/>
        <v>-6866829.7489700587</v>
      </c>
      <c r="T56" s="11">
        <f t="shared" si="15"/>
        <v>-4903487.7893920261</v>
      </c>
      <c r="U56" s="11">
        <f t="shared" si="15"/>
        <v>-3035916.5000211443</v>
      </c>
      <c r="V56" s="11">
        <f t="shared" si="15"/>
        <v>-1259322.4201599369</v>
      </c>
      <c r="W56" s="11">
        <f t="shared" si="15"/>
        <v>430843.51970497658</v>
      </c>
      <c r="X56" s="11">
        <f t="shared" si="15"/>
        <v>2038889.2592963669</v>
      </c>
      <c r="Y56" s="11">
        <f t="shared" si="15"/>
        <v>3568905.1875221021</v>
      </c>
      <c r="Z56" s="11">
        <f t="shared" si="15"/>
        <v>5024768.9336402221</v>
      </c>
      <c r="AA56" s="11">
        <f t="shared" si="15"/>
        <v>6410156.922657364</v>
      </c>
      <c r="AB56" s="11">
        <f t="shared" si="15"/>
        <v>7728569.2376614269</v>
      </c>
    </row>
    <row r="57" spans="7:28" x14ac:dyDescent="0.3">
      <c r="G57" s="5" t="s">
        <v>232</v>
      </c>
      <c r="H57">
        <v>0</v>
      </c>
      <c r="I57" s="11">
        <f>I56*H56</f>
        <v>0</v>
      </c>
      <c r="J57" s="11">
        <f t="shared" ref="J57:AB57" si="16">J56*I56</f>
        <v>983721913095667.38</v>
      </c>
      <c r="K57" s="11">
        <f t="shared" si="16"/>
        <v>794883603388747.13</v>
      </c>
      <c r="L57" s="11">
        <f t="shared" si="16"/>
        <v>634014928540680.13</v>
      </c>
      <c r="M57" s="11">
        <f t="shared" si="16"/>
        <v>497922510017744.31</v>
      </c>
      <c r="N57" s="11">
        <f t="shared" si="16"/>
        <v>383751288395440.56</v>
      </c>
      <c r="O57" s="11">
        <f t="shared" si="16"/>
        <v>288949233399693.88</v>
      </c>
      <c r="P57" s="11">
        <f t="shared" si="16"/>
        <v>211235945510451.5</v>
      </c>
      <c r="Q57" s="11">
        <f t="shared" si="16"/>
        <v>148574466933389</v>
      </c>
      <c r="R57" s="11">
        <f t="shared" si="16"/>
        <v>99146070720002.625</v>
      </c>
      <c r="S57" s="11">
        <f t="shared" si="16"/>
        <v>61327665744734.953</v>
      </c>
      <c r="T57" s="11">
        <f t="shared" si="16"/>
        <v>33671415825908.594</v>
      </c>
      <c r="U57" s="11">
        <f t="shared" si="16"/>
        <v>14886579487467.457</v>
      </c>
      <c r="V57" s="11">
        <f t="shared" si="16"/>
        <v>3823197714210.1123</v>
      </c>
      <c r="W57" s="11">
        <f t="shared" si="16"/>
        <v>-542570903945.09656</v>
      </c>
      <c r="X57" s="11">
        <f t="shared" si="16"/>
        <v>878442224763.91943</v>
      </c>
      <c r="Y57" s="11">
        <f t="shared" si="16"/>
        <v>7276602454285.9004</v>
      </c>
      <c r="Z57" s="11">
        <f t="shared" si="16"/>
        <v>17932923913368.488</v>
      </c>
      <c r="AA57" s="11">
        <f t="shared" si="16"/>
        <v>32209557364727.531</v>
      </c>
      <c r="AB57" s="11">
        <f t="shared" si="16"/>
        <v>49541341601032.141</v>
      </c>
    </row>
    <row r="58" spans="7:28" x14ac:dyDescent="0.3">
      <c r="G58" s="5" t="s">
        <v>235</v>
      </c>
      <c r="H58">
        <v>0</v>
      </c>
      <c r="I58">
        <f>IF(I57&lt;0,1,0)</f>
        <v>0</v>
      </c>
      <c r="J58">
        <f t="shared" ref="J58:AB58" si="17">IF(J57&lt;0,1,0)</f>
        <v>0</v>
      </c>
      <c r="K58">
        <f t="shared" si="17"/>
        <v>0</v>
      </c>
      <c r="L58">
        <f t="shared" si="17"/>
        <v>0</v>
      </c>
      <c r="M58">
        <f t="shared" si="17"/>
        <v>0</v>
      </c>
      <c r="N58">
        <f t="shared" si="17"/>
        <v>0</v>
      </c>
      <c r="O58">
        <f t="shared" si="17"/>
        <v>0</v>
      </c>
      <c r="P58">
        <f t="shared" si="17"/>
        <v>0</v>
      </c>
      <c r="Q58">
        <f t="shared" si="17"/>
        <v>0</v>
      </c>
      <c r="R58">
        <f t="shared" si="17"/>
        <v>0</v>
      </c>
      <c r="S58">
        <f t="shared" si="17"/>
        <v>0</v>
      </c>
      <c r="T58">
        <f t="shared" si="17"/>
        <v>0</v>
      </c>
      <c r="U58">
        <f t="shared" si="17"/>
        <v>0</v>
      </c>
      <c r="V58">
        <f t="shared" si="17"/>
        <v>0</v>
      </c>
      <c r="W58">
        <f t="shared" si="17"/>
        <v>1</v>
      </c>
      <c r="X58">
        <f t="shared" si="17"/>
        <v>0</v>
      </c>
      <c r="Y58">
        <f t="shared" si="17"/>
        <v>0</v>
      </c>
      <c r="Z58">
        <f t="shared" si="17"/>
        <v>0</v>
      </c>
      <c r="AA58">
        <f t="shared" si="17"/>
        <v>0</v>
      </c>
      <c r="AB58">
        <f t="shared" si="17"/>
        <v>0</v>
      </c>
    </row>
    <row r="59" spans="7:28" x14ac:dyDescent="0.3">
      <c r="G59" s="5" t="s">
        <v>236</v>
      </c>
      <c r="H59">
        <f>_xlfn.XMATCH(1,I58:AB58)</f>
        <v>15</v>
      </c>
    </row>
    <row r="60" spans="7:28" x14ac:dyDescent="0.3">
      <c r="G60" s="5" t="s">
        <v>237</v>
      </c>
      <c r="H60" cm="1">
        <f t="array" ref="H60">H59-1+ABS(INDEX(I56:AB56,H59))/(INDEX(I56:AB56,H59+1)-INDEX(I56:AB56,H59))</f>
        <v>14.267929890983359</v>
      </c>
    </row>
    <row r="68" spans="7:10" x14ac:dyDescent="0.3">
      <c r="G68" s="8" t="s">
        <v>349</v>
      </c>
      <c r="H68" s="8" t="s">
        <v>350</v>
      </c>
    </row>
    <row r="69" spans="7:10" x14ac:dyDescent="0.3">
      <c r="G69" s="7" t="s">
        <v>351</v>
      </c>
      <c r="H69" s="7">
        <f>C15</f>
        <v>0.03</v>
      </c>
    </row>
    <row r="71" spans="7:10" x14ac:dyDescent="0.3">
      <c r="G71" s="8" t="s">
        <v>352</v>
      </c>
      <c r="H71" s="8" t="s">
        <v>2</v>
      </c>
      <c r="I71" s="8" t="s">
        <v>3</v>
      </c>
      <c r="J71" s="8" t="s">
        <v>347</v>
      </c>
    </row>
    <row r="72" spans="7:10" x14ac:dyDescent="0.3">
      <c r="G72" s="6" t="s">
        <v>60</v>
      </c>
      <c r="H72" s="10">
        <v>20000</v>
      </c>
      <c r="I72" s="10">
        <f>0.1*H72</f>
        <v>2000</v>
      </c>
      <c r="J72" s="10">
        <f>I72</f>
        <v>2000</v>
      </c>
    </row>
    <row r="73" spans="7:10" x14ac:dyDescent="0.3">
      <c r="G73" s="6" t="s">
        <v>69</v>
      </c>
      <c r="H73" s="9">
        <v>86800</v>
      </c>
      <c r="I73" s="10">
        <v>3422</v>
      </c>
      <c r="J73" s="9">
        <f>0.000000217*24*365*1840140</f>
        <v>3497.9589287999997</v>
      </c>
    </row>
    <row r="74" spans="7:10" x14ac:dyDescent="0.3">
      <c r="G74" s="6" t="s">
        <v>72</v>
      </c>
      <c r="H74" s="7">
        <v>344950</v>
      </c>
      <c r="I74" s="10">
        <f t="shared" ref="I74:I76" si="18">0.1*H74</f>
        <v>34495</v>
      </c>
      <c r="J74" s="10">
        <v>0</v>
      </c>
    </row>
    <row r="75" spans="7:10" x14ac:dyDescent="0.3">
      <c r="G75" s="6" t="s">
        <v>73</v>
      </c>
      <c r="H75" s="7">
        <v>68267</v>
      </c>
      <c r="I75" s="9">
        <f t="shared" si="18"/>
        <v>6826.7000000000007</v>
      </c>
      <c r="J75" s="9">
        <f>-6.201349*24*365</f>
        <v>-54323.817240000004</v>
      </c>
    </row>
    <row r="76" spans="7:10" x14ac:dyDescent="0.3">
      <c r="G76" s="6" t="s">
        <v>353</v>
      </c>
      <c r="H76" s="7">
        <v>68040</v>
      </c>
      <c r="I76" s="10">
        <f t="shared" si="18"/>
        <v>6804</v>
      </c>
      <c r="J76" s="9">
        <f>-4.608579*24*365</f>
        <v>-40371.152040000001</v>
      </c>
    </row>
    <row r="77" spans="7:10" x14ac:dyDescent="0.3">
      <c r="G77" s="6" t="s">
        <v>47</v>
      </c>
      <c r="H77" s="9">
        <v>7500000</v>
      </c>
      <c r="I77" s="10">
        <f t="shared" ref="I77:I82" si="19">0.1*H77</f>
        <v>750000</v>
      </c>
      <c r="J77" s="10">
        <f>30000*$C$15*365*24</f>
        <v>7884000</v>
      </c>
    </row>
    <row r="78" spans="7:10" x14ac:dyDescent="0.3">
      <c r="G78" s="6" t="s">
        <v>49</v>
      </c>
      <c r="H78" s="9">
        <v>400199.73917763348</v>
      </c>
      <c r="I78" s="9">
        <f t="shared" si="19"/>
        <v>40019.973917763353</v>
      </c>
      <c r="J78" s="10">
        <v>0</v>
      </c>
    </row>
    <row r="79" spans="7:10" x14ac:dyDescent="0.3">
      <c r="G79" s="6" t="s">
        <v>354</v>
      </c>
      <c r="H79" s="9">
        <v>363257.60992949078</v>
      </c>
      <c r="I79" s="9">
        <f t="shared" si="19"/>
        <v>36325.760992949079</v>
      </c>
      <c r="J79" s="10">
        <v>0</v>
      </c>
    </row>
    <row r="80" spans="7:10" x14ac:dyDescent="0.3">
      <c r="G80" s="6" t="s">
        <v>355</v>
      </c>
      <c r="H80" s="9">
        <v>363257.60992949078</v>
      </c>
      <c r="I80" s="9">
        <f t="shared" si="19"/>
        <v>36325.760992949079</v>
      </c>
      <c r="J80" s="10">
        <v>0</v>
      </c>
    </row>
    <row r="81" spans="7:10" x14ac:dyDescent="0.3">
      <c r="G81" s="6" t="s">
        <v>356</v>
      </c>
      <c r="H81" s="9">
        <v>1100000</v>
      </c>
      <c r="I81" s="10">
        <f t="shared" si="19"/>
        <v>110000</v>
      </c>
      <c r="J81" s="10">
        <v>2000</v>
      </c>
    </row>
    <row r="82" spans="7:10" x14ac:dyDescent="0.3">
      <c r="G82" s="6" t="s">
        <v>357</v>
      </c>
      <c r="H82" s="9">
        <v>170000</v>
      </c>
      <c r="I82" s="10">
        <f t="shared" si="19"/>
        <v>17000</v>
      </c>
      <c r="J82" s="10">
        <v>2000</v>
      </c>
    </row>
    <row r="83" spans="7:10" x14ac:dyDescent="0.3">
      <c r="G83" s="6" t="s">
        <v>358</v>
      </c>
      <c r="H83" s="9">
        <f>SUM(H72:H82)</f>
        <v>10484771.959036615</v>
      </c>
      <c r="I83" s="9">
        <f t="shared" ref="I83:J83" si="20">SUM(I72:I82)</f>
        <v>1043219.1959036615</v>
      </c>
      <c r="J83" s="9">
        <f t="shared" si="20"/>
        <v>7798802.9896488003</v>
      </c>
    </row>
    <row r="84" spans="7:10" x14ac:dyDescent="0.3">
      <c r="G84" s="6" t="s">
        <v>359</v>
      </c>
      <c r="H84" s="10" t="s">
        <v>175</v>
      </c>
      <c r="I84" s="10" t="s">
        <v>175</v>
      </c>
      <c r="J84" s="9">
        <f>SUM(I83:J83)</f>
        <v>8842022.1855524611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Equipment</vt:lpstr>
      <vt:lpstr>Property</vt:lpstr>
      <vt:lpstr>OLD_Aspen Cash Flows</vt:lpstr>
      <vt:lpstr>OLD_Revised Cash Flows</vt:lpstr>
      <vt:lpstr>OLD_Sensitivity Analysis</vt:lpstr>
      <vt:lpstr>Piping</vt:lpstr>
      <vt:lpstr>Controls</vt:lpstr>
      <vt:lpstr>Raw Materials</vt:lpstr>
      <vt:lpstr>Sales</vt:lpstr>
      <vt:lpstr>Labor</vt:lpstr>
      <vt:lpstr>Utilities</vt:lpstr>
      <vt:lpstr>Safety+Reg</vt:lpstr>
      <vt:lpstr>Other</vt:lpstr>
      <vt:lpstr>CSV Export</vt:lpstr>
      <vt:lpstr>SA_Calc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Heng1, Patrick V</dc:creator>
  <cp:keywords/>
  <dc:description/>
  <cp:lastModifiedBy>Heng1, Patrick V</cp:lastModifiedBy>
  <cp:revision/>
  <dcterms:created xsi:type="dcterms:W3CDTF">2025-11-30T23:34:31Z</dcterms:created>
  <dcterms:modified xsi:type="dcterms:W3CDTF">2026-04-17T16:22:52Z</dcterms:modified>
  <cp:category/>
  <cp:contentStatus/>
</cp:coreProperties>
</file>